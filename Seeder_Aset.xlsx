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8124A52B-FCB7-4A19-AAAE-960C12CCB83C}" xr6:coauthVersionLast="47" xr6:coauthVersionMax="47" xr10:uidLastSave="{00000000-0000-0000-0000-000000000000}"/>
  <bookViews>
    <workbookView xWindow="-108" yWindow="-108" windowWidth="23256" windowHeight="12456" tabRatio="841" firstSheet="10" activeTab="10" xr2:uid="{00000000-000D-0000-FFFF-FFFF00000000}"/>
  </bookViews>
  <sheets>
    <sheet name="Rincian A.Mess (171025)" sheetId="35" state="hidden" r:id="rId1"/>
    <sheet name="Pivot Mes" sheetId="36" state="hidden" r:id="rId2"/>
    <sheet name="Detail Kantor 15102025" sheetId="34" state="hidden" r:id="rId3"/>
    <sheet name="Rekap" sheetId="24" state="hidden" r:id="rId4"/>
    <sheet name="Detail Kantor" sheetId="26" state="hidden" r:id="rId5"/>
    <sheet name="Rekap A.Mess Rev" sheetId="29" state="hidden" r:id="rId6"/>
    <sheet name="Detail Mess" sheetId="23" state="hidden" r:id="rId7"/>
    <sheet name="Rekap Gudang" sheetId="2" state="hidden" r:id="rId8"/>
    <sheet name="Rekap Ruang Kantor &amp; Kelas" sheetId="20" state="hidden" r:id="rId9"/>
    <sheet name="Rekap Gudang Alat Praktek" sheetId="25" state="hidden" r:id="rId10"/>
    <sheet name="Rincian A.Mess 23 Mei 2026" sheetId="40" r:id="rId11"/>
    <sheet name="Rincian BA Mes" sheetId="37" state="hidden" r:id="rId12"/>
    <sheet name="Sheet1" sheetId="30" state="hidden" r:id="rId13"/>
    <sheet name="Detail Perumahan G1" sheetId="28" state="hidden" r:id="rId14"/>
    <sheet name="Meja &amp; Kursi" sheetId="1" state="hidden" r:id="rId15"/>
    <sheet name="R. Planter" sheetId="4" state="hidden" r:id="rId16"/>
    <sheet name="R. Adm" sheetId="9" state="hidden" r:id="rId17"/>
    <sheet name="R. Integrity &amp; Loyality" sheetId="19" state="hidden" r:id="rId18"/>
    <sheet name="R. Meeting" sheetId="18" state="hidden" r:id="rId19"/>
    <sheet name="R. Office Meeting" sheetId="12" state="hidden" r:id="rId20"/>
    <sheet name="R. Office Direktur" sheetId="13" state="hidden" r:id="rId21"/>
    <sheet name="R. Staf" sheetId="8" state="hidden" r:id="rId22"/>
    <sheet name="R. Assasment-Mgr" sheetId="17" state="hidden" r:id="rId23"/>
    <sheet name="R. Assasment-Rekrut" sheetId="16" state="hidden" r:id="rId24"/>
    <sheet name="R. E-Learning" sheetId="11" state="hidden" r:id="rId25"/>
    <sheet name="R. Mill Lama" sheetId="14" state="hidden" r:id="rId26"/>
    <sheet name="R. Studio" sheetId="15" state="hidden" r:id="rId27"/>
    <sheet name="R. Persistance &amp; Care" sheetId="7" state="hidden" r:id="rId28"/>
    <sheet name="R. Diligance" sheetId="6" state="hidden" r:id="rId29"/>
    <sheet name="R. Aula" sheetId="10" state="hidden" r:id="rId30"/>
  </sheets>
  <definedNames>
    <definedName name="_xlnm._FilterDatabase" localSheetId="4" hidden="1">'Detail Kantor'!$B$7:$K$134</definedName>
    <definedName name="_xlnm._FilterDatabase" localSheetId="2" hidden="1">'Detail Kantor 15102025'!$B$7:$M$142</definedName>
    <definedName name="_xlnm._FilterDatabase" localSheetId="6" hidden="1">'Detail Mess'!$A$8:$J$311</definedName>
    <definedName name="_xlnm._FilterDatabase" localSheetId="0" hidden="1">'Rincian A.Mess (171025)'!$B$3:$W$310</definedName>
    <definedName name="_xlnm._FilterDatabase" localSheetId="10" hidden="1">'Rincian A.Mess 23 Mei 2026'!$B$3:$AM$318</definedName>
    <definedName name="_xlnm._FilterDatabase" localSheetId="11" hidden="1">'Rincian BA Mes'!$C$3:$G$137</definedName>
    <definedName name="_xlnm.Print_Area" localSheetId="4">'Detail Kantor'!$B$2:$K$134</definedName>
    <definedName name="_xlnm.Print_Area" localSheetId="2">'Detail Kantor 15102025'!$B$2:$L$134</definedName>
    <definedName name="_xlnm.Print_Area" localSheetId="6">'Detail Mess'!$A$1:$J$311</definedName>
    <definedName name="_xlnm.Print_Area" localSheetId="13">'Detail Perumahan G1'!$B$35:$K$67</definedName>
    <definedName name="_xlnm.Print_Area" localSheetId="3">Rekap!$B$2:$I$174</definedName>
    <definedName name="_xlnm.Print_Area" localSheetId="5">'Rekap A.Mess Rev'!$B$1:$I$155</definedName>
    <definedName name="_xlnm.Print_Area" localSheetId="9">'Rekap Gudang Alat Praktek'!$B$2:$O$36</definedName>
    <definedName name="_xlnm.Print_Titles" localSheetId="13">'Detail Perumahan G1'!$B:$K,'Detail Perumahan G1'!$1:$4</definedName>
  </definedNames>
  <calcPr calcId="191029"/>
  <pivotCaches>
    <pivotCache cacheId="0" r:id="rId3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0" l="1"/>
  <c r="B19" i="10"/>
  <c r="F18" i="10"/>
  <c r="B18" i="10"/>
  <c r="F17" i="10"/>
  <c r="B17" i="10"/>
  <c r="F16" i="10"/>
  <c r="B16" i="10"/>
  <c r="F15" i="10"/>
  <c r="B15" i="10"/>
  <c r="F14" i="10"/>
  <c r="B14" i="10"/>
  <c r="F13" i="10"/>
  <c r="B13" i="10"/>
  <c r="F12" i="10"/>
  <c r="B12" i="10"/>
  <c r="F11" i="10"/>
  <c r="B11" i="10"/>
  <c r="F10" i="10"/>
  <c r="B10" i="10"/>
  <c r="F9" i="10"/>
  <c r="B9" i="10"/>
  <c r="F8" i="10"/>
  <c r="B8" i="10"/>
  <c r="F7" i="10"/>
  <c r="B7" i="10"/>
  <c r="F6" i="10"/>
  <c r="F19" i="6"/>
  <c r="B19" i="6"/>
  <c r="F18" i="6"/>
  <c r="B18" i="6"/>
  <c r="F17" i="6"/>
  <c r="B17" i="6"/>
  <c r="F16" i="6"/>
  <c r="B16" i="6"/>
  <c r="F15" i="6"/>
  <c r="B15" i="6"/>
  <c r="F14" i="6"/>
  <c r="B14" i="6"/>
  <c r="F13" i="6"/>
  <c r="B13" i="6"/>
  <c r="F12" i="6"/>
  <c r="B12" i="6"/>
  <c r="F11" i="6"/>
  <c r="B11" i="6"/>
  <c r="F10" i="6"/>
  <c r="B10" i="6"/>
  <c r="F9" i="6"/>
  <c r="B9" i="6"/>
  <c r="F8" i="6"/>
  <c r="B8" i="6"/>
  <c r="F7" i="6"/>
  <c r="B7" i="6"/>
  <c r="F6" i="6"/>
  <c r="F19" i="7"/>
  <c r="B19" i="7"/>
  <c r="F18" i="7"/>
  <c r="B18" i="7"/>
  <c r="F17" i="7"/>
  <c r="B17" i="7"/>
  <c r="F16" i="7"/>
  <c r="B16" i="7"/>
  <c r="F15" i="7"/>
  <c r="B15" i="7"/>
  <c r="F14" i="7"/>
  <c r="B14" i="7"/>
  <c r="F13" i="7"/>
  <c r="B13" i="7"/>
  <c r="F12" i="7"/>
  <c r="B12" i="7"/>
  <c r="F11" i="7"/>
  <c r="B11" i="7"/>
  <c r="F10" i="7"/>
  <c r="B10" i="7"/>
  <c r="F9" i="7"/>
  <c r="B9" i="7"/>
  <c r="F8" i="7"/>
  <c r="B8" i="7"/>
  <c r="F7" i="7"/>
  <c r="B7" i="7"/>
  <c r="F6" i="7"/>
  <c r="F19" i="15"/>
  <c r="B19" i="15"/>
  <c r="F18" i="15"/>
  <c r="B18" i="15"/>
  <c r="F17" i="15"/>
  <c r="B17" i="15"/>
  <c r="F16" i="15"/>
  <c r="B16" i="15"/>
  <c r="F15" i="15"/>
  <c r="B15" i="15"/>
  <c r="F14" i="15"/>
  <c r="B14" i="15"/>
  <c r="F13" i="15"/>
  <c r="B13" i="15"/>
  <c r="F12" i="15"/>
  <c r="B12" i="15"/>
  <c r="F11" i="15"/>
  <c r="B11" i="15"/>
  <c r="F10" i="15"/>
  <c r="B10" i="15"/>
  <c r="F9" i="15"/>
  <c r="B9" i="15"/>
  <c r="F8" i="15"/>
  <c r="B8" i="15"/>
  <c r="F7" i="15"/>
  <c r="B7" i="15"/>
  <c r="F6" i="15"/>
  <c r="F19" i="14"/>
  <c r="B19" i="14"/>
  <c r="F18" i="14"/>
  <c r="B18" i="14"/>
  <c r="F17" i="14"/>
  <c r="B17" i="14"/>
  <c r="F16" i="14"/>
  <c r="B16" i="14"/>
  <c r="F15" i="14"/>
  <c r="B15" i="14"/>
  <c r="F14" i="14"/>
  <c r="B14" i="14"/>
  <c r="F13" i="14"/>
  <c r="B13" i="14"/>
  <c r="F12" i="14"/>
  <c r="B12" i="14"/>
  <c r="F11" i="14"/>
  <c r="B11" i="14"/>
  <c r="F10" i="14"/>
  <c r="B10" i="14"/>
  <c r="F9" i="14"/>
  <c r="B9" i="14"/>
  <c r="F8" i="14"/>
  <c r="B8" i="14"/>
  <c r="F7" i="14"/>
  <c r="B7" i="14"/>
  <c r="F6" i="14"/>
  <c r="F19" i="11"/>
  <c r="B19" i="11"/>
  <c r="F18" i="11"/>
  <c r="B18" i="11"/>
  <c r="F17" i="11"/>
  <c r="B17" i="11"/>
  <c r="F16" i="11"/>
  <c r="B16" i="11"/>
  <c r="F15" i="11"/>
  <c r="B15" i="11"/>
  <c r="F14" i="11"/>
  <c r="B14" i="11"/>
  <c r="F13" i="11"/>
  <c r="B13" i="11"/>
  <c r="F12" i="11"/>
  <c r="B12" i="11"/>
  <c r="F11" i="11"/>
  <c r="B11" i="11"/>
  <c r="F10" i="11"/>
  <c r="B10" i="11"/>
  <c r="F9" i="11"/>
  <c r="B9" i="11"/>
  <c r="F8" i="11"/>
  <c r="B8" i="11"/>
  <c r="F7" i="11"/>
  <c r="B7" i="11"/>
  <c r="F6" i="11"/>
  <c r="F19" i="16"/>
  <c r="B19" i="16"/>
  <c r="F18" i="16"/>
  <c r="B18" i="16"/>
  <c r="F17" i="16"/>
  <c r="B17" i="16"/>
  <c r="F16" i="16"/>
  <c r="B16" i="16"/>
  <c r="F15" i="16"/>
  <c r="B15" i="16"/>
  <c r="F14" i="16"/>
  <c r="B14" i="16"/>
  <c r="F13" i="16"/>
  <c r="B13" i="16"/>
  <c r="F12" i="16"/>
  <c r="B12" i="16"/>
  <c r="F11" i="16"/>
  <c r="B11" i="16"/>
  <c r="F10" i="16"/>
  <c r="B10" i="16"/>
  <c r="F9" i="16"/>
  <c r="B9" i="16"/>
  <c r="F8" i="16"/>
  <c r="B8" i="16"/>
  <c r="F7" i="16"/>
  <c r="B7" i="16"/>
  <c r="F6" i="16"/>
  <c r="F19" i="17"/>
  <c r="B19" i="17"/>
  <c r="F18" i="17"/>
  <c r="B18" i="17"/>
  <c r="F17" i="17"/>
  <c r="B17" i="17"/>
  <c r="F16" i="17"/>
  <c r="B16" i="17"/>
  <c r="F15" i="17"/>
  <c r="B15" i="17"/>
  <c r="F14" i="17"/>
  <c r="B14" i="17"/>
  <c r="F13" i="17"/>
  <c r="B13" i="17"/>
  <c r="F12" i="17"/>
  <c r="B12" i="17"/>
  <c r="F11" i="17"/>
  <c r="B11" i="17"/>
  <c r="F10" i="17"/>
  <c r="B10" i="17"/>
  <c r="F9" i="17"/>
  <c r="B9" i="17"/>
  <c r="F8" i="17"/>
  <c r="B8" i="17"/>
  <c r="F7" i="17"/>
  <c r="B7" i="17"/>
  <c r="F6" i="17"/>
  <c r="F19" i="8"/>
  <c r="B19" i="8"/>
  <c r="F18" i="8"/>
  <c r="B18" i="8"/>
  <c r="F17" i="8"/>
  <c r="B17" i="8"/>
  <c r="F16" i="8"/>
  <c r="B16" i="8"/>
  <c r="F15" i="8"/>
  <c r="B15" i="8"/>
  <c r="F14" i="8"/>
  <c r="B14" i="8"/>
  <c r="F13" i="8"/>
  <c r="B13" i="8"/>
  <c r="F12" i="8"/>
  <c r="B12" i="8"/>
  <c r="F11" i="8"/>
  <c r="B11" i="8"/>
  <c r="F10" i="8"/>
  <c r="B10" i="8"/>
  <c r="F9" i="8"/>
  <c r="B9" i="8"/>
  <c r="F8" i="8"/>
  <c r="B8" i="8"/>
  <c r="F7" i="8"/>
  <c r="B7" i="8"/>
  <c r="F6" i="8"/>
  <c r="F19" i="13"/>
  <c r="B19" i="13"/>
  <c r="F18" i="13"/>
  <c r="B18" i="13"/>
  <c r="F17" i="13"/>
  <c r="B17" i="13"/>
  <c r="F16" i="13"/>
  <c r="B16" i="13"/>
  <c r="B15" i="13"/>
  <c r="B14" i="13"/>
  <c r="F13" i="13"/>
  <c r="B13" i="13"/>
  <c r="F12" i="13"/>
  <c r="B12" i="13"/>
  <c r="F11" i="13"/>
  <c r="B11" i="13"/>
  <c r="F10" i="13"/>
  <c r="B10" i="13"/>
  <c r="F9" i="13"/>
  <c r="B9" i="13"/>
  <c r="F8" i="13"/>
  <c r="B8" i="13"/>
  <c r="F7" i="13"/>
  <c r="B7" i="13"/>
  <c r="F6" i="13"/>
  <c r="F19" i="12"/>
  <c r="B19" i="12"/>
  <c r="F18" i="12"/>
  <c r="B18" i="12"/>
  <c r="F17" i="12"/>
  <c r="B17" i="12"/>
  <c r="F16" i="12"/>
  <c r="B16" i="12"/>
  <c r="F15" i="12"/>
  <c r="B15" i="12"/>
  <c r="F14" i="12"/>
  <c r="B14" i="12"/>
  <c r="F13" i="12"/>
  <c r="B13" i="12"/>
  <c r="F12" i="12"/>
  <c r="B12" i="12"/>
  <c r="F11" i="12"/>
  <c r="B11" i="12"/>
  <c r="F10" i="12"/>
  <c r="B10" i="12"/>
  <c r="F9" i="12"/>
  <c r="B9" i="12"/>
  <c r="F8" i="12"/>
  <c r="B8" i="12"/>
  <c r="F7" i="12"/>
  <c r="B7" i="12"/>
  <c r="F6" i="12"/>
  <c r="F19" i="18"/>
  <c r="B19" i="18"/>
  <c r="F18" i="18"/>
  <c r="B18" i="18"/>
  <c r="F17" i="18"/>
  <c r="B17" i="18"/>
  <c r="F16" i="18"/>
  <c r="B16" i="18"/>
  <c r="F15" i="18"/>
  <c r="B15" i="18"/>
  <c r="F14" i="18"/>
  <c r="B14" i="18"/>
  <c r="F13" i="18"/>
  <c r="B13" i="18"/>
  <c r="F12" i="18"/>
  <c r="B12" i="18"/>
  <c r="F11" i="18"/>
  <c r="B11" i="18"/>
  <c r="F10" i="18"/>
  <c r="B10" i="18"/>
  <c r="F9" i="18"/>
  <c r="B9" i="18"/>
  <c r="F8" i="18"/>
  <c r="B8" i="18"/>
  <c r="F7" i="18"/>
  <c r="B7" i="18"/>
  <c r="F6" i="18"/>
  <c r="B19" i="19"/>
  <c r="B18" i="19"/>
  <c r="B17" i="19"/>
  <c r="F16" i="19"/>
  <c r="B16" i="19"/>
  <c r="F15" i="19"/>
  <c r="B15" i="19"/>
  <c r="F14" i="19"/>
  <c r="B14" i="19"/>
  <c r="F13" i="19"/>
  <c r="B13" i="19"/>
  <c r="F12" i="19"/>
  <c r="B12" i="19"/>
  <c r="F11" i="19"/>
  <c r="B11" i="19"/>
  <c r="F10" i="19"/>
  <c r="B10" i="19"/>
  <c r="F9" i="19"/>
  <c r="B9" i="19"/>
  <c r="F8" i="19"/>
  <c r="B8" i="19"/>
  <c r="F7" i="19"/>
  <c r="B7" i="19"/>
  <c r="F6" i="19"/>
  <c r="F21" i="9"/>
  <c r="B21" i="9"/>
  <c r="F20" i="9"/>
  <c r="B20" i="9"/>
  <c r="F19" i="9"/>
  <c r="B19" i="9"/>
  <c r="F18" i="9"/>
  <c r="B18" i="9"/>
  <c r="F17" i="9"/>
  <c r="B17" i="9"/>
  <c r="F16" i="9"/>
  <c r="B16" i="9"/>
  <c r="F15" i="9"/>
  <c r="B15" i="9"/>
  <c r="F14" i="9"/>
  <c r="B14" i="9"/>
  <c r="F13" i="9"/>
  <c r="B13" i="9"/>
  <c r="F12" i="9"/>
  <c r="B12" i="9"/>
  <c r="F11" i="9"/>
  <c r="B11" i="9"/>
  <c r="F10" i="9"/>
  <c r="B10" i="9"/>
  <c r="F9" i="9"/>
  <c r="B9" i="9"/>
  <c r="F8" i="9"/>
  <c r="B8" i="9"/>
  <c r="F7" i="9"/>
  <c r="B7" i="9"/>
  <c r="F6" i="9"/>
  <c r="F19" i="4"/>
  <c r="B19" i="4"/>
  <c r="F18" i="4"/>
  <c r="B18" i="4"/>
  <c r="F17" i="4"/>
  <c r="B17" i="4"/>
  <c r="F16" i="4"/>
  <c r="B16" i="4"/>
  <c r="F15" i="4"/>
  <c r="B15" i="4"/>
  <c r="F14" i="4"/>
  <c r="B14" i="4"/>
  <c r="F13" i="4"/>
  <c r="B13" i="4"/>
  <c r="F12" i="4"/>
  <c r="B12" i="4"/>
  <c r="F11" i="4"/>
  <c r="B11" i="4"/>
  <c r="F10" i="4"/>
  <c r="B10" i="4"/>
  <c r="F9" i="4"/>
  <c r="B9" i="4"/>
  <c r="F8" i="4"/>
  <c r="B8" i="4"/>
  <c r="F7" i="4"/>
  <c r="B7" i="4"/>
  <c r="F6" i="4"/>
  <c r="F19" i="1"/>
  <c r="B19" i="1"/>
  <c r="F18" i="1"/>
  <c r="B18" i="1"/>
  <c r="F17" i="1"/>
  <c r="B17" i="1"/>
  <c r="F16" i="1"/>
  <c r="B16" i="1"/>
  <c r="F15" i="1"/>
  <c r="B15" i="1"/>
  <c r="F14" i="1"/>
  <c r="B14" i="1"/>
  <c r="F13" i="1"/>
  <c r="B13" i="1"/>
  <c r="F12" i="1"/>
  <c r="B12" i="1"/>
  <c r="F11" i="1"/>
  <c r="B11" i="1"/>
  <c r="F10" i="1"/>
  <c r="B10" i="1"/>
  <c r="F9" i="1"/>
  <c r="B9" i="1"/>
  <c r="F8" i="1"/>
  <c r="B8" i="1"/>
  <c r="F7" i="1"/>
  <c r="B7" i="1"/>
  <c r="F6" i="1"/>
  <c r="B136" i="28"/>
  <c r="B135" i="28"/>
  <c r="B134" i="28"/>
  <c r="B133" i="28"/>
  <c r="B132" i="28"/>
  <c r="B131" i="28"/>
  <c r="B130" i="28"/>
  <c r="B129" i="28"/>
  <c r="B128" i="28"/>
  <c r="B127" i="28"/>
  <c r="B126" i="28"/>
  <c r="B125" i="28"/>
  <c r="B124" i="28"/>
  <c r="B123" i="28"/>
  <c r="B122" i="28"/>
  <c r="B121" i="28"/>
  <c r="B120" i="28"/>
  <c r="B119" i="28"/>
  <c r="B118" i="28"/>
  <c r="B117" i="28"/>
  <c r="B116" i="28"/>
  <c r="B115" i="28"/>
  <c r="B114" i="28"/>
  <c r="B113" i="28"/>
  <c r="B112" i="28"/>
  <c r="B111" i="28"/>
  <c r="B110" i="28"/>
  <c r="B109" i="28"/>
  <c r="B101" i="28"/>
  <c r="B100" i="28"/>
  <c r="B99" i="28"/>
  <c r="B98" i="28"/>
  <c r="B97" i="28"/>
  <c r="B96" i="28"/>
  <c r="B95" i="28"/>
  <c r="B94" i="28"/>
  <c r="B93" i="28"/>
  <c r="B92" i="28"/>
  <c r="B91" i="28"/>
  <c r="B90" i="28"/>
  <c r="B89" i="28"/>
  <c r="B88" i="28"/>
  <c r="B87" i="28"/>
  <c r="B86" i="28"/>
  <c r="B85" i="28"/>
  <c r="B84" i="28"/>
  <c r="B83" i="28"/>
  <c r="B82" i="28"/>
  <c r="B81" i="28"/>
  <c r="B80" i="28"/>
  <c r="B79" i="28"/>
  <c r="B78" i="28"/>
  <c r="B77" i="28"/>
  <c r="B76" i="28"/>
  <c r="B75" i="28"/>
  <c r="B74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AI318" i="40"/>
  <c r="AE318" i="40"/>
  <c r="W318" i="40"/>
  <c r="S318" i="40"/>
  <c r="O318" i="40"/>
  <c r="N318" i="40"/>
  <c r="M318" i="40"/>
  <c r="B318" i="40"/>
  <c r="AI317" i="40"/>
  <c r="AE317" i="40"/>
  <c r="W317" i="40"/>
  <c r="S317" i="40"/>
  <c r="O317" i="40"/>
  <c r="N317" i="40"/>
  <c r="M317" i="40"/>
  <c r="I317" i="40"/>
  <c r="B317" i="40"/>
  <c r="AI316" i="40"/>
  <c r="AE316" i="40"/>
  <c r="W316" i="40"/>
  <c r="S316" i="40"/>
  <c r="O316" i="40"/>
  <c r="N316" i="40"/>
  <c r="M316" i="40"/>
  <c r="I316" i="40"/>
  <c r="B316" i="40"/>
  <c r="AI315" i="40"/>
  <c r="AE315" i="40"/>
  <c r="W315" i="40"/>
  <c r="S315" i="40"/>
  <c r="O315" i="40"/>
  <c r="N315" i="40"/>
  <c r="M315" i="40"/>
  <c r="I315" i="40"/>
  <c r="B315" i="40"/>
  <c r="AI314" i="40"/>
  <c r="AE314" i="40"/>
  <c r="W314" i="40"/>
  <c r="S314" i="40"/>
  <c r="O314" i="40"/>
  <c r="N314" i="40"/>
  <c r="M314" i="40"/>
  <c r="I314" i="40"/>
  <c r="B314" i="40"/>
  <c r="AI313" i="40"/>
  <c r="AE313" i="40"/>
  <c r="W313" i="40"/>
  <c r="S313" i="40"/>
  <c r="O313" i="40"/>
  <c r="N313" i="40"/>
  <c r="M313" i="40"/>
  <c r="I313" i="40"/>
  <c r="B313" i="40"/>
  <c r="AI312" i="40"/>
  <c r="AE312" i="40"/>
  <c r="V312" i="40"/>
  <c r="W312" i="40" s="1"/>
  <c r="S312" i="40"/>
  <c r="O312" i="40"/>
  <c r="N312" i="40"/>
  <c r="M312" i="40"/>
  <c r="I312" i="40"/>
  <c r="B312" i="40"/>
  <c r="AI311" i="40"/>
  <c r="AE311" i="40"/>
  <c r="W311" i="40"/>
  <c r="S311" i="40"/>
  <c r="O311" i="40"/>
  <c r="N311" i="40"/>
  <c r="M311" i="40"/>
  <c r="I311" i="40"/>
  <c r="B311" i="40"/>
  <c r="AI310" i="40"/>
  <c r="AE310" i="40"/>
  <c r="W310" i="40"/>
  <c r="S310" i="40"/>
  <c r="O310" i="40"/>
  <c r="N310" i="40"/>
  <c r="M310" i="40"/>
  <c r="I310" i="40"/>
  <c r="B310" i="40"/>
  <c r="AI309" i="40"/>
  <c r="AE309" i="40"/>
  <c r="W309" i="40"/>
  <c r="S309" i="40"/>
  <c r="O309" i="40"/>
  <c r="N309" i="40"/>
  <c r="M309" i="40"/>
  <c r="I309" i="40"/>
  <c r="B309" i="40"/>
  <c r="AH308" i="40"/>
  <c r="AI308" i="40" s="1"/>
  <c r="AE308" i="40"/>
  <c r="W308" i="40"/>
  <c r="S308" i="40"/>
  <c r="O308" i="40"/>
  <c r="N308" i="40"/>
  <c r="M308" i="40"/>
  <c r="I308" i="40"/>
  <c r="B308" i="40"/>
  <c r="AI307" i="40"/>
  <c r="AE307" i="40"/>
  <c r="W307" i="40"/>
  <c r="S307" i="40"/>
  <c r="O307" i="40"/>
  <c r="N307" i="40"/>
  <c r="M307" i="40"/>
  <c r="I307" i="40"/>
  <c r="B307" i="40"/>
  <c r="AI306" i="40"/>
  <c r="AE306" i="40"/>
  <c r="W306" i="40"/>
  <c r="S306" i="40"/>
  <c r="O306" i="40"/>
  <c r="N306" i="40"/>
  <c r="M306" i="40"/>
  <c r="I306" i="40"/>
  <c r="B306" i="40"/>
  <c r="AI305" i="40"/>
  <c r="AE305" i="40"/>
  <c r="W305" i="40"/>
  <c r="S305" i="40"/>
  <c r="O305" i="40"/>
  <c r="N305" i="40"/>
  <c r="M305" i="40"/>
  <c r="I305" i="40"/>
  <c r="B305" i="40"/>
  <c r="AI304" i="40"/>
  <c r="AE304" i="40"/>
  <c r="W304" i="40"/>
  <c r="S304" i="40"/>
  <c r="O304" i="40"/>
  <c r="N304" i="40"/>
  <c r="M304" i="40"/>
  <c r="I304" i="40"/>
  <c r="B304" i="40"/>
  <c r="AI303" i="40"/>
  <c r="AE303" i="40"/>
  <c r="W303" i="40"/>
  <c r="S303" i="40"/>
  <c r="O303" i="40"/>
  <c r="N303" i="40"/>
  <c r="M303" i="40"/>
  <c r="I303" i="40"/>
  <c r="B303" i="40"/>
  <c r="AI302" i="40"/>
  <c r="AE302" i="40"/>
  <c r="W302" i="40"/>
  <c r="S302" i="40"/>
  <c r="O302" i="40"/>
  <c r="N302" i="40"/>
  <c r="M302" i="40"/>
  <c r="I302" i="40"/>
  <c r="B302" i="40"/>
  <c r="AI301" i="40"/>
  <c r="AE301" i="40"/>
  <c r="W301" i="40"/>
  <c r="S301" i="40"/>
  <c r="O301" i="40"/>
  <c r="N301" i="40"/>
  <c r="M301" i="40"/>
  <c r="I301" i="40"/>
  <c r="B301" i="40"/>
  <c r="AI300" i="40"/>
  <c r="AE300" i="40"/>
  <c r="W300" i="40"/>
  <c r="S300" i="40"/>
  <c r="O300" i="40"/>
  <c r="N300" i="40"/>
  <c r="M300" i="40"/>
  <c r="I300" i="40"/>
  <c r="B300" i="40"/>
  <c r="AI299" i="40"/>
  <c r="AE299" i="40"/>
  <c r="W299" i="40"/>
  <c r="S299" i="40"/>
  <c r="O299" i="40"/>
  <c r="N299" i="40"/>
  <c r="M299" i="40"/>
  <c r="I299" i="40"/>
  <c r="B299" i="40"/>
  <c r="AI298" i="40"/>
  <c r="AE298" i="40"/>
  <c r="W298" i="40"/>
  <c r="S298" i="40"/>
  <c r="O298" i="40"/>
  <c r="N298" i="40"/>
  <c r="M298" i="40"/>
  <c r="I298" i="40"/>
  <c r="B298" i="40"/>
  <c r="AI297" i="40"/>
  <c r="AE297" i="40"/>
  <c r="W297" i="40"/>
  <c r="S297" i="40"/>
  <c r="O297" i="40"/>
  <c r="N297" i="40"/>
  <c r="M297" i="40"/>
  <c r="I297" i="40"/>
  <c r="B297" i="40"/>
  <c r="AI296" i="40"/>
  <c r="AE296" i="40"/>
  <c r="W296" i="40"/>
  <c r="S296" i="40"/>
  <c r="O296" i="40"/>
  <c r="N296" i="40"/>
  <c r="M296" i="40"/>
  <c r="I296" i="40"/>
  <c r="B296" i="40"/>
  <c r="AI295" i="40"/>
  <c r="AE295" i="40"/>
  <c r="W295" i="40"/>
  <c r="S295" i="40"/>
  <c r="O295" i="40"/>
  <c r="N295" i="40"/>
  <c r="M295" i="40"/>
  <c r="I295" i="40"/>
  <c r="B295" i="40"/>
  <c r="AI294" i="40"/>
  <c r="AE294" i="40"/>
  <c r="W294" i="40"/>
  <c r="S294" i="40"/>
  <c r="O294" i="40"/>
  <c r="N294" i="40"/>
  <c r="M294" i="40"/>
  <c r="I294" i="40"/>
  <c r="B294" i="40"/>
  <c r="AI293" i="40"/>
  <c r="AE293" i="40"/>
  <c r="W293" i="40"/>
  <c r="S293" i="40"/>
  <c r="O293" i="40"/>
  <c r="N293" i="40"/>
  <c r="M293" i="40"/>
  <c r="I293" i="40"/>
  <c r="B293" i="40"/>
  <c r="AI292" i="40"/>
  <c r="AE292" i="40"/>
  <c r="W292" i="40"/>
  <c r="S292" i="40"/>
  <c r="O292" i="40"/>
  <c r="N292" i="40"/>
  <c r="M292" i="40"/>
  <c r="I292" i="40"/>
  <c r="B292" i="40"/>
  <c r="AI291" i="40"/>
  <c r="AE291" i="40"/>
  <c r="W291" i="40"/>
  <c r="S291" i="40"/>
  <c r="O291" i="40"/>
  <c r="N291" i="40"/>
  <c r="M291" i="40"/>
  <c r="I291" i="40"/>
  <c r="B291" i="40"/>
  <c r="AI290" i="40"/>
  <c r="AE290" i="40"/>
  <c r="W290" i="40"/>
  <c r="S290" i="40"/>
  <c r="O290" i="40"/>
  <c r="N290" i="40"/>
  <c r="M290" i="40"/>
  <c r="I290" i="40"/>
  <c r="B290" i="40"/>
  <c r="AI289" i="40"/>
  <c r="AE289" i="40"/>
  <c r="W289" i="40"/>
  <c r="S289" i="40"/>
  <c r="O289" i="40"/>
  <c r="N289" i="40"/>
  <c r="M289" i="40"/>
  <c r="I289" i="40"/>
  <c r="B289" i="40"/>
  <c r="AI288" i="40"/>
  <c r="AE288" i="40"/>
  <c r="W288" i="40"/>
  <c r="S288" i="40"/>
  <c r="O288" i="40"/>
  <c r="N288" i="40"/>
  <c r="M288" i="40"/>
  <c r="I288" i="40"/>
  <c r="B288" i="40"/>
  <c r="AI287" i="40"/>
  <c r="AE287" i="40"/>
  <c r="W287" i="40"/>
  <c r="S287" i="40"/>
  <c r="O287" i="40"/>
  <c r="N287" i="40"/>
  <c r="M287" i="40"/>
  <c r="I287" i="40"/>
  <c r="B287" i="40"/>
  <c r="AI286" i="40"/>
  <c r="AE286" i="40"/>
  <c r="W286" i="40"/>
  <c r="S286" i="40"/>
  <c r="O286" i="40"/>
  <c r="N286" i="40"/>
  <c r="M286" i="40"/>
  <c r="I286" i="40"/>
  <c r="B286" i="40"/>
  <c r="AI285" i="40"/>
  <c r="AE285" i="40"/>
  <c r="W285" i="40"/>
  <c r="S285" i="40"/>
  <c r="O285" i="40"/>
  <c r="N285" i="40"/>
  <c r="M285" i="40"/>
  <c r="I285" i="40"/>
  <c r="B285" i="40"/>
  <c r="AI284" i="40"/>
  <c r="AE284" i="40"/>
  <c r="W284" i="40"/>
  <c r="S284" i="40"/>
  <c r="O284" i="40"/>
  <c r="N284" i="40"/>
  <c r="M284" i="40"/>
  <c r="I284" i="40"/>
  <c r="B284" i="40"/>
  <c r="AI283" i="40"/>
  <c r="AE283" i="40"/>
  <c r="W283" i="40"/>
  <c r="S283" i="40"/>
  <c r="O283" i="40"/>
  <c r="N283" i="40"/>
  <c r="M283" i="40"/>
  <c r="I283" i="40"/>
  <c r="B283" i="40"/>
  <c r="AI282" i="40"/>
  <c r="AE282" i="40"/>
  <c r="W282" i="40"/>
  <c r="S282" i="40"/>
  <c r="O282" i="40"/>
  <c r="N282" i="40"/>
  <c r="M282" i="40"/>
  <c r="I282" i="40"/>
  <c r="B282" i="40"/>
  <c r="AI281" i="40"/>
  <c r="AE281" i="40"/>
  <c r="W281" i="40"/>
  <c r="S281" i="40"/>
  <c r="O281" i="40"/>
  <c r="N281" i="40"/>
  <c r="M281" i="40"/>
  <c r="I281" i="40"/>
  <c r="B281" i="40"/>
  <c r="AI280" i="40"/>
  <c r="AE280" i="40"/>
  <c r="W280" i="40"/>
  <c r="S280" i="40"/>
  <c r="O280" i="40"/>
  <c r="N280" i="40"/>
  <c r="M280" i="40"/>
  <c r="I280" i="40"/>
  <c r="B280" i="40"/>
  <c r="AI279" i="40"/>
  <c r="AE279" i="40"/>
  <c r="W279" i="40"/>
  <c r="S279" i="40"/>
  <c r="O279" i="40"/>
  <c r="N279" i="40"/>
  <c r="M279" i="40"/>
  <c r="I279" i="40"/>
  <c r="B279" i="40"/>
  <c r="AI278" i="40"/>
  <c r="AE278" i="40"/>
  <c r="W278" i="40"/>
  <c r="S278" i="40"/>
  <c r="O278" i="40"/>
  <c r="N278" i="40"/>
  <c r="M278" i="40"/>
  <c r="I278" i="40"/>
  <c r="B278" i="40"/>
  <c r="AI277" i="40"/>
  <c r="AE277" i="40"/>
  <c r="W277" i="40"/>
  <c r="S277" i="40"/>
  <c r="O277" i="40"/>
  <c r="N277" i="40"/>
  <c r="M277" i="40"/>
  <c r="I277" i="40"/>
  <c r="B277" i="40"/>
  <c r="AI276" i="40"/>
  <c r="AE276" i="40"/>
  <c r="W276" i="40"/>
  <c r="S276" i="40"/>
  <c r="O276" i="40"/>
  <c r="N276" i="40"/>
  <c r="M276" i="40"/>
  <c r="I276" i="40"/>
  <c r="B276" i="40"/>
  <c r="AI275" i="40"/>
  <c r="AE275" i="40"/>
  <c r="W275" i="40"/>
  <c r="S275" i="40"/>
  <c r="O275" i="40"/>
  <c r="N275" i="40"/>
  <c r="M275" i="40"/>
  <c r="I275" i="40"/>
  <c r="B275" i="40"/>
  <c r="AI274" i="40"/>
  <c r="AE274" i="40"/>
  <c r="W274" i="40"/>
  <c r="S274" i="40"/>
  <c r="O274" i="40"/>
  <c r="N274" i="40"/>
  <c r="M274" i="40"/>
  <c r="I274" i="40"/>
  <c r="B274" i="40"/>
  <c r="AI273" i="40"/>
  <c r="AE273" i="40"/>
  <c r="W273" i="40"/>
  <c r="S273" i="40"/>
  <c r="O273" i="40"/>
  <c r="N273" i="40"/>
  <c r="M273" i="40"/>
  <c r="I273" i="40"/>
  <c r="B273" i="40"/>
  <c r="AI272" i="40"/>
  <c r="AE272" i="40"/>
  <c r="W272" i="40"/>
  <c r="S272" i="40"/>
  <c r="O272" i="40"/>
  <c r="N272" i="40"/>
  <c r="M272" i="40"/>
  <c r="I272" i="40"/>
  <c r="B272" i="40"/>
  <c r="AI271" i="40"/>
  <c r="AE271" i="40"/>
  <c r="W271" i="40"/>
  <c r="S271" i="40"/>
  <c r="O271" i="40"/>
  <c r="N271" i="40"/>
  <c r="M271" i="40"/>
  <c r="I271" i="40"/>
  <c r="B271" i="40"/>
  <c r="AI270" i="40"/>
  <c r="AE270" i="40"/>
  <c r="W270" i="40"/>
  <c r="S270" i="40"/>
  <c r="O270" i="40"/>
  <c r="N270" i="40"/>
  <c r="M270" i="40"/>
  <c r="I270" i="40"/>
  <c r="B270" i="40"/>
  <c r="AI269" i="40"/>
  <c r="AE269" i="40"/>
  <c r="W269" i="40"/>
  <c r="S269" i="40"/>
  <c r="O269" i="40"/>
  <c r="N269" i="40"/>
  <c r="M269" i="40"/>
  <c r="I269" i="40"/>
  <c r="B269" i="40"/>
  <c r="AI268" i="40"/>
  <c r="AE268" i="40"/>
  <c r="W268" i="40"/>
  <c r="S268" i="40"/>
  <c r="O268" i="40"/>
  <c r="N268" i="40"/>
  <c r="M268" i="40"/>
  <c r="I268" i="40"/>
  <c r="B268" i="40"/>
  <c r="AI267" i="40"/>
  <c r="AE267" i="40"/>
  <c r="W267" i="40"/>
  <c r="S267" i="40"/>
  <c r="O267" i="40"/>
  <c r="N267" i="40"/>
  <c r="M267" i="40"/>
  <c r="I267" i="40"/>
  <c r="B267" i="40"/>
  <c r="AI266" i="40"/>
  <c r="AE266" i="40"/>
  <c r="W266" i="40"/>
  <c r="S266" i="40"/>
  <c r="O266" i="40"/>
  <c r="N266" i="40"/>
  <c r="M266" i="40"/>
  <c r="I266" i="40"/>
  <c r="B266" i="40"/>
  <c r="AI265" i="40"/>
  <c r="AE265" i="40"/>
  <c r="W265" i="40"/>
  <c r="S265" i="40"/>
  <c r="O265" i="40"/>
  <c r="N265" i="40"/>
  <c r="M265" i="40"/>
  <c r="I265" i="40"/>
  <c r="B265" i="40"/>
  <c r="AI264" i="40"/>
  <c r="AE264" i="40"/>
  <c r="W264" i="40"/>
  <c r="S264" i="40"/>
  <c r="O264" i="40"/>
  <c r="N264" i="40"/>
  <c r="M264" i="40"/>
  <c r="I264" i="40"/>
  <c r="B264" i="40"/>
  <c r="AI263" i="40"/>
  <c r="AE263" i="40"/>
  <c r="W263" i="40"/>
  <c r="S263" i="40"/>
  <c r="O263" i="40"/>
  <c r="N263" i="40"/>
  <c r="M263" i="40"/>
  <c r="I263" i="40"/>
  <c r="B263" i="40"/>
  <c r="AI262" i="40"/>
  <c r="AE262" i="40"/>
  <c r="W262" i="40"/>
  <c r="S262" i="40"/>
  <c r="O262" i="40"/>
  <c r="N262" i="40"/>
  <c r="M262" i="40"/>
  <c r="I262" i="40"/>
  <c r="B262" i="40"/>
  <c r="AI261" i="40"/>
  <c r="AE261" i="40"/>
  <c r="W261" i="40"/>
  <c r="S261" i="40"/>
  <c r="O261" i="40"/>
  <c r="N261" i="40"/>
  <c r="M261" i="40"/>
  <c r="I261" i="40"/>
  <c r="B261" i="40"/>
  <c r="AI260" i="40"/>
  <c r="AE260" i="40"/>
  <c r="W260" i="40"/>
  <c r="S260" i="40"/>
  <c r="O260" i="40"/>
  <c r="N260" i="40"/>
  <c r="M260" i="40"/>
  <c r="I260" i="40"/>
  <c r="B260" i="40"/>
  <c r="AI259" i="40"/>
  <c r="AE259" i="40"/>
  <c r="W259" i="40"/>
  <c r="S259" i="40"/>
  <c r="O259" i="40"/>
  <c r="N259" i="40"/>
  <c r="M259" i="40"/>
  <c r="I259" i="40"/>
  <c r="B259" i="40"/>
  <c r="AI258" i="40"/>
  <c r="AE258" i="40"/>
  <c r="W258" i="40"/>
  <c r="S258" i="40"/>
  <c r="O258" i="40"/>
  <c r="N258" i="40"/>
  <c r="M258" i="40"/>
  <c r="I258" i="40"/>
  <c r="B258" i="40"/>
  <c r="AI257" i="40"/>
  <c r="AE257" i="40"/>
  <c r="W257" i="40"/>
  <c r="S257" i="40"/>
  <c r="O257" i="40"/>
  <c r="N257" i="40"/>
  <c r="M257" i="40"/>
  <c r="I257" i="40"/>
  <c r="B257" i="40"/>
  <c r="AI256" i="40"/>
  <c r="AE256" i="40"/>
  <c r="W256" i="40"/>
  <c r="S256" i="40"/>
  <c r="O256" i="40"/>
  <c r="N256" i="40"/>
  <c r="M256" i="40"/>
  <c r="I256" i="40"/>
  <c r="B256" i="40"/>
  <c r="AI255" i="40"/>
  <c r="AE255" i="40"/>
  <c r="W255" i="40"/>
  <c r="S255" i="40"/>
  <c r="O255" i="40"/>
  <c r="N255" i="40"/>
  <c r="M255" i="40"/>
  <c r="I255" i="40"/>
  <c r="B255" i="40"/>
  <c r="AI254" i="40"/>
  <c r="AE254" i="40"/>
  <c r="W254" i="40"/>
  <c r="S254" i="40"/>
  <c r="O254" i="40"/>
  <c r="N254" i="40"/>
  <c r="M254" i="40"/>
  <c r="I254" i="40"/>
  <c r="B254" i="40"/>
  <c r="AI253" i="40"/>
  <c r="AE253" i="40"/>
  <c r="W253" i="40"/>
  <c r="S253" i="40"/>
  <c r="O253" i="40"/>
  <c r="N253" i="40"/>
  <c r="M253" i="40"/>
  <c r="I253" i="40"/>
  <c r="B253" i="40"/>
  <c r="AI252" i="40"/>
  <c r="AE252" i="40"/>
  <c r="W252" i="40"/>
  <c r="S252" i="40"/>
  <c r="O252" i="40"/>
  <c r="N252" i="40"/>
  <c r="M252" i="40"/>
  <c r="I252" i="40"/>
  <c r="B252" i="40"/>
  <c r="AI251" i="40"/>
  <c r="AE251" i="40"/>
  <c r="W251" i="40"/>
  <c r="S251" i="40"/>
  <c r="O251" i="40"/>
  <c r="N251" i="40"/>
  <c r="M251" i="40"/>
  <c r="I251" i="40"/>
  <c r="AI250" i="40"/>
  <c r="AE250" i="40"/>
  <c r="W250" i="40"/>
  <c r="S250" i="40"/>
  <c r="O250" i="40"/>
  <c r="N250" i="40"/>
  <c r="M250" i="40"/>
  <c r="I250" i="40"/>
  <c r="AI249" i="40"/>
  <c r="AE249" i="40"/>
  <c r="AI248" i="40"/>
  <c r="AE248" i="40"/>
  <c r="W248" i="40"/>
  <c r="S248" i="40"/>
  <c r="O248" i="40"/>
  <c r="N248" i="40"/>
  <c r="M248" i="40"/>
  <c r="I248" i="40"/>
  <c r="B248" i="40"/>
  <c r="B249" i="40" s="1"/>
  <c r="B250" i="40" s="1"/>
  <c r="B251" i="40" s="1"/>
  <c r="AI247" i="40"/>
  <c r="AE247" i="40"/>
  <c r="W247" i="40"/>
  <c r="S247" i="40"/>
  <c r="O247" i="40"/>
  <c r="N247" i="40"/>
  <c r="M247" i="40"/>
  <c r="I247" i="40"/>
  <c r="B247" i="40"/>
  <c r="AI246" i="40"/>
  <c r="AE246" i="40"/>
  <c r="W246" i="40"/>
  <c r="S246" i="40"/>
  <c r="O246" i="40"/>
  <c r="N246" i="40"/>
  <c r="M246" i="40"/>
  <c r="I246" i="40"/>
  <c r="B246" i="40"/>
  <c r="AI245" i="40"/>
  <c r="AE245" i="40"/>
  <c r="W245" i="40"/>
  <c r="S245" i="40"/>
  <c r="O245" i="40"/>
  <c r="N245" i="40"/>
  <c r="M245" i="40"/>
  <c r="I245" i="40"/>
  <c r="B245" i="40"/>
  <c r="AI244" i="40"/>
  <c r="AE244" i="40"/>
  <c r="W244" i="40"/>
  <c r="S244" i="40"/>
  <c r="O244" i="40"/>
  <c r="N244" i="40"/>
  <c r="M244" i="40"/>
  <c r="I244" i="40"/>
  <c r="B244" i="40"/>
  <c r="AI243" i="40"/>
  <c r="AE243" i="40"/>
  <c r="W243" i="40"/>
  <c r="S243" i="40"/>
  <c r="O243" i="40"/>
  <c r="N243" i="40"/>
  <c r="M243" i="40"/>
  <c r="I243" i="40"/>
  <c r="B243" i="40"/>
  <c r="AI242" i="40"/>
  <c r="AE242" i="40"/>
  <c r="W242" i="40"/>
  <c r="S242" i="40"/>
  <c r="O242" i="40"/>
  <c r="N242" i="40"/>
  <c r="M242" i="40"/>
  <c r="I242" i="40"/>
  <c r="B242" i="40"/>
  <c r="AI241" i="40"/>
  <c r="AE241" i="40"/>
  <c r="W241" i="40"/>
  <c r="S241" i="40"/>
  <c r="O241" i="40"/>
  <c r="N241" i="40"/>
  <c r="M241" i="40"/>
  <c r="I241" i="40"/>
  <c r="B241" i="40"/>
  <c r="AI240" i="40"/>
  <c r="AE240" i="40"/>
  <c r="W240" i="40"/>
  <c r="S240" i="40"/>
  <c r="O240" i="40"/>
  <c r="N240" i="40"/>
  <c r="M240" i="40"/>
  <c r="I240" i="40"/>
  <c r="B240" i="40"/>
  <c r="AI239" i="40"/>
  <c r="AE239" i="40"/>
  <c r="W239" i="40"/>
  <c r="S239" i="40"/>
  <c r="O239" i="40"/>
  <c r="N239" i="40"/>
  <c r="M239" i="40"/>
  <c r="I239" i="40"/>
  <c r="B239" i="40"/>
  <c r="AI238" i="40"/>
  <c r="AE238" i="40"/>
  <c r="W238" i="40"/>
  <c r="S238" i="40"/>
  <c r="O238" i="40"/>
  <c r="N238" i="40"/>
  <c r="M238" i="40"/>
  <c r="I238" i="40"/>
  <c r="B238" i="40"/>
  <c r="AI237" i="40"/>
  <c r="AE237" i="40"/>
  <c r="W237" i="40"/>
  <c r="S237" i="40"/>
  <c r="O237" i="40"/>
  <c r="N237" i="40"/>
  <c r="M237" i="40"/>
  <c r="I237" i="40"/>
  <c r="B237" i="40"/>
  <c r="AI236" i="40"/>
  <c r="AE236" i="40"/>
  <c r="W236" i="40"/>
  <c r="S236" i="40"/>
  <c r="O236" i="40"/>
  <c r="N236" i="40"/>
  <c r="M236" i="40"/>
  <c r="I236" i="40"/>
  <c r="B236" i="40"/>
  <c r="AI235" i="40"/>
  <c r="B235" i="40"/>
  <c r="AI234" i="40"/>
  <c r="AE234" i="40"/>
  <c r="W234" i="40"/>
  <c r="S234" i="40"/>
  <c r="O234" i="40"/>
  <c r="N234" i="40"/>
  <c r="M234" i="40"/>
  <c r="I234" i="40"/>
  <c r="B234" i="40"/>
  <c r="AI233" i="40"/>
  <c r="AE233" i="40"/>
  <c r="W233" i="40"/>
  <c r="S233" i="40"/>
  <c r="O233" i="40"/>
  <c r="N233" i="40"/>
  <c r="M233" i="40"/>
  <c r="I233" i="40"/>
  <c r="B233" i="40"/>
  <c r="AI232" i="40"/>
  <c r="AE232" i="40"/>
  <c r="W232" i="40"/>
  <c r="S232" i="40"/>
  <c r="O232" i="40"/>
  <c r="N232" i="40"/>
  <c r="M232" i="40"/>
  <c r="I232" i="40"/>
  <c r="B232" i="40"/>
  <c r="AI231" i="40"/>
  <c r="AE231" i="40"/>
  <c r="W231" i="40"/>
  <c r="S231" i="40"/>
  <c r="O231" i="40"/>
  <c r="N231" i="40"/>
  <c r="M231" i="40"/>
  <c r="I231" i="40"/>
  <c r="B231" i="40"/>
  <c r="AI230" i="40"/>
  <c r="AE230" i="40"/>
  <c r="W230" i="40"/>
  <c r="S230" i="40"/>
  <c r="O230" i="40"/>
  <c r="N230" i="40"/>
  <c r="M230" i="40"/>
  <c r="I230" i="40"/>
  <c r="B230" i="40"/>
  <c r="AI229" i="40"/>
  <c r="AE229" i="40"/>
  <c r="W229" i="40"/>
  <c r="S229" i="40"/>
  <c r="O229" i="40"/>
  <c r="N229" i="40"/>
  <c r="M229" i="40"/>
  <c r="I229" i="40"/>
  <c r="B229" i="40"/>
  <c r="AI228" i="40"/>
  <c r="AE228" i="40"/>
  <c r="W228" i="40"/>
  <c r="S228" i="40"/>
  <c r="O228" i="40"/>
  <c r="N228" i="40"/>
  <c r="M228" i="40"/>
  <c r="I228" i="40"/>
  <c r="B228" i="40"/>
  <c r="AI227" i="40"/>
  <c r="AE227" i="40"/>
  <c r="W227" i="40"/>
  <c r="S227" i="40"/>
  <c r="O227" i="40"/>
  <c r="N227" i="40"/>
  <c r="M227" i="40"/>
  <c r="I227" i="40"/>
  <c r="B227" i="40"/>
  <c r="AI226" i="40"/>
  <c r="AE226" i="40"/>
  <c r="W226" i="40"/>
  <c r="S226" i="40"/>
  <c r="O226" i="40"/>
  <c r="N226" i="40"/>
  <c r="M226" i="40"/>
  <c r="I226" i="40"/>
  <c r="B226" i="40"/>
  <c r="AI225" i="40"/>
  <c r="AE225" i="40"/>
  <c r="W225" i="40"/>
  <c r="S225" i="40"/>
  <c r="O225" i="40"/>
  <c r="N225" i="40"/>
  <c r="M225" i="40"/>
  <c r="I225" i="40"/>
  <c r="B225" i="40"/>
  <c r="AI224" i="40"/>
  <c r="AE224" i="40"/>
  <c r="W224" i="40"/>
  <c r="S224" i="40"/>
  <c r="O224" i="40"/>
  <c r="N224" i="40"/>
  <c r="M224" i="40"/>
  <c r="I224" i="40"/>
  <c r="B224" i="40"/>
  <c r="AI223" i="40"/>
  <c r="AE223" i="40"/>
  <c r="W223" i="40"/>
  <c r="S223" i="40"/>
  <c r="O223" i="40"/>
  <c r="N223" i="40"/>
  <c r="M223" i="40"/>
  <c r="I223" i="40"/>
  <c r="B223" i="40"/>
  <c r="AI222" i="40"/>
  <c r="AE222" i="40"/>
  <c r="W222" i="40"/>
  <c r="S222" i="40"/>
  <c r="O222" i="40"/>
  <c r="N222" i="40"/>
  <c r="M222" i="40"/>
  <c r="I222" i="40"/>
  <c r="B222" i="40"/>
  <c r="AI221" i="40"/>
  <c r="AE221" i="40"/>
  <c r="W221" i="40"/>
  <c r="S221" i="40"/>
  <c r="O221" i="40"/>
  <c r="N221" i="40"/>
  <c r="M221" i="40"/>
  <c r="I221" i="40"/>
  <c r="B221" i="40"/>
  <c r="AI220" i="40"/>
  <c r="AE220" i="40"/>
  <c r="W220" i="40"/>
  <c r="S220" i="40"/>
  <c r="O220" i="40"/>
  <c r="N220" i="40"/>
  <c r="M220" i="40"/>
  <c r="I220" i="40"/>
  <c r="B220" i="40"/>
  <c r="AI219" i="40"/>
  <c r="AE219" i="40"/>
  <c r="W219" i="40"/>
  <c r="S219" i="40"/>
  <c r="O219" i="40"/>
  <c r="N219" i="40"/>
  <c r="M219" i="40"/>
  <c r="B219" i="40"/>
  <c r="AI218" i="40"/>
  <c r="AE218" i="40"/>
  <c r="W218" i="40"/>
  <c r="S218" i="40"/>
  <c r="O218" i="40"/>
  <c r="N218" i="40"/>
  <c r="M218" i="40"/>
  <c r="B218" i="40"/>
  <c r="AI217" i="40"/>
  <c r="AE217" i="40"/>
  <c r="W217" i="40"/>
  <c r="S217" i="40"/>
  <c r="O217" i="40"/>
  <c r="N217" i="40"/>
  <c r="M217" i="40"/>
  <c r="I217" i="40"/>
  <c r="B217" i="40"/>
  <c r="AI216" i="40"/>
  <c r="AE216" i="40"/>
  <c r="W216" i="40"/>
  <c r="S216" i="40"/>
  <c r="O216" i="40"/>
  <c r="N216" i="40"/>
  <c r="M216" i="40"/>
  <c r="I216" i="40"/>
  <c r="B216" i="40"/>
  <c r="AI215" i="40"/>
  <c r="AE215" i="40"/>
  <c r="W215" i="40"/>
  <c r="S215" i="40"/>
  <c r="O215" i="40"/>
  <c r="N215" i="40"/>
  <c r="M215" i="40"/>
  <c r="I215" i="40"/>
  <c r="B215" i="40"/>
  <c r="AI214" i="40"/>
  <c r="AE214" i="40"/>
  <c r="W214" i="40"/>
  <c r="S214" i="40"/>
  <c r="O214" i="40"/>
  <c r="N214" i="40"/>
  <c r="M214" i="40"/>
  <c r="I214" i="40"/>
  <c r="B214" i="40"/>
  <c r="AI213" i="40"/>
  <c r="AE213" i="40"/>
  <c r="W213" i="40"/>
  <c r="S213" i="40"/>
  <c r="O213" i="40"/>
  <c r="N213" i="40"/>
  <c r="M213" i="40"/>
  <c r="I213" i="40"/>
  <c r="B213" i="40"/>
  <c r="AI212" i="40"/>
  <c r="AE212" i="40"/>
  <c r="W212" i="40"/>
  <c r="S212" i="40"/>
  <c r="O212" i="40"/>
  <c r="N212" i="40"/>
  <c r="M212" i="40"/>
  <c r="I212" i="40"/>
  <c r="B212" i="40"/>
  <c r="AI211" i="40"/>
  <c r="AE211" i="40"/>
  <c r="W211" i="40"/>
  <c r="S211" i="40"/>
  <c r="O211" i="40"/>
  <c r="N211" i="40"/>
  <c r="M211" i="40"/>
  <c r="I211" i="40"/>
  <c r="B211" i="40"/>
  <c r="AI210" i="40"/>
  <c r="AE210" i="40"/>
  <c r="W210" i="40"/>
  <c r="S210" i="40"/>
  <c r="O210" i="40"/>
  <c r="N210" i="40"/>
  <c r="M210" i="40"/>
  <c r="I210" i="40"/>
  <c r="B210" i="40"/>
  <c r="AI209" i="40"/>
  <c r="AE209" i="40"/>
  <c r="W209" i="40"/>
  <c r="S209" i="40"/>
  <c r="O209" i="40"/>
  <c r="N209" i="40"/>
  <c r="M209" i="40"/>
  <c r="I209" i="40"/>
  <c r="B209" i="40"/>
  <c r="AI208" i="40"/>
  <c r="AE208" i="40"/>
  <c r="W208" i="40"/>
  <c r="S208" i="40"/>
  <c r="O208" i="40"/>
  <c r="N208" i="40"/>
  <c r="M208" i="40"/>
  <c r="I208" i="40"/>
  <c r="B208" i="40"/>
  <c r="AI207" i="40"/>
  <c r="AE207" i="40"/>
  <c r="W207" i="40"/>
  <c r="S207" i="40"/>
  <c r="O207" i="40"/>
  <c r="N207" i="40"/>
  <c r="M207" i="40"/>
  <c r="I207" i="40"/>
  <c r="B207" i="40"/>
  <c r="AI206" i="40"/>
  <c r="AE206" i="40"/>
  <c r="W206" i="40"/>
  <c r="S206" i="40"/>
  <c r="O206" i="40"/>
  <c r="N206" i="40"/>
  <c r="M206" i="40"/>
  <c r="I206" i="40"/>
  <c r="B206" i="40"/>
  <c r="AI205" i="40"/>
  <c r="AE205" i="40"/>
  <c r="W205" i="40"/>
  <c r="S205" i="40"/>
  <c r="O205" i="40"/>
  <c r="N205" i="40"/>
  <c r="M205" i="40"/>
  <c r="I205" i="40"/>
  <c r="B205" i="40"/>
  <c r="AI204" i="40"/>
  <c r="AE204" i="40"/>
  <c r="W204" i="40"/>
  <c r="S204" i="40"/>
  <c r="O204" i="40"/>
  <c r="N204" i="40"/>
  <c r="M204" i="40"/>
  <c r="I204" i="40"/>
  <c r="B204" i="40"/>
  <c r="AI203" i="40"/>
  <c r="AE203" i="40"/>
  <c r="W203" i="40"/>
  <c r="S203" i="40"/>
  <c r="O203" i="40"/>
  <c r="N203" i="40"/>
  <c r="M203" i="40"/>
  <c r="I203" i="40"/>
  <c r="B203" i="40"/>
  <c r="AI202" i="40"/>
  <c r="AE202" i="40"/>
  <c r="W202" i="40"/>
  <c r="S202" i="40"/>
  <c r="O202" i="40"/>
  <c r="N202" i="40"/>
  <c r="M202" i="40"/>
  <c r="I202" i="40"/>
  <c r="B202" i="40"/>
  <c r="AI201" i="40"/>
  <c r="AE201" i="40"/>
  <c r="W201" i="40"/>
  <c r="S201" i="40"/>
  <c r="O201" i="40"/>
  <c r="N201" i="40"/>
  <c r="M201" i="40"/>
  <c r="I201" i="40"/>
  <c r="B201" i="40"/>
  <c r="AI200" i="40"/>
  <c r="AE200" i="40"/>
  <c r="W200" i="40"/>
  <c r="S200" i="40"/>
  <c r="O200" i="40"/>
  <c r="N200" i="40"/>
  <c r="M200" i="40"/>
  <c r="I200" i="40"/>
  <c r="B200" i="40"/>
  <c r="AI199" i="40"/>
  <c r="AE199" i="40"/>
  <c r="W199" i="40"/>
  <c r="S199" i="40"/>
  <c r="O199" i="40"/>
  <c r="N199" i="40"/>
  <c r="M199" i="40"/>
  <c r="I199" i="40"/>
  <c r="B199" i="40"/>
  <c r="AI198" i="40"/>
  <c r="AE198" i="40"/>
  <c r="W198" i="40"/>
  <c r="S198" i="40"/>
  <c r="O198" i="40"/>
  <c r="N198" i="40"/>
  <c r="M198" i="40"/>
  <c r="I198" i="40"/>
  <c r="B198" i="40"/>
  <c r="AI197" i="40"/>
  <c r="AE197" i="40"/>
  <c r="W197" i="40"/>
  <c r="S197" i="40"/>
  <c r="O197" i="40"/>
  <c r="N197" i="40"/>
  <c r="M197" i="40"/>
  <c r="I197" i="40"/>
  <c r="B197" i="40"/>
  <c r="AI196" i="40"/>
  <c r="AE196" i="40"/>
  <c r="W196" i="40"/>
  <c r="S196" i="40"/>
  <c r="O196" i="40"/>
  <c r="N196" i="40"/>
  <c r="M196" i="40"/>
  <c r="I196" i="40"/>
  <c r="B196" i="40"/>
  <c r="AI195" i="40"/>
  <c r="AE195" i="40"/>
  <c r="W195" i="40"/>
  <c r="S195" i="40"/>
  <c r="O195" i="40"/>
  <c r="N195" i="40"/>
  <c r="M195" i="40"/>
  <c r="I195" i="40"/>
  <c r="B195" i="40"/>
  <c r="AI194" i="40"/>
  <c r="AE194" i="40"/>
  <c r="W194" i="40"/>
  <c r="S194" i="40"/>
  <c r="O194" i="40"/>
  <c r="N194" i="40"/>
  <c r="M194" i="40"/>
  <c r="I194" i="40"/>
  <c r="B194" i="40"/>
  <c r="AI193" i="40"/>
  <c r="AE193" i="40"/>
  <c r="W193" i="40"/>
  <c r="S193" i="40"/>
  <c r="O193" i="40"/>
  <c r="N193" i="40"/>
  <c r="M193" i="40"/>
  <c r="I193" i="40"/>
  <c r="B193" i="40"/>
  <c r="AI192" i="40"/>
  <c r="AE192" i="40"/>
  <c r="W192" i="40"/>
  <c r="S192" i="40"/>
  <c r="O192" i="40"/>
  <c r="N192" i="40"/>
  <c r="M192" i="40"/>
  <c r="I192" i="40"/>
  <c r="B192" i="40"/>
  <c r="AI191" i="40"/>
  <c r="AE191" i="40"/>
  <c r="W191" i="40"/>
  <c r="S191" i="40"/>
  <c r="O191" i="40"/>
  <c r="J191" i="40"/>
  <c r="M191" i="40" s="1"/>
  <c r="I191" i="40"/>
  <c r="B191" i="40"/>
  <c r="AI190" i="40"/>
  <c r="AE190" i="40"/>
  <c r="W190" i="40"/>
  <c r="S190" i="40"/>
  <c r="O190" i="40"/>
  <c r="J190" i="40"/>
  <c r="M190" i="40" s="1"/>
  <c r="I190" i="40"/>
  <c r="B190" i="40"/>
  <c r="AI189" i="40"/>
  <c r="AE189" i="40"/>
  <c r="W189" i="40"/>
  <c r="S189" i="40"/>
  <c r="O189" i="40"/>
  <c r="N189" i="40"/>
  <c r="M189" i="40"/>
  <c r="I189" i="40"/>
  <c r="B189" i="40"/>
  <c r="AI188" i="40"/>
  <c r="AE188" i="40"/>
  <c r="W188" i="40"/>
  <c r="S188" i="40"/>
  <c r="O188" i="40"/>
  <c r="N188" i="40"/>
  <c r="M188" i="40"/>
  <c r="I188" i="40"/>
  <c r="B188" i="40"/>
  <c r="AI187" i="40"/>
  <c r="AE187" i="40"/>
  <c r="W187" i="40"/>
  <c r="S187" i="40"/>
  <c r="O187" i="40"/>
  <c r="N187" i="40"/>
  <c r="M187" i="40"/>
  <c r="I187" i="40"/>
  <c r="B187" i="40"/>
  <c r="AI186" i="40"/>
  <c r="AE186" i="40"/>
  <c r="W186" i="40"/>
  <c r="S186" i="40"/>
  <c r="O186" i="40"/>
  <c r="N186" i="40"/>
  <c r="M186" i="40"/>
  <c r="I186" i="40"/>
  <c r="B186" i="40"/>
  <c r="AI185" i="40"/>
  <c r="AE185" i="40"/>
  <c r="W185" i="40"/>
  <c r="S185" i="40"/>
  <c r="O185" i="40"/>
  <c r="N185" i="40"/>
  <c r="M185" i="40"/>
  <c r="I185" i="40"/>
  <c r="B185" i="40"/>
  <c r="AI184" i="40"/>
  <c r="AE184" i="40"/>
  <c r="W184" i="40"/>
  <c r="S184" i="40"/>
  <c r="O184" i="40"/>
  <c r="N184" i="40"/>
  <c r="M184" i="40"/>
  <c r="I184" i="40"/>
  <c r="B184" i="40"/>
  <c r="AI183" i="40"/>
  <c r="AE183" i="40"/>
  <c r="W183" i="40"/>
  <c r="S183" i="40"/>
  <c r="O183" i="40"/>
  <c r="N183" i="40"/>
  <c r="M183" i="40"/>
  <c r="I183" i="40"/>
  <c r="B183" i="40"/>
  <c r="AI182" i="40"/>
  <c r="AE182" i="40"/>
  <c r="U182" i="40"/>
  <c r="W182" i="40" s="1"/>
  <c r="S182" i="40"/>
  <c r="O182" i="40"/>
  <c r="N182" i="40"/>
  <c r="M182" i="40"/>
  <c r="I182" i="40"/>
  <c r="B182" i="40"/>
  <c r="AI181" i="40"/>
  <c r="AE181" i="40"/>
  <c r="W181" i="40"/>
  <c r="S181" i="40"/>
  <c r="O181" i="40"/>
  <c r="N181" i="40"/>
  <c r="M181" i="40"/>
  <c r="I181" i="40"/>
  <c r="B181" i="40"/>
  <c r="AI180" i="40"/>
  <c r="AE180" i="40"/>
  <c r="W180" i="40"/>
  <c r="S180" i="40"/>
  <c r="O180" i="40"/>
  <c r="N180" i="40"/>
  <c r="M180" i="40"/>
  <c r="I180" i="40"/>
  <c r="B180" i="40"/>
  <c r="AI179" i="40"/>
  <c r="AE179" i="40"/>
  <c r="W179" i="40"/>
  <c r="S179" i="40"/>
  <c r="O179" i="40"/>
  <c r="J179" i="40"/>
  <c r="N179" i="40" s="1"/>
  <c r="I179" i="40"/>
  <c r="B179" i="40"/>
  <c r="AI178" i="40"/>
  <c r="AE178" i="40"/>
  <c r="W178" i="40"/>
  <c r="S178" i="40"/>
  <c r="O178" i="40"/>
  <c r="N178" i="40"/>
  <c r="M178" i="40"/>
  <c r="I178" i="40"/>
  <c r="B178" i="40"/>
  <c r="AI177" i="40"/>
  <c r="AE177" i="40"/>
  <c r="W177" i="40"/>
  <c r="S177" i="40"/>
  <c r="O177" i="40"/>
  <c r="J177" i="40"/>
  <c r="N177" i="40" s="1"/>
  <c r="I177" i="40"/>
  <c r="B177" i="40"/>
  <c r="AI176" i="40"/>
  <c r="AE176" i="40"/>
  <c r="W176" i="40"/>
  <c r="S176" i="40"/>
  <c r="O176" i="40"/>
  <c r="J176" i="40"/>
  <c r="N176" i="40" s="1"/>
  <c r="I176" i="40"/>
  <c r="B176" i="40"/>
  <c r="AI175" i="40"/>
  <c r="AE175" i="40"/>
  <c r="T175" i="40"/>
  <c r="W175" i="40" s="1"/>
  <c r="P175" i="40"/>
  <c r="S175" i="40" s="1"/>
  <c r="O175" i="40"/>
  <c r="N175" i="40"/>
  <c r="M175" i="40"/>
  <c r="I175" i="40"/>
  <c r="B175" i="40"/>
  <c r="AI174" i="40"/>
  <c r="AE174" i="40"/>
  <c r="W174" i="40"/>
  <c r="S174" i="40"/>
  <c r="O174" i="40"/>
  <c r="J174" i="40"/>
  <c r="N174" i="40" s="1"/>
  <c r="I174" i="40"/>
  <c r="B174" i="40"/>
  <c r="AI173" i="40"/>
  <c r="AE173" i="40"/>
  <c r="W173" i="40"/>
  <c r="S173" i="40"/>
  <c r="O173" i="40"/>
  <c r="N173" i="40"/>
  <c r="M173" i="40"/>
  <c r="I173" i="40"/>
  <c r="B173" i="40"/>
  <c r="AI172" i="40"/>
  <c r="AE172" i="40"/>
  <c r="W172" i="40"/>
  <c r="S172" i="40"/>
  <c r="O172" i="40"/>
  <c r="N172" i="40"/>
  <c r="M172" i="40"/>
  <c r="I172" i="40"/>
  <c r="B172" i="40"/>
  <c r="AI171" i="40"/>
  <c r="AE171" i="40"/>
  <c r="W171" i="40"/>
  <c r="S171" i="40"/>
  <c r="O171" i="40"/>
  <c r="N171" i="40"/>
  <c r="M171" i="40"/>
  <c r="I171" i="40"/>
  <c r="B171" i="40"/>
  <c r="AI170" i="40"/>
  <c r="AE170" i="40"/>
  <c r="W170" i="40"/>
  <c r="S170" i="40"/>
  <c r="O170" i="40"/>
  <c r="N170" i="40"/>
  <c r="M170" i="40"/>
  <c r="I170" i="40"/>
  <c r="B170" i="40"/>
  <c r="AI169" i="40"/>
  <c r="AE169" i="40"/>
  <c r="W169" i="40"/>
  <c r="S169" i="40"/>
  <c r="O169" i="40"/>
  <c r="N169" i="40"/>
  <c r="M169" i="40"/>
  <c r="I169" i="40"/>
  <c r="B169" i="40"/>
  <c r="AI168" i="40"/>
  <c r="AE168" i="40"/>
  <c r="W168" i="40"/>
  <c r="S168" i="40"/>
  <c r="O168" i="40"/>
  <c r="N168" i="40"/>
  <c r="M168" i="40"/>
  <c r="I168" i="40"/>
  <c r="B168" i="40"/>
  <c r="AI167" i="40"/>
  <c r="AE167" i="40"/>
  <c r="W167" i="40"/>
  <c r="S167" i="40"/>
  <c r="O167" i="40"/>
  <c r="N167" i="40"/>
  <c r="M167" i="40"/>
  <c r="I167" i="40"/>
  <c r="B167" i="40"/>
  <c r="AI166" i="40"/>
  <c r="AE166" i="40"/>
  <c r="W166" i="40"/>
  <c r="S166" i="40"/>
  <c r="O166" i="40"/>
  <c r="N166" i="40"/>
  <c r="M166" i="40"/>
  <c r="I166" i="40"/>
  <c r="B166" i="40"/>
  <c r="AI165" i="40"/>
  <c r="AE165" i="40"/>
  <c r="W165" i="40"/>
  <c r="S165" i="40"/>
  <c r="O165" i="40"/>
  <c r="N165" i="40"/>
  <c r="M165" i="40"/>
  <c r="I165" i="40"/>
  <c r="B165" i="40"/>
  <c r="AI164" i="40"/>
  <c r="AE164" i="40"/>
  <c r="W164" i="40"/>
  <c r="S164" i="40"/>
  <c r="O164" i="40"/>
  <c r="N164" i="40"/>
  <c r="M164" i="40"/>
  <c r="I164" i="40"/>
  <c r="B164" i="40"/>
  <c r="AI163" i="40"/>
  <c r="AE163" i="40"/>
  <c r="W163" i="40"/>
  <c r="S163" i="40"/>
  <c r="O163" i="40"/>
  <c r="N163" i="40"/>
  <c r="M163" i="40"/>
  <c r="I163" i="40"/>
  <c r="B163" i="40"/>
  <c r="AI162" i="40"/>
  <c r="AE162" i="40"/>
  <c r="W162" i="40"/>
  <c r="S162" i="40"/>
  <c r="O162" i="40"/>
  <c r="N162" i="40"/>
  <c r="M162" i="40"/>
  <c r="I162" i="40"/>
  <c r="B162" i="40"/>
  <c r="AI161" i="40"/>
  <c r="AE161" i="40"/>
  <c r="W161" i="40"/>
  <c r="S161" i="40"/>
  <c r="O161" i="40"/>
  <c r="N161" i="40"/>
  <c r="M161" i="40"/>
  <c r="I161" i="40"/>
  <c r="B161" i="40"/>
  <c r="AI160" i="40"/>
  <c r="AE160" i="40"/>
  <c r="W160" i="40"/>
  <c r="S160" i="40"/>
  <c r="O160" i="40"/>
  <c r="N160" i="40"/>
  <c r="M160" i="40"/>
  <c r="I160" i="40"/>
  <c r="B160" i="40"/>
  <c r="AI159" i="40"/>
  <c r="AE159" i="40"/>
  <c r="W159" i="40"/>
  <c r="S159" i="40"/>
  <c r="O159" i="40"/>
  <c r="N159" i="40"/>
  <c r="M159" i="40"/>
  <c r="I159" i="40"/>
  <c r="B159" i="40"/>
  <c r="AI158" i="40"/>
  <c r="AE158" i="40"/>
  <c r="W158" i="40"/>
  <c r="S158" i="40"/>
  <c r="O158" i="40"/>
  <c r="N158" i="40"/>
  <c r="M158" i="40"/>
  <c r="I158" i="40"/>
  <c r="B158" i="40"/>
  <c r="AI157" i="40"/>
  <c r="AE157" i="40"/>
  <c r="W157" i="40"/>
  <c r="S157" i="40"/>
  <c r="O157" i="40"/>
  <c r="N157" i="40"/>
  <c r="M157" i="40"/>
  <c r="I157" i="40"/>
  <c r="B157" i="40"/>
  <c r="AI156" i="40"/>
  <c r="AE156" i="40"/>
  <c r="W156" i="40"/>
  <c r="S156" i="40"/>
  <c r="O156" i="40"/>
  <c r="N156" i="40"/>
  <c r="M156" i="40"/>
  <c r="I156" i="40"/>
  <c r="B156" i="40"/>
  <c r="AI155" i="40"/>
  <c r="AE155" i="40"/>
  <c r="W155" i="40"/>
  <c r="S155" i="40"/>
  <c r="O155" i="40"/>
  <c r="N155" i="40"/>
  <c r="M155" i="40"/>
  <c r="I155" i="40"/>
  <c r="B155" i="40"/>
  <c r="AI154" i="40"/>
  <c r="AE154" i="40"/>
  <c r="W154" i="40"/>
  <c r="S154" i="40"/>
  <c r="O154" i="40"/>
  <c r="N154" i="40"/>
  <c r="M154" i="40"/>
  <c r="I154" i="40"/>
  <c r="B154" i="40"/>
  <c r="AI153" i="40"/>
  <c r="AE153" i="40"/>
  <c r="W153" i="40"/>
  <c r="S153" i="40"/>
  <c r="O153" i="40"/>
  <c r="N153" i="40"/>
  <c r="M153" i="40"/>
  <c r="I153" i="40"/>
  <c r="B153" i="40"/>
  <c r="AI152" i="40"/>
  <c r="AE152" i="40"/>
  <c r="W152" i="40"/>
  <c r="S152" i="40"/>
  <c r="O152" i="40"/>
  <c r="N152" i="40"/>
  <c r="M152" i="40"/>
  <c r="I152" i="40"/>
  <c r="B152" i="40"/>
  <c r="AI151" i="40"/>
  <c r="AE151" i="40"/>
  <c r="W151" i="40"/>
  <c r="S151" i="40"/>
  <c r="O151" i="40"/>
  <c r="N151" i="40"/>
  <c r="M151" i="40"/>
  <c r="I151" i="40"/>
  <c r="B151" i="40"/>
  <c r="AI150" i="40"/>
  <c r="AE150" i="40"/>
  <c r="W150" i="40"/>
  <c r="S150" i="40"/>
  <c r="O150" i="40"/>
  <c r="N150" i="40"/>
  <c r="M150" i="40"/>
  <c r="I150" i="40"/>
  <c r="B150" i="40"/>
  <c r="AI149" i="40"/>
  <c r="AE149" i="40"/>
  <c r="W149" i="40"/>
  <c r="S149" i="40"/>
  <c r="O149" i="40"/>
  <c r="N149" i="40"/>
  <c r="M149" i="40"/>
  <c r="I149" i="40"/>
  <c r="B149" i="40"/>
  <c r="AI148" i="40"/>
  <c r="AE148" i="40"/>
  <c r="W148" i="40"/>
  <c r="S148" i="40"/>
  <c r="O148" i="40"/>
  <c r="N148" i="40"/>
  <c r="M148" i="40"/>
  <c r="I148" i="40"/>
  <c r="B148" i="40"/>
  <c r="AI147" i="40"/>
  <c r="AE147" i="40"/>
  <c r="W147" i="40"/>
  <c r="S147" i="40"/>
  <c r="O147" i="40"/>
  <c r="N147" i="40"/>
  <c r="M147" i="40"/>
  <c r="I147" i="40"/>
  <c r="B147" i="40"/>
  <c r="AI146" i="40"/>
  <c r="AE146" i="40"/>
  <c r="W146" i="40"/>
  <c r="S146" i="40"/>
  <c r="O146" i="40"/>
  <c r="N146" i="40"/>
  <c r="M146" i="40"/>
  <c r="I146" i="40"/>
  <c r="B146" i="40"/>
  <c r="AI145" i="40"/>
  <c r="AE145" i="40"/>
  <c r="W145" i="40"/>
  <c r="S145" i="40"/>
  <c r="O145" i="40"/>
  <c r="N145" i="40"/>
  <c r="M145" i="40"/>
  <c r="I145" i="40"/>
  <c r="B145" i="40"/>
  <c r="AI144" i="40"/>
  <c r="AE144" i="40"/>
  <c r="W144" i="40"/>
  <c r="S144" i="40"/>
  <c r="O144" i="40"/>
  <c r="N144" i="40"/>
  <c r="M144" i="40"/>
  <c r="I144" i="40"/>
  <c r="B144" i="40"/>
  <c r="AI143" i="40"/>
  <c r="AE143" i="40"/>
  <c r="W143" i="40"/>
  <c r="S143" i="40"/>
  <c r="O143" i="40"/>
  <c r="N143" i="40"/>
  <c r="M143" i="40"/>
  <c r="I143" i="40"/>
  <c r="B143" i="40"/>
  <c r="AI142" i="40"/>
  <c r="AE142" i="40"/>
  <c r="W142" i="40"/>
  <c r="S142" i="40"/>
  <c r="O142" i="40"/>
  <c r="N142" i="40"/>
  <c r="M142" i="40"/>
  <c r="I142" i="40"/>
  <c r="B142" i="40"/>
  <c r="AI141" i="40"/>
  <c r="AE141" i="40"/>
  <c r="W141" i="40"/>
  <c r="S141" i="40"/>
  <c r="O141" i="40"/>
  <c r="N141" i="40"/>
  <c r="M141" i="40"/>
  <c r="I141" i="40"/>
  <c r="B141" i="40"/>
  <c r="AI140" i="40"/>
  <c r="AE140" i="40"/>
  <c r="W140" i="40"/>
  <c r="S140" i="40"/>
  <c r="O140" i="40"/>
  <c r="N140" i="40"/>
  <c r="M140" i="40"/>
  <c r="I140" i="40"/>
  <c r="B140" i="40"/>
  <c r="AI139" i="40"/>
  <c r="AE139" i="40"/>
  <c r="W139" i="40"/>
  <c r="S139" i="40"/>
  <c r="O139" i="40"/>
  <c r="N139" i="40"/>
  <c r="M139" i="40"/>
  <c r="I139" i="40"/>
  <c r="B139" i="40"/>
  <c r="AI138" i="40"/>
  <c r="AE138" i="40"/>
  <c r="W138" i="40"/>
  <c r="S138" i="40"/>
  <c r="O138" i="40"/>
  <c r="N138" i="40"/>
  <c r="M138" i="40"/>
  <c r="I138" i="40"/>
  <c r="B138" i="40"/>
  <c r="AI137" i="40"/>
  <c r="AE137" i="40"/>
  <c r="W137" i="40"/>
  <c r="S137" i="40"/>
  <c r="O137" i="40"/>
  <c r="N137" i="40"/>
  <c r="M137" i="40"/>
  <c r="I137" i="40"/>
  <c r="B137" i="40"/>
  <c r="AI136" i="40"/>
  <c r="AE136" i="40"/>
  <c r="W136" i="40"/>
  <c r="S136" i="40"/>
  <c r="O136" i="40"/>
  <c r="N136" i="40"/>
  <c r="M136" i="40"/>
  <c r="I136" i="40"/>
  <c r="B136" i="40"/>
  <c r="AI135" i="40"/>
  <c r="AE135" i="40"/>
  <c r="W135" i="40"/>
  <c r="S135" i="40"/>
  <c r="O135" i="40"/>
  <c r="N135" i="40"/>
  <c r="M135" i="40"/>
  <c r="I135" i="40"/>
  <c r="B135" i="40"/>
  <c r="AI134" i="40"/>
  <c r="AE134" i="40"/>
  <c r="W134" i="40"/>
  <c r="S134" i="40"/>
  <c r="O134" i="40"/>
  <c r="N134" i="40"/>
  <c r="M134" i="40"/>
  <c r="I134" i="40"/>
  <c r="B134" i="40"/>
  <c r="AI133" i="40"/>
  <c r="AE133" i="40"/>
  <c r="W133" i="40"/>
  <c r="S133" i="40"/>
  <c r="O133" i="40"/>
  <c r="N133" i="40"/>
  <c r="M133" i="40"/>
  <c r="I133" i="40"/>
  <c r="B133" i="40"/>
  <c r="AI132" i="40"/>
  <c r="AE132" i="40"/>
  <c r="W132" i="40"/>
  <c r="S132" i="40"/>
  <c r="O132" i="40"/>
  <c r="N132" i="40"/>
  <c r="M132" i="40"/>
  <c r="I132" i="40"/>
  <c r="B132" i="40"/>
  <c r="AI131" i="40"/>
  <c r="AE131" i="40"/>
  <c r="W131" i="40"/>
  <c r="S131" i="40"/>
  <c r="O131" i="40"/>
  <c r="N131" i="40"/>
  <c r="M131" i="40"/>
  <c r="I131" i="40"/>
  <c r="B131" i="40"/>
  <c r="AI130" i="40"/>
  <c r="AE130" i="40"/>
  <c r="W130" i="40"/>
  <c r="S130" i="40"/>
  <c r="O130" i="40"/>
  <c r="N130" i="40"/>
  <c r="M130" i="40"/>
  <c r="I130" i="40"/>
  <c r="B130" i="40"/>
  <c r="AI129" i="40"/>
  <c r="AE129" i="40"/>
  <c r="W129" i="40"/>
  <c r="S129" i="40"/>
  <c r="O129" i="40"/>
  <c r="N129" i="40"/>
  <c r="M129" i="40"/>
  <c r="I129" i="40"/>
  <c r="B129" i="40"/>
  <c r="AI128" i="40"/>
  <c r="AE128" i="40"/>
  <c r="W128" i="40"/>
  <c r="S128" i="40"/>
  <c r="O128" i="40"/>
  <c r="N128" i="40"/>
  <c r="M128" i="40"/>
  <c r="I128" i="40"/>
  <c r="B128" i="40"/>
  <c r="AI127" i="40"/>
  <c r="AE127" i="40"/>
  <c r="W127" i="40"/>
  <c r="S127" i="40"/>
  <c r="O127" i="40"/>
  <c r="N127" i="40"/>
  <c r="M127" i="40"/>
  <c r="I127" i="40"/>
  <c r="B127" i="40"/>
  <c r="AI126" i="40"/>
  <c r="AE126" i="40"/>
  <c r="W126" i="40"/>
  <c r="S126" i="40"/>
  <c r="O126" i="40"/>
  <c r="N126" i="40"/>
  <c r="M126" i="40"/>
  <c r="I126" i="40"/>
  <c r="B126" i="40"/>
  <c r="AI125" i="40"/>
  <c r="AE125" i="40"/>
  <c r="W125" i="40"/>
  <c r="S125" i="40"/>
  <c r="O125" i="40"/>
  <c r="N125" i="40"/>
  <c r="M125" i="40"/>
  <c r="I125" i="40"/>
  <c r="B125" i="40"/>
  <c r="AI124" i="40"/>
  <c r="AE124" i="40"/>
  <c r="W124" i="40"/>
  <c r="S124" i="40"/>
  <c r="O124" i="40"/>
  <c r="N124" i="40"/>
  <c r="M124" i="40"/>
  <c r="I124" i="40"/>
  <c r="B124" i="40"/>
  <c r="AI123" i="40"/>
  <c r="AE123" i="40"/>
  <c r="W123" i="40"/>
  <c r="S123" i="40"/>
  <c r="O123" i="40"/>
  <c r="N123" i="40"/>
  <c r="M123" i="40"/>
  <c r="I123" i="40"/>
  <c r="B123" i="40"/>
  <c r="AI122" i="40"/>
  <c r="AE122" i="40"/>
  <c r="W122" i="40"/>
  <c r="S122" i="40"/>
  <c r="O122" i="40"/>
  <c r="N122" i="40"/>
  <c r="M122" i="40"/>
  <c r="I122" i="40"/>
  <c r="B122" i="40"/>
  <c r="AI121" i="40"/>
  <c r="AE121" i="40"/>
  <c r="W121" i="40"/>
  <c r="S121" i="40"/>
  <c r="O121" i="40"/>
  <c r="N121" i="40"/>
  <c r="M121" i="40"/>
  <c r="I121" i="40"/>
  <c r="B121" i="40"/>
  <c r="AI120" i="40"/>
  <c r="AE120" i="40"/>
  <c r="W120" i="40"/>
  <c r="S120" i="40"/>
  <c r="O120" i="40"/>
  <c r="N120" i="40"/>
  <c r="M120" i="40"/>
  <c r="I120" i="40"/>
  <c r="B120" i="40"/>
  <c r="AI119" i="40"/>
  <c r="AE119" i="40"/>
  <c r="W119" i="40"/>
  <c r="S119" i="40"/>
  <c r="O119" i="40"/>
  <c r="N119" i="40"/>
  <c r="M119" i="40"/>
  <c r="I119" i="40"/>
  <c r="B119" i="40"/>
  <c r="AI118" i="40"/>
  <c r="AE118" i="40"/>
  <c r="W118" i="40"/>
  <c r="S118" i="40"/>
  <c r="O118" i="40"/>
  <c r="N118" i="40"/>
  <c r="M118" i="40"/>
  <c r="I118" i="40"/>
  <c r="B118" i="40"/>
  <c r="AI117" i="40"/>
  <c r="AE117" i="40"/>
  <c r="W117" i="40"/>
  <c r="S117" i="40"/>
  <c r="O117" i="40"/>
  <c r="N117" i="40"/>
  <c r="M117" i="40"/>
  <c r="I117" i="40"/>
  <c r="B117" i="40"/>
  <c r="AI116" i="40"/>
  <c r="AE116" i="40"/>
  <c r="W116" i="40"/>
  <c r="S116" i="40"/>
  <c r="O116" i="40"/>
  <c r="N116" i="40"/>
  <c r="M116" i="40"/>
  <c r="I116" i="40"/>
  <c r="B116" i="40"/>
  <c r="AI115" i="40"/>
  <c r="AE115" i="40"/>
  <c r="W115" i="40"/>
  <c r="S115" i="40"/>
  <c r="O115" i="40"/>
  <c r="N115" i="40"/>
  <c r="M115" i="40"/>
  <c r="I115" i="40"/>
  <c r="B115" i="40"/>
  <c r="AI114" i="40"/>
  <c r="AE114" i="40"/>
  <c r="W114" i="40"/>
  <c r="S114" i="40"/>
  <c r="O114" i="40"/>
  <c r="N114" i="40"/>
  <c r="M114" i="40"/>
  <c r="I114" i="40"/>
  <c r="B114" i="40"/>
  <c r="AI113" i="40"/>
  <c r="AE113" i="40"/>
  <c r="W113" i="40"/>
  <c r="S113" i="40"/>
  <c r="O113" i="40"/>
  <c r="N113" i="40"/>
  <c r="M113" i="40"/>
  <c r="I113" i="40"/>
  <c r="B113" i="40"/>
  <c r="AI112" i="40"/>
  <c r="AE112" i="40"/>
  <c r="W112" i="40"/>
  <c r="S112" i="40"/>
  <c r="O112" i="40"/>
  <c r="N112" i="40"/>
  <c r="M112" i="40"/>
  <c r="I112" i="40"/>
  <c r="B112" i="40"/>
  <c r="AI111" i="40"/>
  <c r="AE111" i="40"/>
  <c r="W111" i="40"/>
  <c r="S111" i="40"/>
  <c r="O111" i="40"/>
  <c r="N111" i="40"/>
  <c r="M111" i="40"/>
  <c r="I111" i="40"/>
  <c r="B111" i="40"/>
  <c r="AI110" i="40"/>
  <c r="AE110" i="40"/>
  <c r="W110" i="40"/>
  <c r="S110" i="40"/>
  <c r="O110" i="40"/>
  <c r="N110" i="40"/>
  <c r="M110" i="40"/>
  <c r="I110" i="40"/>
  <c r="B110" i="40"/>
  <c r="AI109" i="40"/>
  <c r="AE109" i="40"/>
  <c r="W109" i="40"/>
  <c r="S109" i="40"/>
  <c r="O109" i="40"/>
  <c r="N109" i="40"/>
  <c r="M109" i="40"/>
  <c r="I109" i="40"/>
  <c r="B109" i="40"/>
  <c r="AI108" i="40"/>
  <c r="AE108" i="40"/>
  <c r="W108" i="40"/>
  <c r="S108" i="40"/>
  <c r="O108" i="40"/>
  <c r="N108" i="40"/>
  <c r="M108" i="40"/>
  <c r="I108" i="40"/>
  <c r="B108" i="40"/>
  <c r="AI107" i="40"/>
  <c r="AE107" i="40"/>
  <c r="W107" i="40"/>
  <c r="S107" i="40"/>
  <c r="O107" i="40"/>
  <c r="N107" i="40"/>
  <c r="M107" i="40"/>
  <c r="I107" i="40"/>
  <c r="B107" i="40"/>
  <c r="AI106" i="40"/>
  <c r="AE106" i="40"/>
  <c r="W106" i="40"/>
  <c r="S106" i="40"/>
  <c r="O106" i="40"/>
  <c r="N106" i="40"/>
  <c r="M106" i="40"/>
  <c r="I106" i="40"/>
  <c r="B106" i="40"/>
  <c r="AI105" i="40"/>
  <c r="AE105" i="40"/>
  <c r="W105" i="40"/>
  <c r="S105" i="40"/>
  <c r="O105" i="40"/>
  <c r="N105" i="40"/>
  <c r="M105" i="40"/>
  <c r="I105" i="40"/>
  <c r="B105" i="40"/>
  <c r="AI104" i="40"/>
  <c r="AE104" i="40"/>
  <c r="W104" i="40"/>
  <c r="S104" i="40"/>
  <c r="O104" i="40"/>
  <c r="N104" i="40"/>
  <c r="M104" i="40"/>
  <c r="I104" i="40"/>
  <c r="B104" i="40"/>
  <c r="AI103" i="40"/>
  <c r="AE103" i="40"/>
  <c r="W103" i="40"/>
  <c r="S103" i="40"/>
  <c r="O103" i="40"/>
  <c r="N103" i="40"/>
  <c r="M103" i="40"/>
  <c r="I103" i="40"/>
  <c r="B103" i="40"/>
  <c r="AI102" i="40"/>
  <c r="AE102" i="40"/>
  <c r="W102" i="40"/>
  <c r="S102" i="40"/>
  <c r="O102" i="40"/>
  <c r="N102" i="40"/>
  <c r="M102" i="40"/>
  <c r="I102" i="40"/>
  <c r="B102" i="40"/>
  <c r="AI101" i="40"/>
  <c r="AE101" i="40"/>
  <c r="W101" i="40"/>
  <c r="S101" i="40"/>
  <c r="O101" i="40"/>
  <c r="N101" i="40"/>
  <c r="M101" i="40"/>
  <c r="I101" i="40"/>
  <c r="B101" i="40"/>
  <c r="AI100" i="40"/>
  <c r="AE100" i="40"/>
  <c r="W100" i="40"/>
  <c r="S100" i="40"/>
  <c r="O100" i="40"/>
  <c r="N100" i="40"/>
  <c r="M100" i="40"/>
  <c r="I100" i="40"/>
  <c r="B100" i="40"/>
  <c r="AI99" i="40"/>
  <c r="AE99" i="40"/>
  <c r="W99" i="40"/>
  <c r="S99" i="40"/>
  <c r="O99" i="40"/>
  <c r="N99" i="40"/>
  <c r="M99" i="40"/>
  <c r="I99" i="40"/>
  <c r="B99" i="40"/>
  <c r="AI98" i="40"/>
  <c r="AE98" i="40"/>
  <c r="W98" i="40"/>
  <c r="S98" i="40"/>
  <c r="O98" i="40"/>
  <c r="N98" i="40"/>
  <c r="M98" i="40"/>
  <c r="I98" i="40"/>
  <c r="B98" i="40"/>
  <c r="AI97" i="40"/>
  <c r="AE97" i="40"/>
  <c r="W97" i="40"/>
  <c r="S97" i="40"/>
  <c r="O97" i="40"/>
  <c r="N97" i="40"/>
  <c r="M97" i="40"/>
  <c r="I97" i="40"/>
  <c r="B97" i="40"/>
  <c r="AI96" i="40"/>
  <c r="AE96" i="40"/>
  <c r="W96" i="40"/>
  <c r="S96" i="40"/>
  <c r="O96" i="40"/>
  <c r="N96" i="40"/>
  <c r="M96" i="40"/>
  <c r="I96" i="40"/>
  <c r="B96" i="40"/>
  <c r="AI95" i="40"/>
  <c r="AE95" i="40"/>
  <c r="W95" i="40"/>
  <c r="S95" i="40"/>
  <c r="O95" i="40"/>
  <c r="N95" i="40"/>
  <c r="M95" i="40"/>
  <c r="I95" i="40"/>
  <c r="B95" i="40"/>
  <c r="AI94" i="40"/>
  <c r="AE94" i="40"/>
  <c r="W94" i="40"/>
  <c r="S94" i="40"/>
  <c r="O94" i="40"/>
  <c r="N94" i="40"/>
  <c r="M94" i="40"/>
  <c r="I94" i="40"/>
  <c r="B94" i="40"/>
  <c r="AI93" i="40"/>
  <c r="AE93" i="40"/>
  <c r="W93" i="40"/>
  <c r="S93" i="40"/>
  <c r="O93" i="40"/>
  <c r="N93" i="40"/>
  <c r="M93" i="40"/>
  <c r="I93" i="40"/>
  <c r="B93" i="40"/>
  <c r="AI92" i="40"/>
  <c r="AE92" i="40"/>
  <c r="W92" i="40"/>
  <c r="S92" i="40"/>
  <c r="O92" i="40"/>
  <c r="N92" i="40"/>
  <c r="M92" i="40"/>
  <c r="I92" i="40"/>
  <c r="B92" i="40"/>
  <c r="AI91" i="40"/>
  <c r="AE91" i="40"/>
  <c r="W91" i="40"/>
  <c r="S91" i="40"/>
  <c r="O91" i="40"/>
  <c r="N91" i="40"/>
  <c r="M91" i="40"/>
  <c r="I91" i="40"/>
  <c r="B91" i="40"/>
  <c r="AI90" i="40"/>
  <c r="AE90" i="40"/>
  <c r="W90" i="40"/>
  <c r="S90" i="40"/>
  <c r="O90" i="40"/>
  <c r="N90" i="40"/>
  <c r="M90" i="40"/>
  <c r="I90" i="40"/>
  <c r="B90" i="40"/>
  <c r="AI89" i="40"/>
  <c r="AE89" i="40"/>
  <c r="W89" i="40"/>
  <c r="S89" i="40"/>
  <c r="O89" i="40"/>
  <c r="N89" i="40"/>
  <c r="M89" i="40"/>
  <c r="I89" i="40"/>
  <c r="B89" i="40"/>
  <c r="AI88" i="40"/>
  <c r="AE88" i="40"/>
  <c r="W88" i="40"/>
  <c r="S88" i="40"/>
  <c r="O88" i="40"/>
  <c r="N88" i="40"/>
  <c r="M88" i="40"/>
  <c r="I88" i="40"/>
  <c r="B88" i="40"/>
  <c r="AI87" i="40"/>
  <c r="AE87" i="40"/>
  <c r="W87" i="40"/>
  <c r="S87" i="40"/>
  <c r="O87" i="40"/>
  <c r="N87" i="40"/>
  <c r="M87" i="40"/>
  <c r="I87" i="40"/>
  <c r="B87" i="40"/>
  <c r="AI86" i="40"/>
  <c r="AE86" i="40"/>
  <c r="W86" i="40"/>
  <c r="S86" i="40"/>
  <c r="O86" i="40"/>
  <c r="N86" i="40"/>
  <c r="M86" i="40"/>
  <c r="I86" i="40"/>
  <c r="B86" i="40"/>
  <c r="AI85" i="40"/>
  <c r="AE85" i="40"/>
  <c r="W85" i="40"/>
  <c r="S85" i="40"/>
  <c r="O85" i="40"/>
  <c r="N85" i="40"/>
  <c r="M85" i="40"/>
  <c r="I85" i="40"/>
  <c r="B85" i="40"/>
  <c r="AI84" i="40"/>
  <c r="AE84" i="40"/>
  <c r="W84" i="40"/>
  <c r="S84" i="40"/>
  <c r="O84" i="40"/>
  <c r="N84" i="40"/>
  <c r="M84" i="40"/>
  <c r="I84" i="40"/>
  <c r="B84" i="40"/>
  <c r="AI83" i="40"/>
  <c r="AE83" i="40"/>
  <c r="W83" i="40"/>
  <c r="S83" i="40"/>
  <c r="O83" i="40"/>
  <c r="N83" i="40"/>
  <c r="M83" i="40"/>
  <c r="I83" i="40"/>
  <c r="B83" i="40"/>
  <c r="AI82" i="40"/>
  <c r="AE82" i="40"/>
  <c r="W82" i="40"/>
  <c r="S82" i="40"/>
  <c r="O82" i="40"/>
  <c r="N82" i="40"/>
  <c r="M82" i="40"/>
  <c r="I82" i="40"/>
  <c r="B82" i="40"/>
  <c r="AI81" i="40"/>
  <c r="AE81" i="40"/>
  <c r="W81" i="40"/>
  <c r="S81" i="40"/>
  <c r="O81" i="40"/>
  <c r="N81" i="40"/>
  <c r="M81" i="40"/>
  <c r="I81" i="40"/>
  <c r="B81" i="40"/>
  <c r="AI80" i="40"/>
  <c r="AE80" i="40"/>
  <c r="W80" i="40"/>
  <c r="S80" i="40"/>
  <c r="O80" i="40"/>
  <c r="N80" i="40"/>
  <c r="M80" i="40"/>
  <c r="I80" i="40"/>
  <c r="B80" i="40"/>
  <c r="AI79" i="40"/>
  <c r="AE79" i="40"/>
  <c r="W79" i="40"/>
  <c r="S79" i="40"/>
  <c r="O79" i="40"/>
  <c r="N79" i="40"/>
  <c r="M79" i="40"/>
  <c r="I79" i="40"/>
  <c r="B79" i="40"/>
  <c r="AI78" i="40"/>
  <c r="AE78" i="40"/>
  <c r="W78" i="40"/>
  <c r="S78" i="40"/>
  <c r="O78" i="40"/>
  <c r="N78" i="40"/>
  <c r="M78" i="40"/>
  <c r="I78" i="40"/>
  <c r="B78" i="40"/>
  <c r="AI77" i="40"/>
  <c r="AE77" i="40"/>
  <c r="W77" i="40"/>
  <c r="S77" i="40"/>
  <c r="O77" i="40"/>
  <c r="N77" i="40"/>
  <c r="M77" i="40"/>
  <c r="I77" i="40"/>
  <c r="B77" i="40"/>
  <c r="AI76" i="40"/>
  <c r="AE76" i="40"/>
  <c r="W76" i="40"/>
  <c r="S76" i="40"/>
  <c r="O76" i="40"/>
  <c r="N76" i="40"/>
  <c r="M76" i="40"/>
  <c r="I76" i="40"/>
  <c r="B76" i="40"/>
  <c r="AI75" i="40"/>
  <c r="AE75" i="40"/>
  <c r="W75" i="40"/>
  <c r="S75" i="40"/>
  <c r="O75" i="40"/>
  <c r="N75" i="40"/>
  <c r="M75" i="40"/>
  <c r="I75" i="40"/>
  <c r="B75" i="40"/>
  <c r="AI74" i="40"/>
  <c r="AE74" i="40"/>
  <c r="W74" i="40"/>
  <c r="S74" i="40"/>
  <c r="O74" i="40"/>
  <c r="N74" i="40"/>
  <c r="M74" i="40"/>
  <c r="I74" i="40"/>
  <c r="B74" i="40"/>
  <c r="AI73" i="40"/>
  <c r="AE73" i="40"/>
  <c r="W73" i="40"/>
  <c r="S73" i="40"/>
  <c r="O73" i="40"/>
  <c r="N73" i="40"/>
  <c r="M73" i="40"/>
  <c r="I73" i="40"/>
  <c r="B73" i="40"/>
  <c r="AI72" i="40"/>
  <c r="AE72" i="40"/>
  <c r="W72" i="40"/>
  <c r="S72" i="40"/>
  <c r="O72" i="40"/>
  <c r="N72" i="40"/>
  <c r="M72" i="40"/>
  <c r="I72" i="40"/>
  <c r="B72" i="40"/>
  <c r="AI71" i="40"/>
  <c r="AE71" i="40"/>
  <c r="W71" i="40"/>
  <c r="S71" i="40"/>
  <c r="O71" i="40"/>
  <c r="N71" i="40"/>
  <c r="M71" i="40"/>
  <c r="I71" i="40"/>
  <c r="B71" i="40"/>
  <c r="AI70" i="40"/>
  <c r="AE70" i="40"/>
  <c r="W70" i="40"/>
  <c r="S70" i="40"/>
  <c r="O70" i="40"/>
  <c r="N70" i="40"/>
  <c r="M70" i="40"/>
  <c r="I70" i="40"/>
  <c r="B70" i="40"/>
  <c r="AI69" i="40"/>
  <c r="AE69" i="40"/>
  <c r="W69" i="40"/>
  <c r="S69" i="40"/>
  <c r="O69" i="40"/>
  <c r="N69" i="40"/>
  <c r="M69" i="40"/>
  <c r="I69" i="40"/>
  <c r="B69" i="40"/>
  <c r="AI68" i="40"/>
  <c r="AE68" i="40"/>
  <c r="W68" i="40"/>
  <c r="S68" i="40"/>
  <c r="O68" i="40"/>
  <c r="N68" i="40"/>
  <c r="M68" i="40"/>
  <c r="I68" i="40"/>
  <c r="B68" i="40"/>
  <c r="AI67" i="40"/>
  <c r="AE67" i="40"/>
  <c r="W67" i="40"/>
  <c r="S67" i="40"/>
  <c r="O67" i="40"/>
  <c r="N67" i="40"/>
  <c r="M67" i="40"/>
  <c r="I67" i="40"/>
  <c r="B67" i="40"/>
  <c r="AI66" i="40"/>
  <c r="AE66" i="40"/>
  <c r="W66" i="40"/>
  <c r="S66" i="40"/>
  <c r="O66" i="40"/>
  <c r="N66" i="40"/>
  <c r="M66" i="40"/>
  <c r="I66" i="40"/>
  <c r="B66" i="40"/>
  <c r="AI65" i="40"/>
  <c r="AE65" i="40"/>
  <c r="W65" i="40"/>
  <c r="S65" i="40"/>
  <c r="O65" i="40"/>
  <c r="N65" i="40"/>
  <c r="M65" i="40"/>
  <c r="I65" i="40"/>
  <c r="B65" i="40"/>
  <c r="AI64" i="40"/>
  <c r="AE64" i="40"/>
  <c r="W64" i="40"/>
  <c r="S64" i="40"/>
  <c r="O64" i="40"/>
  <c r="N64" i="40"/>
  <c r="M64" i="40"/>
  <c r="I64" i="40"/>
  <c r="B64" i="40"/>
  <c r="AI63" i="40"/>
  <c r="AE63" i="40"/>
  <c r="W63" i="40"/>
  <c r="S63" i="40"/>
  <c r="O63" i="40"/>
  <c r="N63" i="40"/>
  <c r="M63" i="40"/>
  <c r="I63" i="40"/>
  <c r="B63" i="40"/>
  <c r="AI62" i="40"/>
  <c r="AE62" i="40"/>
  <c r="W62" i="40"/>
  <c r="S62" i="40"/>
  <c r="O62" i="40"/>
  <c r="N62" i="40"/>
  <c r="M62" i="40"/>
  <c r="I62" i="40"/>
  <c r="B62" i="40"/>
  <c r="AI61" i="40"/>
  <c r="AE61" i="40"/>
  <c r="W61" i="40"/>
  <c r="S61" i="40"/>
  <c r="O61" i="40"/>
  <c r="N61" i="40"/>
  <c r="M61" i="40"/>
  <c r="I61" i="40"/>
  <c r="B61" i="40"/>
  <c r="AI60" i="40"/>
  <c r="AE60" i="40"/>
  <c r="W60" i="40"/>
  <c r="S60" i="40"/>
  <c r="O60" i="40"/>
  <c r="N60" i="40"/>
  <c r="M60" i="40"/>
  <c r="I60" i="40"/>
  <c r="B60" i="40"/>
  <c r="AI59" i="40"/>
  <c r="AE59" i="40"/>
  <c r="W59" i="40"/>
  <c r="S59" i="40"/>
  <c r="O59" i="40"/>
  <c r="N59" i="40"/>
  <c r="M59" i="40"/>
  <c r="I59" i="40"/>
  <c r="B59" i="40"/>
  <c r="AI58" i="40"/>
  <c r="AE58" i="40"/>
  <c r="W58" i="40"/>
  <c r="S58" i="40"/>
  <c r="O58" i="40"/>
  <c r="N58" i="40"/>
  <c r="M58" i="40"/>
  <c r="I58" i="40"/>
  <c r="B58" i="40"/>
  <c r="AI57" i="40"/>
  <c r="AE57" i="40"/>
  <c r="W57" i="40"/>
  <c r="S57" i="40"/>
  <c r="O57" i="40"/>
  <c r="N57" i="40"/>
  <c r="M57" i="40"/>
  <c r="I57" i="40"/>
  <c r="B57" i="40"/>
  <c r="AI56" i="40"/>
  <c r="AE56" i="40"/>
  <c r="W56" i="40"/>
  <c r="S56" i="40"/>
  <c r="O56" i="40"/>
  <c r="N56" i="40"/>
  <c r="M56" i="40"/>
  <c r="I56" i="40"/>
  <c r="B56" i="40"/>
  <c r="AI55" i="40"/>
  <c r="AE55" i="40"/>
  <c r="W55" i="40"/>
  <c r="S55" i="40"/>
  <c r="O55" i="40"/>
  <c r="N55" i="40"/>
  <c r="M55" i="40"/>
  <c r="I55" i="40"/>
  <c r="B55" i="40"/>
  <c r="AI54" i="40"/>
  <c r="AE54" i="40"/>
  <c r="W54" i="40"/>
  <c r="S54" i="40"/>
  <c r="O54" i="40"/>
  <c r="N54" i="40"/>
  <c r="M54" i="40"/>
  <c r="I54" i="40"/>
  <c r="B54" i="40"/>
  <c r="AI53" i="40"/>
  <c r="AE53" i="40"/>
  <c r="W53" i="40"/>
  <c r="S53" i="40"/>
  <c r="O53" i="40"/>
  <c r="N53" i="40"/>
  <c r="M53" i="40"/>
  <c r="I53" i="40"/>
  <c r="B53" i="40"/>
  <c r="AI52" i="40"/>
  <c r="AE52" i="40"/>
  <c r="W52" i="40"/>
  <c r="S52" i="40"/>
  <c r="O52" i="40"/>
  <c r="N52" i="40"/>
  <c r="M52" i="40"/>
  <c r="I52" i="40"/>
  <c r="B52" i="40"/>
  <c r="AI51" i="40"/>
  <c r="AE51" i="40"/>
  <c r="W51" i="40"/>
  <c r="S51" i="40"/>
  <c r="O51" i="40"/>
  <c r="N51" i="40"/>
  <c r="M51" i="40"/>
  <c r="I51" i="40"/>
  <c r="B51" i="40"/>
  <c r="AI50" i="40"/>
  <c r="AE50" i="40"/>
  <c r="W50" i="40"/>
  <c r="S50" i="40"/>
  <c r="O50" i="40"/>
  <c r="N50" i="40"/>
  <c r="M50" i="40"/>
  <c r="I50" i="40"/>
  <c r="B50" i="40"/>
  <c r="AI49" i="40"/>
  <c r="AE49" i="40"/>
  <c r="W49" i="40"/>
  <c r="S49" i="40"/>
  <c r="O49" i="40"/>
  <c r="N49" i="40"/>
  <c r="M49" i="40"/>
  <c r="I49" i="40"/>
  <c r="B49" i="40"/>
  <c r="AI48" i="40"/>
  <c r="AE48" i="40"/>
  <c r="W48" i="40"/>
  <c r="S48" i="40"/>
  <c r="O48" i="40"/>
  <c r="N48" i="40"/>
  <c r="M48" i="40"/>
  <c r="I48" i="40"/>
  <c r="B48" i="40"/>
  <c r="AI47" i="40"/>
  <c r="AE47" i="40"/>
  <c r="W47" i="40"/>
  <c r="S47" i="40"/>
  <c r="O47" i="40"/>
  <c r="N47" i="40"/>
  <c r="M47" i="40"/>
  <c r="I47" i="40"/>
  <c r="B47" i="40"/>
  <c r="AI46" i="40"/>
  <c r="AE46" i="40"/>
  <c r="W46" i="40"/>
  <c r="S46" i="40"/>
  <c r="O46" i="40"/>
  <c r="N46" i="40"/>
  <c r="M46" i="40"/>
  <c r="I46" i="40"/>
  <c r="B46" i="40"/>
  <c r="AI45" i="40"/>
  <c r="AE45" i="40"/>
  <c r="W45" i="40"/>
  <c r="S45" i="40"/>
  <c r="O45" i="40"/>
  <c r="N45" i="40"/>
  <c r="M45" i="40"/>
  <c r="I45" i="40"/>
  <c r="B45" i="40"/>
  <c r="AI44" i="40"/>
  <c r="AE44" i="40"/>
  <c r="W44" i="40"/>
  <c r="S44" i="40"/>
  <c r="O44" i="40"/>
  <c r="N44" i="40"/>
  <c r="M44" i="40"/>
  <c r="I44" i="40"/>
  <c r="B44" i="40"/>
  <c r="AI43" i="40"/>
  <c r="AE43" i="40"/>
  <c r="W43" i="40"/>
  <c r="S43" i="40"/>
  <c r="O43" i="40"/>
  <c r="N43" i="40"/>
  <c r="M43" i="40"/>
  <c r="I43" i="40"/>
  <c r="B43" i="40"/>
  <c r="AI42" i="40"/>
  <c r="AE42" i="40"/>
  <c r="W42" i="40"/>
  <c r="S42" i="40"/>
  <c r="O42" i="40"/>
  <c r="N42" i="40"/>
  <c r="M42" i="40"/>
  <c r="I42" i="40"/>
  <c r="B42" i="40"/>
  <c r="AI41" i="40"/>
  <c r="AE41" i="40"/>
  <c r="W41" i="40"/>
  <c r="S41" i="40"/>
  <c r="O41" i="40"/>
  <c r="N41" i="40"/>
  <c r="M41" i="40"/>
  <c r="I41" i="40"/>
  <c r="B41" i="40"/>
  <c r="AI40" i="40"/>
  <c r="AE40" i="40"/>
  <c r="W40" i="40"/>
  <c r="S40" i="40"/>
  <c r="O40" i="40"/>
  <c r="N40" i="40"/>
  <c r="M40" i="40"/>
  <c r="I40" i="40"/>
  <c r="B40" i="40"/>
  <c r="AI39" i="40"/>
  <c r="AE39" i="40"/>
  <c r="W39" i="40"/>
  <c r="S39" i="40"/>
  <c r="O39" i="40"/>
  <c r="N39" i="40"/>
  <c r="M39" i="40"/>
  <c r="I39" i="40"/>
  <c r="B39" i="40"/>
  <c r="AI38" i="40"/>
  <c r="AE38" i="40"/>
  <c r="W38" i="40"/>
  <c r="S38" i="40"/>
  <c r="O38" i="40"/>
  <c r="N38" i="40"/>
  <c r="M38" i="40"/>
  <c r="I38" i="40"/>
  <c r="B38" i="40"/>
  <c r="AI37" i="40"/>
  <c r="AE37" i="40"/>
  <c r="W37" i="40"/>
  <c r="S37" i="40"/>
  <c r="O37" i="40"/>
  <c r="N37" i="40"/>
  <c r="M37" i="40"/>
  <c r="I37" i="40"/>
  <c r="B37" i="40"/>
  <c r="AI36" i="40"/>
  <c r="AE36" i="40"/>
  <c r="W36" i="40"/>
  <c r="S36" i="40"/>
  <c r="O36" i="40"/>
  <c r="N36" i="40"/>
  <c r="M36" i="40"/>
  <c r="I36" i="40"/>
  <c r="B36" i="40"/>
  <c r="AI35" i="40"/>
  <c r="AE35" i="40"/>
  <c r="W35" i="40"/>
  <c r="S35" i="40"/>
  <c r="O35" i="40"/>
  <c r="N35" i="40"/>
  <c r="M35" i="40"/>
  <c r="I35" i="40"/>
  <c r="B35" i="40"/>
  <c r="AI34" i="40"/>
  <c r="AE34" i="40"/>
  <c r="W34" i="40"/>
  <c r="S34" i="40"/>
  <c r="O34" i="40"/>
  <c r="N34" i="40"/>
  <c r="M34" i="40"/>
  <c r="I34" i="40"/>
  <c r="B34" i="40"/>
  <c r="AI33" i="40"/>
  <c r="AE33" i="40"/>
  <c r="W33" i="40"/>
  <c r="S33" i="40"/>
  <c r="O33" i="40"/>
  <c r="N33" i="40"/>
  <c r="M33" i="40"/>
  <c r="I33" i="40"/>
  <c r="B33" i="40"/>
  <c r="AI32" i="40"/>
  <c r="AE32" i="40"/>
  <c r="W32" i="40"/>
  <c r="S32" i="40"/>
  <c r="O32" i="40"/>
  <c r="N32" i="40"/>
  <c r="M32" i="40"/>
  <c r="I32" i="40"/>
  <c r="B32" i="40"/>
  <c r="AI31" i="40"/>
  <c r="AE31" i="40"/>
  <c r="W31" i="40"/>
  <c r="S31" i="40"/>
  <c r="O31" i="40"/>
  <c r="N31" i="40"/>
  <c r="M31" i="40"/>
  <c r="I31" i="40"/>
  <c r="B31" i="40"/>
  <c r="AI30" i="40"/>
  <c r="AE30" i="40"/>
  <c r="W30" i="40"/>
  <c r="S30" i="40"/>
  <c r="O30" i="40"/>
  <c r="N30" i="40"/>
  <c r="M30" i="40"/>
  <c r="I30" i="40"/>
  <c r="B30" i="40"/>
  <c r="AI29" i="40"/>
  <c r="AE29" i="40"/>
  <c r="W29" i="40"/>
  <c r="S29" i="40"/>
  <c r="O29" i="40"/>
  <c r="N29" i="40"/>
  <c r="M29" i="40"/>
  <c r="I29" i="40"/>
  <c r="B29" i="40"/>
  <c r="AI28" i="40"/>
  <c r="AE28" i="40"/>
  <c r="W28" i="40"/>
  <c r="S28" i="40"/>
  <c r="O28" i="40"/>
  <c r="N28" i="40"/>
  <c r="M28" i="40"/>
  <c r="I28" i="40"/>
  <c r="B28" i="40"/>
  <c r="AI27" i="40"/>
  <c r="AE27" i="40"/>
  <c r="W27" i="40"/>
  <c r="S27" i="40"/>
  <c r="O27" i="40"/>
  <c r="N27" i="40"/>
  <c r="M27" i="40"/>
  <c r="I27" i="40"/>
  <c r="B27" i="40"/>
  <c r="AI26" i="40"/>
  <c r="AE26" i="40"/>
  <c r="W26" i="40"/>
  <c r="S26" i="40"/>
  <c r="O26" i="40"/>
  <c r="N26" i="40"/>
  <c r="M26" i="40"/>
  <c r="I26" i="40"/>
  <c r="B26" i="40"/>
  <c r="AI25" i="40"/>
  <c r="AE25" i="40"/>
  <c r="W25" i="40"/>
  <c r="S25" i="40"/>
  <c r="O25" i="40"/>
  <c r="N25" i="40"/>
  <c r="M25" i="40"/>
  <c r="I25" i="40"/>
  <c r="B25" i="40"/>
  <c r="AI24" i="40"/>
  <c r="AE24" i="40"/>
  <c r="W24" i="40"/>
  <c r="S24" i="40"/>
  <c r="O24" i="40"/>
  <c r="N24" i="40"/>
  <c r="M24" i="40"/>
  <c r="I24" i="40"/>
  <c r="B24" i="40"/>
  <c r="AI23" i="40"/>
  <c r="AE23" i="40"/>
  <c r="W23" i="40"/>
  <c r="S23" i="40"/>
  <c r="O23" i="40"/>
  <c r="N23" i="40"/>
  <c r="M23" i="40"/>
  <c r="I23" i="40"/>
  <c r="B23" i="40"/>
  <c r="AI22" i="40"/>
  <c r="AE22" i="40"/>
  <c r="W22" i="40"/>
  <c r="S22" i="40"/>
  <c r="O22" i="40"/>
  <c r="N22" i="40"/>
  <c r="M22" i="40"/>
  <c r="I22" i="40"/>
  <c r="B22" i="40"/>
  <c r="AI21" i="40"/>
  <c r="AE21" i="40"/>
  <c r="W21" i="40"/>
  <c r="S21" i="40"/>
  <c r="O21" i="40"/>
  <c r="N21" i="40"/>
  <c r="M21" i="40"/>
  <c r="I21" i="40"/>
  <c r="B21" i="40"/>
  <c r="AI20" i="40"/>
  <c r="AE20" i="40"/>
  <c r="W20" i="40"/>
  <c r="S20" i="40"/>
  <c r="O20" i="40"/>
  <c r="N20" i="40"/>
  <c r="M20" i="40"/>
  <c r="I20" i="40"/>
  <c r="B20" i="40"/>
  <c r="AI19" i="40"/>
  <c r="AE19" i="40"/>
  <c r="W19" i="40"/>
  <c r="S19" i="40"/>
  <c r="O19" i="40"/>
  <c r="N19" i="40"/>
  <c r="M19" i="40"/>
  <c r="I19" i="40"/>
  <c r="B19" i="40"/>
  <c r="AI18" i="40"/>
  <c r="AE18" i="40"/>
  <c r="W18" i="40"/>
  <c r="S18" i="40"/>
  <c r="O18" i="40"/>
  <c r="N18" i="40"/>
  <c r="M18" i="40"/>
  <c r="I18" i="40"/>
  <c r="B18" i="40"/>
  <c r="AI17" i="40"/>
  <c r="AE17" i="40"/>
  <c r="W17" i="40"/>
  <c r="S17" i="40"/>
  <c r="O17" i="40"/>
  <c r="N17" i="40"/>
  <c r="M17" i="40"/>
  <c r="I17" i="40"/>
  <c r="B17" i="40"/>
  <c r="AI16" i="40"/>
  <c r="AE16" i="40"/>
  <c r="W16" i="40"/>
  <c r="S16" i="40"/>
  <c r="O16" i="40"/>
  <c r="N16" i="40"/>
  <c r="M16" i="40"/>
  <c r="I16" i="40"/>
  <c r="B16" i="40"/>
  <c r="AI15" i="40"/>
  <c r="AE15" i="40"/>
  <c r="W15" i="40"/>
  <c r="S15" i="40"/>
  <c r="O15" i="40"/>
  <c r="N15" i="40"/>
  <c r="M15" i="40"/>
  <c r="I15" i="40"/>
  <c r="B15" i="40"/>
  <c r="AI14" i="40"/>
  <c r="AE14" i="40"/>
  <c r="W14" i="40"/>
  <c r="S14" i="40"/>
  <c r="O14" i="40"/>
  <c r="N14" i="40"/>
  <c r="M14" i="40"/>
  <c r="I14" i="40"/>
  <c r="B14" i="40"/>
  <c r="AI13" i="40"/>
  <c r="AE13" i="40"/>
  <c r="W13" i="40"/>
  <c r="S13" i="40"/>
  <c r="O13" i="40"/>
  <c r="N13" i="40"/>
  <c r="M13" i="40"/>
  <c r="I13" i="40"/>
  <c r="B13" i="40"/>
  <c r="AI12" i="40"/>
  <c r="AE12" i="40"/>
  <c r="W12" i="40"/>
  <c r="S12" i="40"/>
  <c r="O12" i="40"/>
  <c r="N12" i="40"/>
  <c r="M12" i="40"/>
  <c r="I12" i="40"/>
  <c r="B12" i="40"/>
  <c r="AI11" i="40"/>
  <c r="AE11" i="40"/>
  <c r="W11" i="40"/>
  <c r="S11" i="40"/>
  <c r="O11" i="40"/>
  <c r="N11" i="40"/>
  <c r="M11" i="40"/>
  <c r="I11" i="40"/>
  <c r="B11" i="40"/>
  <c r="AI10" i="40"/>
  <c r="AE10" i="40"/>
  <c r="W10" i="40"/>
  <c r="S10" i="40"/>
  <c r="O10" i="40"/>
  <c r="N10" i="40"/>
  <c r="M10" i="40"/>
  <c r="I10" i="40"/>
  <c r="B10" i="40"/>
  <c r="AI9" i="40"/>
  <c r="AE9" i="40"/>
  <c r="W9" i="40"/>
  <c r="S9" i="40"/>
  <c r="O9" i="40"/>
  <c r="N9" i="40"/>
  <c r="M9" i="40"/>
  <c r="I9" i="40"/>
  <c r="B9" i="40"/>
  <c r="AI8" i="40"/>
  <c r="AE8" i="40"/>
  <c r="W8" i="40"/>
  <c r="S8" i="40"/>
  <c r="O8" i="40"/>
  <c r="N8" i="40"/>
  <c r="M8" i="40"/>
  <c r="I8" i="40"/>
  <c r="B8" i="40"/>
  <c r="AI7" i="40"/>
  <c r="AE7" i="40"/>
  <c r="W7" i="40"/>
  <c r="S7" i="40"/>
  <c r="O7" i="40"/>
  <c r="N7" i="40"/>
  <c r="M7" i="40"/>
  <c r="I7" i="40"/>
  <c r="B7" i="40"/>
  <c r="AI6" i="40"/>
  <c r="AE6" i="40"/>
  <c r="W6" i="40"/>
  <c r="S6" i="40"/>
  <c r="O6" i="40"/>
  <c r="N6" i="40"/>
  <c r="M6" i="40"/>
  <c r="I6" i="40"/>
  <c r="B6" i="40"/>
  <c r="AI5" i="40"/>
  <c r="AE5" i="40"/>
  <c r="W5" i="40"/>
  <c r="S5" i="40"/>
  <c r="O5" i="40"/>
  <c r="N5" i="40"/>
  <c r="M5" i="40"/>
  <c r="I5" i="40"/>
  <c r="B5" i="40"/>
  <c r="AI4" i="40"/>
  <c r="AE4" i="40"/>
  <c r="W4" i="40"/>
  <c r="S4" i="40"/>
  <c r="O4" i="40"/>
  <c r="N4" i="40"/>
  <c r="M4" i="40"/>
  <c r="I4" i="40"/>
  <c r="B4" i="40"/>
  <c r="M36" i="25"/>
  <c r="L36" i="25"/>
  <c r="M35" i="25"/>
  <c r="L35" i="25"/>
  <c r="M34" i="25"/>
  <c r="L34" i="25"/>
  <c r="M33" i="25"/>
  <c r="L33" i="25"/>
  <c r="M32" i="25"/>
  <c r="L32" i="25"/>
  <c r="M31" i="25"/>
  <c r="L31" i="25"/>
  <c r="M30" i="25"/>
  <c r="L30" i="25"/>
  <c r="M29" i="25"/>
  <c r="L29" i="25"/>
  <c r="M28" i="25"/>
  <c r="L28" i="25"/>
  <c r="M27" i="25"/>
  <c r="L27" i="25"/>
  <c r="M26" i="25"/>
  <c r="L26" i="25"/>
  <c r="M25" i="25"/>
  <c r="L25" i="25"/>
  <c r="M24" i="25"/>
  <c r="L24" i="25"/>
  <c r="M23" i="25"/>
  <c r="L23" i="25"/>
  <c r="M22" i="25"/>
  <c r="L22" i="25"/>
  <c r="M21" i="25"/>
  <c r="L21" i="25"/>
  <c r="M20" i="25"/>
  <c r="L20" i="25"/>
  <c r="M19" i="25"/>
  <c r="L19" i="25"/>
  <c r="M18" i="25"/>
  <c r="L18" i="25"/>
  <c r="M17" i="25"/>
  <c r="L17" i="25"/>
  <c r="M16" i="25"/>
  <c r="L16" i="25"/>
  <c r="M15" i="25"/>
  <c r="L15" i="25"/>
  <c r="M14" i="25"/>
  <c r="L14" i="25"/>
  <c r="M13" i="25"/>
  <c r="L13" i="25"/>
  <c r="M12" i="25"/>
  <c r="L12" i="25"/>
  <c r="M11" i="25"/>
  <c r="L11" i="25"/>
  <c r="M10" i="25"/>
  <c r="L10" i="25"/>
  <c r="AJ52" i="20"/>
  <c r="AI52" i="20"/>
  <c r="AH52" i="20"/>
  <c r="B52" i="20"/>
  <c r="AJ51" i="20"/>
  <c r="AI51" i="20"/>
  <c r="AH51" i="20"/>
  <c r="B51" i="20"/>
  <c r="AJ50" i="20"/>
  <c r="AI50" i="20"/>
  <c r="AH50" i="20"/>
  <c r="B50" i="20"/>
  <c r="AJ49" i="20"/>
  <c r="AI49" i="20"/>
  <c r="AH49" i="20"/>
  <c r="B49" i="20"/>
  <c r="AJ48" i="20"/>
  <c r="AI48" i="20"/>
  <c r="AH48" i="20"/>
  <c r="B48" i="20"/>
  <c r="AJ47" i="20"/>
  <c r="AI47" i="20"/>
  <c r="AH47" i="20"/>
  <c r="B47" i="20"/>
  <c r="AJ46" i="20"/>
  <c r="AI46" i="20"/>
  <c r="AH46" i="20"/>
  <c r="B46" i="20"/>
  <c r="AJ45" i="20"/>
  <c r="AI45" i="20"/>
  <c r="AH45" i="20"/>
  <c r="B45" i="20"/>
  <c r="AJ44" i="20"/>
  <c r="AI44" i="20"/>
  <c r="AH44" i="20"/>
  <c r="B44" i="20"/>
  <c r="AJ43" i="20"/>
  <c r="AI43" i="20"/>
  <c r="AH43" i="20"/>
  <c r="B43" i="20"/>
  <c r="AJ42" i="20"/>
  <c r="AI42" i="20"/>
  <c r="AH42" i="20"/>
  <c r="B42" i="20"/>
  <c r="AJ41" i="20"/>
  <c r="AI41" i="20"/>
  <c r="AH41" i="20"/>
  <c r="B41" i="20"/>
  <c r="AJ40" i="20"/>
  <c r="AI40" i="20"/>
  <c r="AH40" i="20"/>
  <c r="B40" i="20"/>
  <c r="AJ39" i="20"/>
  <c r="AI39" i="20"/>
  <c r="AH39" i="20"/>
  <c r="B39" i="20"/>
  <c r="AJ38" i="20"/>
  <c r="AI38" i="20"/>
  <c r="AH38" i="20"/>
  <c r="B38" i="20"/>
  <c r="AJ37" i="20"/>
  <c r="AI37" i="20"/>
  <c r="AH37" i="20"/>
  <c r="B37" i="20"/>
  <c r="AJ36" i="20"/>
  <c r="AI36" i="20"/>
  <c r="AH36" i="20"/>
  <c r="B36" i="20"/>
  <c r="AJ35" i="20"/>
  <c r="AI35" i="20"/>
  <c r="AH35" i="20"/>
  <c r="B35" i="20"/>
  <c r="AJ34" i="20"/>
  <c r="AI34" i="20"/>
  <c r="AH34" i="20"/>
  <c r="B34" i="20"/>
  <c r="AJ33" i="20"/>
  <c r="AI33" i="20"/>
  <c r="AH33" i="20"/>
  <c r="B33" i="20"/>
  <c r="AJ32" i="20"/>
  <c r="AI32" i="20"/>
  <c r="AH32" i="20"/>
  <c r="B32" i="20"/>
  <c r="AJ31" i="20"/>
  <c r="AI31" i="20"/>
  <c r="AH31" i="20"/>
  <c r="B31" i="20"/>
  <c r="AJ30" i="20"/>
  <c r="AI30" i="20"/>
  <c r="AH30" i="20"/>
  <c r="B30" i="20"/>
  <c r="AJ29" i="20"/>
  <c r="AI29" i="20"/>
  <c r="AH29" i="20"/>
  <c r="B29" i="20"/>
  <c r="AJ28" i="20"/>
  <c r="AI28" i="20"/>
  <c r="AH28" i="20"/>
  <c r="B28" i="20"/>
  <c r="AJ27" i="20"/>
  <c r="AI27" i="20"/>
  <c r="AH27" i="20"/>
  <c r="B27" i="20"/>
  <c r="AJ26" i="20"/>
  <c r="AI26" i="20"/>
  <c r="AH26" i="20"/>
  <c r="B26" i="20"/>
  <c r="AJ25" i="20"/>
  <c r="AI25" i="20"/>
  <c r="AH25" i="20"/>
  <c r="B25" i="20"/>
  <c r="AJ24" i="20"/>
  <c r="AI24" i="20"/>
  <c r="AH24" i="20"/>
  <c r="B24" i="20"/>
  <c r="AJ23" i="20"/>
  <c r="AI23" i="20"/>
  <c r="AH23" i="20"/>
  <c r="B23" i="20"/>
  <c r="AJ22" i="20"/>
  <c r="AI22" i="20"/>
  <c r="AH22" i="20"/>
  <c r="B22" i="20"/>
  <c r="AJ21" i="20"/>
  <c r="AI21" i="20"/>
  <c r="AH21" i="20"/>
  <c r="B21" i="20"/>
  <c r="AJ20" i="20"/>
  <c r="AI20" i="20"/>
  <c r="AH20" i="20"/>
  <c r="B20" i="20"/>
  <c r="AJ19" i="20"/>
  <c r="AI19" i="20"/>
  <c r="AH19" i="20"/>
  <c r="B19" i="20"/>
  <c r="AJ18" i="20"/>
  <c r="AI18" i="20"/>
  <c r="AH18" i="20"/>
  <c r="B18" i="20"/>
  <c r="AJ17" i="20"/>
  <c r="AI17" i="20"/>
  <c r="AH17" i="20"/>
  <c r="B17" i="20"/>
  <c r="AJ16" i="20"/>
  <c r="AI16" i="20"/>
  <c r="AH16" i="20"/>
  <c r="B16" i="20"/>
  <c r="AJ15" i="20"/>
  <c r="AI15" i="20"/>
  <c r="AH15" i="20"/>
  <c r="B15" i="20"/>
  <c r="AJ14" i="20"/>
  <c r="AI14" i="20"/>
  <c r="AH14" i="20"/>
  <c r="B14" i="20"/>
  <c r="AJ13" i="20"/>
  <c r="AI13" i="20"/>
  <c r="AH13" i="20"/>
  <c r="B13" i="20"/>
  <c r="AJ12" i="20"/>
  <c r="AI12" i="20"/>
  <c r="AH12" i="20"/>
  <c r="B12" i="20"/>
  <c r="AJ11" i="20"/>
  <c r="AI11" i="20"/>
  <c r="AH11" i="20"/>
  <c r="B11" i="20"/>
  <c r="AJ10" i="20"/>
  <c r="AI10" i="20"/>
  <c r="AH10" i="20"/>
  <c r="F33" i="2"/>
  <c r="F32" i="2"/>
  <c r="F31" i="2"/>
  <c r="B31" i="2"/>
  <c r="F30" i="2"/>
  <c r="F29" i="2"/>
  <c r="B29" i="2"/>
  <c r="F28" i="2"/>
  <c r="F27" i="2"/>
  <c r="B27" i="2"/>
  <c r="F26" i="2"/>
  <c r="B26" i="2"/>
  <c r="F25" i="2"/>
  <c r="B25" i="2"/>
  <c r="F24" i="2"/>
  <c r="B24" i="2"/>
  <c r="F23" i="2"/>
  <c r="B23" i="2"/>
  <c r="F22" i="2"/>
  <c r="B22" i="2"/>
  <c r="F21" i="2"/>
  <c r="B21" i="2"/>
  <c r="F20" i="2"/>
  <c r="B20" i="2"/>
  <c r="F19" i="2"/>
  <c r="B19" i="2"/>
  <c r="F18" i="2"/>
  <c r="B18" i="2"/>
  <c r="F17" i="2"/>
  <c r="B17" i="2"/>
  <c r="F16" i="2"/>
  <c r="B16" i="2"/>
  <c r="F15" i="2"/>
  <c r="B15" i="2"/>
  <c r="F14" i="2"/>
  <c r="B14" i="2"/>
  <c r="F13" i="2"/>
  <c r="B13" i="2"/>
  <c r="F12" i="2"/>
  <c r="B12" i="2"/>
  <c r="F11" i="2"/>
  <c r="B11" i="2"/>
  <c r="F10" i="2"/>
  <c r="B10" i="2"/>
  <c r="F9" i="2"/>
  <c r="B9" i="2"/>
  <c r="F8" i="2"/>
  <c r="B8" i="2"/>
  <c r="F7" i="2"/>
  <c r="A311" i="23"/>
  <c r="A310" i="23"/>
  <c r="A309" i="23"/>
  <c r="A308" i="23"/>
  <c r="A307" i="23"/>
  <c r="A306" i="23"/>
  <c r="A305" i="23"/>
  <c r="A304" i="23"/>
  <c r="A303" i="23"/>
  <c r="A302" i="23"/>
  <c r="A301" i="23"/>
  <c r="A300" i="23"/>
  <c r="A299" i="23"/>
  <c r="A298" i="23"/>
  <c r="A297" i="23"/>
  <c r="A296" i="23"/>
  <c r="A295" i="23"/>
  <c r="A294" i="23"/>
  <c r="A293" i="23"/>
  <c r="A292" i="23"/>
  <c r="A291" i="23"/>
  <c r="A290" i="23"/>
  <c r="A289" i="23"/>
  <c r="A288" i="23"/>
  <c r="A287" i="23"/>
  <c r="A286" i="23"/>
  <c r="A285" i="23"/>
  <c r="A284" i="23"/>
  <c r="A283" i="23"/>
  <c r="A282" i="23"/>
  <c r="A281" i="23"/>
  <c r="A280" i="23"/>
  <c r="A279" i="23"/>
  <c r="A278" i="23"/>
  <c r="A277" i="23"/>
  <c r="A276" i="23"/>
  <c r="A275" i="23"/>
  <c r="A274" i="23"/>
  <c r="A273" i="23"/>
  <c r="A272" i="23"/>
  <c r="A271" i="23"/>
  <c r="A270" i="23"/>
  <c r="A269" i="23"/>
  <c r="A268" i="23"/>
  <c r="A267" i="23"/>
  <c r="A266" i="23"/>
  <c r="A265" i="23"/>
  <c r="A264" i="23"/>
  <c r="A263" i="23"/>
  <c r="A262" i="23"/>
  <c r="A261" i="23"/>
  <c r="A260" i="23"/>
  <c r="A259" i="23"/>
  <c r="A258" i="23"/>
  <c r="A257" i="23"/>
  <c r="A256" i="23"/>
  <c r="A255" i="23"/>
  <c r="A254" i="23"/>
  <c r="A253" i="23"/>
  <c r="A252" i="23"/>
  <c r="A251" i="23"/>
  <c r="A250" i="23"/>
  <c r="A249" i="23"/>
  <c r="A248" i="23"/>
  <c r="A247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A232" i="23"/>
  <c r="A231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A211" i="23"/>
  <c r="A210" i="23"/>
  <c r="A209" i="23"/>
  <c r="A208" i="23"/>
  <c r="A207" i="23"/>
  <c r="A206" i="23"/>
  <c r="A205" i="23"/>
  <c r="A204" i="23"/>
  <c r="A203" i="23"/>
  <c r="A202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B143" i="29"/>
  <c r="B142" i="29"/>
  <c r="B141" i="29"/>
  <c r="B140" i="29"/>
  <c r="B139" i="29"/>
  <c r="B138" i="29"/>
  <c r="B137" i="29"/>
  <c r="B136" i="29"/>
  <c r="B135" i="29"/>
  <c r="B134" i="29"/>
  <c r="B133" i="29"/>
  <c r="B132" i="29"/>
  <c r="B131" i="29"/>
  <c r="B130" i="29"/>
  <c r="B129" i="29"/>
  <c r="B128" i="29"/>
  <c r="B127" i="29"/>
  <c r="B126" i="29"/>
  <c r="B122" i="29"/>
  <c r="B121" i="29"/>
  <c r="B120" i="29"/>
  <c r="B119" i="29"/>
  <c r="B118" i="29"/>
  <c r="B117" i="29"/>
  <c r="B113" i="29"/>
  <c r="B112" i="29"/>
  <c r="B111" i="29"/>
  <c r="B110" i="29"/>
  <c r="B109" i="29"/>
  <c r="B108" i="29"/>
  <c r="B107" i="29"/>
  <c r="B106" i="29"/>
  <c r="B105" i="29"/>
  <c r="B104" i="29"/>
  <c r="B103" i="29"/>
  <c r="B102" i="29"/>
  <c r="B101" i="29"/>
  <c r="B97" i="29"/>
  <c r="B96" i="29"/>
  <c r="B95" i="29"/>
  <c r="B94" i="29"/>
  <c r="B93" i="29"/>
  <c r="B92" i="29"/>
  <c r="B91" i="29"/>
  <c r="B90" i="29"/>
  <c r="B89" i="29"/>
  <c r="B88" i="29"/>
  <c r="B87" i="29"/>
  <c r="B86" i="29"/>
  <c r="B85" i="29"/>
  <c r="B84" i="29"/>
  <c r="B83" i="29"/>
  <c r="B82" i="29"/>
  <c r="B81" i="29"/>
  <c r="B80" i="29"/>
  <c r="B79" i="29"/>
  <c r="B78" i="29"/>
  <c r="B77" i="29"/>
  <c r="B76" i="29"/>
  <c r="B75" i="29"/>
  <c r="B74" i="29"/>
  <c r="B73" i="29"/>
  <c r="B72" i="29"/>
  <c r="B71" i="29"/>
  <c r="B70" i="29"/>
  <c r="B69" i="29"/>
  <c r="B68" i="29"/>
  <c r="B67" i="29"/>
  <c r="B66" i="29"/>
  <c r="B65" i="29"/>
  <c r="B64" i="29"/>
  <c r="B63" i="29"/>
  <c r="B62" i="29"/>
  <c r="B61" i="29"/>
  <c r="B60" i="29"/>
  <c r="B56" i="29"/>
  <c r="B55" i="29"/>
  <c r="B54" i="29"/>
  <c r="B53" i="29"/>
  <c r="B52" i="29"/>
  <c r="B51" i="29"/>
  <c r="B50" i="29"/>
  <c r="B49" i="29"/>
  <c r="B48" i="29"/>
  <c r="B47" i="29"/>
  <c r="B46" i="29"/>
  <c r="B45" i="29"/>
  <c r="B44" i="29"/>
  <c r="B43" i="29"/>
  <c r="B42" i="29"/>
  <c r="B41" i="29"/>
  <c r="B40" i="29"/>
  <c r="B39" i="29"/>
  <c r="B38" i="29"/>
  <c r="B37" i="29"/>
  <c r="B36" i="29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B134" i="26"/>
  <c r="B133" i="26"/>
  <c r="B132" i="26"/>
  <c r="B131" i="26"/>
  <c r="B130" i="26"/>
  <c r="B129" i="26"/>
  <c r="B128" i="26"/>
  <c r="B127" i="26"/>
  <c r="B126" i="26"/>
  <c r="B125" i="26"/>
  <c r="B124" i="26"/>
  <c r="B123" i="26"/>
  <c r="B122" i="26"/>
  <c r="B121" i="26"/>
  <c r="B120" i="26"/>
  <c r="B119" i="26"/>
  <c r="B118" i="26"/>
  <c r="B117" i="26"/>
  <c r="B116" i="26"/>
  <c r="B115" i="26"/>
  <c r="B114" i="26"/>
  <c r="B113" i="26"/>
  <c r="B112" i="26"/>
  <c r="B111" i="26"/>
  <c r="B110" i="26"/>
  <c r="B109" i="26"/>
  <c r="B108" i="26"/>
  <c r="B107" i="26"/>
  <c r="B106" i="26"/>
  <c r="B105" i="26"/>
  <c r="B104" i="26"/>
  <c r="B103" i="26"/>
  <c r="B102" i="26"/>
  <c r="B101" i="26"/>
  <c r="B100" i="26"/>
  <c r="B99" i="26"/>
  <c r="B98" i="26"/>
  <c r="B97" i="26"/>
  <c r="B96" i="26"/>
  <c r="B95" i="26"/>
  <c r="B94" i="26"/>
  <c r="B93" i="26"/>
  <c r="B92" i="26"/>
  <c r="B91" i="26"/>
  <c r="B90" i="26"/>
  <c r="B89" i="26"/>
  <c r="B88" i="26"/>
  <c r="B87" i="26"/>
  <c r="B86" i="26"/>
  <c r="B85" i="26"/>
  <c r="B84" i="26"/>
  <c r="B83" i="26"/>
  <c r="B82" i="26"/>
  <c r="B81" i="26"/>
  <c r="B80" i="26"/>
  <c r="B79" i="26"/>
  <c r="B78" i="26"/>
  <c r="B77" i="26"/>
  <c r="B76" i="26"/>
  <c r="B75" i="26"/>
  <c r="B74" i="26"/>
  <c r="B73" i="26"/>
  <c r="B72" i="26"/>
  <c r="B71" i="26"/>
  <c r="B70" i="26"/>
  <c r="B69" i="26"/>
  <c r="B68" i="26"/>
  <c r="B67" i="26"/>
  <c r="B66" i="26"/>
  <c r="B65" i="26"/>
  <c r="B64" i="26"/>
  <c r="B63" i="26"/>
  <c r="B62" i="26"/>
  <c r="B61" i="26"/>
  <c r="B60" i="26"/>
  <c r="B59" i="26"/>
  <c r="B58" i="26"/>
  <c r="B57" i="26"/>
  <c r="B56" i="26"/>
  <c r="B55" i="26"/>
  <c r="B54" i="26"/>
  <c r="B53" i="26"/>
  <c r="B52" i="26"/>
  <c r="B51" i="26"/>
  <c r="B50" i="26"/>
  <c r="B49" i="26"/>
  <c r="B48" i="26"/>
  <c r="B47" i="26"/>
  <c r="B46" i="26"/>
  <c r="B45" i="26"/>
  <c r="B44" i="26"/>
  <c r="B43" i="26"/>
  <c r="B42" i="26"/>
  <c r="B41" i="26"/>
  <c r="B40" i="26"/>
  <c r="B39" i="26"/>
  <c r="B38" i="26"/>
  <c r="F37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E242" i="24"/>
  <c r="B242" i="24"/>
  <c r="E241" i="24"/>
  <c r="B241" i="24"/>
  <c r="E240" i="24"/>
  <c r="B240" i="24"/>
  <c r="E239" i="24"/>
  <c r="B239" i="24"/>
  <c r="E238" i="24"/>
  <c r="B238" i="24"/>
  <c r="E237" i="24"/>
  <c r="B237" i="24"/>
  <c r="E236" i="24"/>
  <c r="B236" i="24"/>
  <c r="E235" i="24"/>
  <c r="B235" i="24"/>
  <c r="E234" i="24"/>
  <c r="B234" i="24"/>
  <c r="E233" i="24"/>
  <c r="B233" i="24"/>
  <c r="E232" i="24"/>
  <c r="B232" i="24"/>
  <c r="E231" i="24"/>
  <c r="B231" i="24"/>
  <c r="E230" i="24"/>
  <c r="B230" i="24"/>
  <c r="E229" i="24"/>
  <c r="B229" i="24"/>
  <c r="E228" i="24"/>
  <c r="B228" i="24"/>
  <c r="E227" i="24"/>
  <c r="B227" i="24"/>
  <c r="E226" i="24"/>
  <c r="B226" i="24"/>
  <c r="E225" i="24"/>
  <c r="B225" i="24"/>
  <c r="E224" i="24"/>
  <c r="B224" i="24"/>
  <c r="E223" i="24"/>
  <c r="B223" i="24"/>
  <c r="E222" i="24"/>
  <c r="B222" i="24"/>
  <c r="E221" i="24"/>
  <c r="B221" i="24"/>
  <c r="E220" i="24"/>
  <c r="B220" i="24"/>
  <c r="E219" i="24"/>
  <c r="B219" i="24"/>
  <c r="E218" i="24"/>
  <c r="B216" i="24"/>
  <c r="B215" i="24"/>
  <c r="B214" i="24"/>
  <c r="B213" i="24"/>
  <c r="B212" i="24"/>
  <c r="B211" i="24"/>
  <c r="B210" i="24"/>
  <c r="B209" i="24"/>
  <c r="B208" i="24"/>
  <c r="B207" i="24"/>
  <c r="B206" i="24"/>
  <c r="B205" i="24"/>
  <c r="B204" i="24"/>
  <c r="B203" i="24"/>
  <c r="B202" i="24"/>
  <c r="B201" i="24"/>
  <c r="B200" i="24"/>
  <c r="B199" i="24"/>
  <c r="B198" i="24"/>
  <c r="B197" i="24"/>
  <c r="B196" i="24"/>
  <c r="B195" i="24"/>
  <c r="B194" i="24"/>
  <c r="B193" i="24"/>
  <c r="B192" i="24"/>
  <c r="B191" i="24"/>
  <c r="E174" i="24"/>
  <c r="E173" i="24"/>
  <c r="E172" i="24"/>
  <c r="E171" i="24"/>
  <c r="E170" i="24"/>
  <c r="E169" i="24"/>
  <c r="E168" i="24"/>
  <c r="E167" i="24"/>
  <c r="E166" i="24"/>
  <c r="E165" i="24"/>
  <c r="E164" i="24"/>
  <c r="E163" i="24"/>
  <c r="E162" i="24"/>
  <c r="E161" i="24"/>
  <c r="E160" i="24"/>
  <c r="E159" i="24"/>
  <c r="E158" i="24"/>
  <c r="E157" i="24"/>
  <c r="E156" i="24"/>
  <c r="E155" i="24"/>
  <c r="E154" i="24"/>
  <c r="E153" i="24"/>
  <c r="E152" i="24"/>
  <c r="E151" i="24"/>
  <c r="E150" i="24"/>
  <c r="E149" i="24"/>
  <c r="E148" i="24"/>
  <c r="E147" i="24"/>
  <c r="E146" i="24"/>
  <c r="E145" i="24"/>
  <c r="E144" i="24"/>
  <c r="E143" i="24"/>
  <c r="E142" i="24"/>
  <c r="E141" i="24"/>
  <c r="E140" i="24"/>
  <c r="E139" i="24"/>
  <c r="E138" i="24"/>
  <c r="E137" i="24"/>
  <c r="E136" i="24"/>
  <c r="E135" i="24"/>
  <c r="E134" i="24"/>
  <c r="E133" i="24"/>
  <c r="E132" i="24"/>
  <c r="E131" i="24"/>
  <c r="E130" i="24"/>
  <c r="E129" i="24"/>
  <c r="E128" i="24"/>
  <c r="E127" i="24"/>
  <c r="E126" i="24"/>
  <c r="E125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111" i="24"/>
  <c r="E110" i="24"/>
  <c r="E109" i="24"/>
  <c r="E108" i="24"/>
  <c r="E107" i="24"/>
  <c r="E106" i="24"/>
  <c r="E105" i="24"/>
  <c r="E104" i="24"/>
  <c r="E103" i="24"/>
  <c r="E102" i="24"/>
  <c r="E101" i="24"/>
  <c r="E100" i="24"/>
  <c r="E99" i="24"/>
  <c r="E98" i="24"/>
  <c r="E97" i="24"/>
  <c r="E96" i="24"/>
  <c r="E95" i="24"/>
  <c r="E94" i="24"/>
  <c r="E93" i="24"/>
  <c r="E92" i="24"/>
  <c r="E91" i="24"/>
  <c r="E90" i="24"/>
  <c r="E89" i="24"/>
  <c r="E88" i="24"/>
  <c r="E87" i="24"/>
  <c r="E86" i="24"/>
  <c r="E85" i="24"/>
  <c r="E84" i="24"/>
  <c r="E83" i="24"/>
  <c r="E82" i="24"/>
  <c r="E81" i="24"/>
  <c r="E79" i="24"/>
  <c r="E78" i="24"/>
  <c r="E77" i="24"/>
  <c r="E76" i="24"/>
  <c r="E75" i="24"/>
  <c r="E74" i="24"/>
  <c r="E73" i="24"/>
  <c r="E72" i="24"/>
  <c r="E71" i="24"/>
  <c r="E70" i="24"/>
  <c r="E69" i="24"/>
  <c r="E68" i="24"/>
  <c r="E67" i="24"/>
  <c r="E66" i="24"/>
  <c r="E65" i="24"/>
  <c r="E64" i="24"/>
  <c r="E63" i="24"/>
  <c r="E62" i="24"/>
  <c r="E61" i="24"/>
  <c r="E60" i="24"/>
  <c r="E59" i="24"/>
  <c r="E58" i="24"/>
  <c r="E57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E11" i="24"/>
  <c r="N141" i="34"/>
  <c r="R140" i="34"/>
  <c r="Q140" i="34"/>
  <c r="B140" i="34"/>
  <c r="R139" i="34"/>
  <c r="Q139" i="34"/>
  <c r="B139" i="34"/>
  <c r="R138" i="34"/>
  <c r="Q138" i="34"/>
  <c r="B138" i="34"/>
  <c r="R137" i="34"/>
  <c r="Q137" i="34"/>
  <c r="B137" i="34"/>
  <c r="R136" i="34"/>
  <c r="Q136" i="34"/>
  <c r="B136" i="34"/>
  <c r="R135" i="34"/>
  <c r="Q135" i="34"/>
  <c r="B135" i="34"/>
  <c r="R134" i="34"/>
  <c r="Q134" i="34"/>
  <c r="K134" i="34"/>
  <c r="B134" i="34"/>
  <c r="R133" i="34"/>
  <c r="Q133" i="34"/>
  <c r="K133" i="34"/>
  <c r="B133" i="34"/>
  <c r="R132" i="34"/>
  <c r="Q132" i="34"/>
  <c r="K132" i="34"/>
  <c r="B132" i="34"/>
  <c r="R131" i="34"/>
  <c r="Q131" i="34"/>
  <c r="K131" i="34"/>
  <c r="B131" i="34"/>
  <c r="R130" i="34"/>
  <c r="Q130" i="34"/>
  <c r="K130" i="34"/>
  <c r="B130" i="34"/>
  <c r="R129" i="34"/>
  <c r="Q129" i="34"/>
  <c r="K129" i="34"/>
  <c r="B129" i="34"/>
  <c r="R128" i="34"/>
  <c r="Q128" i="34"/>
  <c r="K128" i="34"/>
  <c r="B128" i="34"/>
  <c r="R127" i="34"/>
  <c r="Q127" i="34"/>
  <c r="K127" i="34"/>
  <c r="B127" i="34"/>
  <c r="R126" i="34"/>
  <c r="Q126" i="34"/>
  <c r="K126" i="34"/>
  <c r="B126" i="34"/>
  <c r="R125" i="34"/>
  <c r="Q125" i="34"/>
  <c r="K125" i="34"/>
  <c r="B125" i="34"/>
  <c r="R124" i="34"/>
  <c r="Q124" i="34"/>
  <c r="K124" i="34"/>
  <c r="B124" i="34"/>
  <c r="R123" i="34"/>
  <c r="Q123" i="34"/>
  <c r="K123" i="34"/>
  <c r="B123" i="34"/>
  <c r="R122" i="34"/>
  <c r="Q122" i="34"/>
  <c r="K122" i="34"/>
  <c r="B122" i="34"/>
  <c r="R121" i="34"/>
  <c r="Q121" i="34"/>
  <c r="K121" i="34"/>
  <c r="B121" i="34"/>
  <c r="R120" i="34"/>
  <c r="Q120" i="34"/>
  <c r="K120" i="34"/>
  <c r="B120" i="34"/>
  <c r="R119" i="34"/>
  <c r="Q119" i="34"/>
  <c r="K119" i="34"/>
  <c r="B119" i="34"/>
  <c r="R118" i="34"/>
  <c r="Q118" i="34"/>
  <c r="K118" i="34"/>
  <c r="B118" i="34"/>
  <c r="R117" i="34"/>
  <c r="Q117" i="34"/>
  <c r="K117" i="34"/>
  <c r="B117" i="34"/>
  <c r="R116" i="34"/>
  <c r="Q116" i="34"/>
  <c r="K116" i="34"/>
  <c r="B116" i="34"/>
  <c r="R115" i="34"/>
  <c r="Q115" i="34"/>
  <c r="K115" i="34"/>
  <c r="B115" i="34"/>
  <c r="R114" i="34"/>
  <c r="Q114" i="34"/>
  <c r="K114" i="34"/>
  <c r="R113" i="34"/>
  <c r="Q113" i="34"/>
  <c r="K113" i="34"/>
  <c r="B113" i="34"/>
  <c r="R112" i="34"/>
  <c r="Q112" i="34"/>
  <c r="K112" i="34"/>
  <c r="B112" i="34"/>
  <c r="R111" i="34"/>
  <c r="Q111" i="34"/>
  <c r="K111" i="34"/>
  <c r="B111" i="34"/>
  <c r="R110" i="34"/>
  <c r="Q110" i="34"/>
  <c r="K110" i="34"/>
  <c r="B110" i="34"/>
  <c r="R109" i="34"/>
  <c r="Q109" i="34"/>
  <c r="K109" i="34"/>
  <c r="B109" i="34"/>
  <c r="R108" i="34"/>
  <c r="Q108" i="34"/>
  <c r="K108" i="34"/>
  <c r="B108" i="34"/>
  <c r="R107" i="34"/>
  <c r="Q107" i="34"/>
  <c r="K107" i="34"/>
  <c r="B107" i="34"/>
  <c r="R106" i="34"/>
  <c r="Q106" i="34"/>
  <c r="K106" i="34"/>
  <c r="B106" i="34"/>
  <c r="R105" i="34"/>
  <c r="Q105" i="34"/>
  <c r="K105" i="34"/>
  <c r="B105" i="34"/>
  <c r="R104" i="34"/>
  <c r="Q104" i="34"/>
  <c r="K104" i="34"/>
  <c r="B104" i="34"/>
  <c r="R103" i="34"/>
  <c r="Q103" i="34"/>
  <c r="K103" i="34"/>
  <c r="B103" i="34"/>
  <c r="R102" i="34"/>
  <c r="Q102" i="34"/>
  <c r="K102" i="34"/>
  <c r="B102" i="34"/>
  <c r="R101" i="34"/>
  <c r="Q101" i="34"/>
  <c r="K101" i="34"/>
  <c r="B101" i="34"/>
  <c r="R100" i="34"/>
  <c r="Q100" i="34"/>
  <c r="K100" i="34"/>
  <c r="B100" i="34"/>
  <c r="R99" i="34"/>
  <c r="Q99" i="34"/>
  <c r="K99" i="34"/>
  <c r="B99" i="34"/>
  <c r="R98" i="34"/>
  <c r="Q98" i="34"/>
  <c r="K98" i="34"/>
  <c r="B98" i="34"/>
  <c r="R97" i="34"/>
  <c r="Q97" i="34"/>
  <c r="K97" i="34"/>
  <c r="B97" i="34"/>
  <c r="R96" i="34"/>
  <c r="Q96" i="34"/>
  <c r="K96" i="34"/>
  <c r="B96" i="34"/>
  <c r="R95" i="34"/>
  <c r="Q95" i="34"/>
  <c r="K95" i="34"/>
  <c r="B95" i="34"/>
  <c r="R94" i="34"/>
  <c r="Q94" i="34"/>
  <c r="K94" i="34"/>
  <c r="B94" i="34"/>
  <c r="R93" i="34"/>
  <c r="Q93" i="34"/>
  <c r="K93" i="34"/>
  <c r="B93" i="34"/>
  <c r="R92" i="34"/>
  <c r="Q92" i="34"/>
  <c r="K92" i="34"/>
  <c r="B92" i="34"/>
  <c r="R91" i="34"/>
  <c r="Q91" i="34"/>
  <c r="K91" i="34"/>
  <c r="B91" i="34"/>
  <c r="R90" i="34"/>
  <c r="Q90" i="34"/>
  <c r="K90" i="34"/>
  <c r="B90" i="34"/>
  <c r="R89" i="34"/>
  <c r="Q89" i="34"/>
  <c r="K89" i="34"/>
  <c r="B89" i="34"/>
  <c r="R88" i="34"/>
  <c r="Q88" i="34"/>
  <c r="K88" i="34"/>
  <c r="B88" i="34"/>
  <c r="R87" i="34"/>
  <c r="Q87" i="34"/>
  <c r="K87" i="34"/>
  <c r="B87" i="34"/>
  <c r="R86" i="34"/>
  <c r="Q86" i="34"/>
  <c r="K86" i="34"/>
  <c r="B86" i="34"/>
  <c r="R85" i="34"/>
  <c r="Q85" i="34"/>
  <c r="K85" i="34"/>
  <c r="B85" i="34"/>
  <c r="R84" i="34"/>
  <c r="Q84" i="34"/>
  <c r="K84" i="34"/>
  <c r="B84" i="34"/>
  <c r="R83" i="34"/>
  <c r="Q83" i="34"/>
  <c r="K83" i="34"/>
  <c r="B83" i="34"/>
  <c r="R82" i="34"/>
  <c r="Q82" i="34"/>
  <c r="K82" i="34"/>
  <c r="B82" i="34"/>
  <c r="R81" i="34"/>
  <c r="Q81" i="34"/>
  <c r="K81" i="34"/>
  <c r="B81" i="34"/>
  <c r="R80" i="34"/>
  <c r="Q80" i="34"/>
  <c r="K80" i="34"/>
  <c r="B80" i="34"/>
  <c r="R79" i="34"/>
  <c r="Q79" i="34"/>
  <c r="K79" i="34"/>
  <c r="B79" i="34"/>
  <c r="R78" i="34"/>
  <c r="Q78" i="34"/>
  <c r="K78" i="34"/>
  <c r="B78" i="34"/>
  <c r="R77" i="34"/>
  <c r="Q77" i="34"/>
  <c r="K77" i="34"/>
  <c r="B77" i="34"/>
  <c r="R76" i="34"/>
  <c r="Q76" i="34"/>
  <c r="K76" i="34"/>
  <c r="B76" i="34"/>
  <c r="R75" i="34"/>
  <c r="Q75" i="34"/>
  <c r="K75" i="34"/>
  <c r="B75" i="34"/>
  <c r="R74" i="34"/>
  <c r="Q74" i="34"/>
  <c r="K74" i="34"/>
  <c r="B74" i="34"/>
  <c r="R73" i="34"/>
  <c r="Q73" i="34"/>
  <c r="K73" i="34"/>
  <c r="B73" i="34"/>
  <c r="R72" i="34"/>
  <c r="Q72" i="34"/>
  <c r="K72" i="34"/>
  <c r="B72" i="34"/>
  <c r="R71" i="34"/>
  <c r="Q71" i="34"/>
  <c r="K71" i="34"/>
  <c r="B71" i="34"/>
  <c r="R70" i="34"/>
  <c r="Q70" i="34"/>
  <c r="K70" i="34"/>
  <c r="B70" i="34"/>
  <c r="R69" i="34"/>
  <c r="Q69" i="34"/>
  <c r="K69" i="34"/>
  <c r="B69" i="34"/>
  <c r="R68" i="34"/>
  <c r="Q68" i="34"/>
  <c r="K68" i="34"/>
  <c r="B68" i="34"/>
  <c r="R67" i="34"/>
  <c r="Q67" i="34"/>
  <c r="K67" i="34"/>
  <c r="B67" i="34"/>
  <c r="R66" i="34"/>
  <c r="Q66" i="34"/>
  <c r="K66" i="34"/>
  <c r="B66" i="34"/>
  <c r="R65" i="34"/>
  <c r="Q65" i="34"/>
  <c r="K65" i="34"/>
  <c r="B65" i="34"/>
  <c r="R64" i="34"/>
  <c r="Q64" i="34"/>
  <c r="K64" i="34"/>
  <c r="B64" i="34"/>
  <c r="R63" i="34"/>
  <c r="Q63" i="34"/>
  <c r="K63" i="34"/>
  <c r="B63" i="34"/>
  <c r="R62" i="34"/>
  <c r="Q62" i="34"/>
  <c r="K62" i="34"/>
  <c r="B62" i="34"/>
  <c r="R61" i="34"/>
  <c r="Q61" i="34"/>
  <c r="K61" i="34"/>
  <c r="B61" i="34"/>
  <c r="R60" i="34"/>
  <c r="Q60" i="34"/>
  <c r="K60" i="34"/>
  <c r="B60" i="34"/>
  <c r="R59" i="34"/>
  <c r="Q59" i="34"/>
  <c r="K59" i="34"/>
  <c r="B59" i="34"/>
  <c r="R58" i="34"/>
  <c r="Q58" i="34"/>
  <c r="K58" i="34"/>
  <c r="B58" i="34"/>
  <c r="R57" i="34"/>
  <c r="Q57" i="34"/>
  <c r="K57" i="34"/>
  <c r="B57" i="34"/>
  <c r="R56" i="34"/>
  <c r="Q56" i="34"/>
  <c r="K56" i="34"/>
  <c r="B56" i="34"/>
  <c r="R55" i="34"/>
  <c r="Q55" i="34"/>
  <c r="K55" i="34"/>
  <c r="B55" i="34"/>
  <c r="R54" i="34"/>
  <c r="Q54" i="34"/>
  <c r="K54" i="34"/>
  <c r="B54" i="34"/>
  <c r="R53" i="34"/>
  <c r="Q53" i="34"/>
  <c r="K53" i="34"/>
  <c r="B53" i="34"/>
  <c r="R52" i="34"/>
  <c r="Q52" i="34"/>
  <c r="K52" i="34"/>
  <c r="B52" i="34"/>
  <c r="R51" i="34"/>
  <c r="Q51" i="34"/>
  <c r="K51" i="34"/>
  <c r="B51" i="34"/>
  <c r="R50" i="34"/>
  <c r="Q50" i="34"/>
  <c r="K50" i="34"/>
  <c r="B50" i="34"/>
  <c r="R49" i="34"/>
  <c r="Q49" i="34"/>
  <c r="K49" i="34"/>
  <c r="B49" i="34"/>
  <c r="R48" i="34"/>
  <c r="Q48" i="34"/>
  <c r="K48" i="34"/>
  <c r="B48" i="34"/>
  <c r="R47" i="34"/>
  <c r="Q47" i="34"/>
  <c r="K47" i="34"/>
  <c r="B47" i="34"/>
  <c r="R46" i="34"/>
  <c r="Q46" i="34"/>
  <c r="K46" i="34"/>
  <c r="B46" i="34"/>
  <c r="R45" i="34"/>
  <c r="Q45" i="34"/>
  <c r="K45" i="34"/>
  <c r="B45" i="34"/>
  <c r="R44" i="34"/>
  <c r="Q44" i="34"/>
  <c r="K44" i="34"/>
  <c r="B44" i="34"/>
  <c r="R43" i="34"/>
  <c r="Q43" i="34"/>
  <c r="K43" i="34"/>
  <c r="B43" i="34"/>
  <c r="R42" i="34"/>
  <c r="Q42" i="34"/>
  <c r="K42" i="34"/>
  <c r="B42" i="34"/>
  <c r="R41" i="34"/>
  <c r="Q41" i="34"/>
  <c r="K41" i="34"/>
  <c r="B41" i="34"/>
  <c r="R40" i="34"/>
  <c r="Q40" i="34"/>
  <c r="K40" i="34"/>
  <c r="B40" i="34"/>
  <c r="R39" i="34"/>
  <c r="Q39" i="34"/>
  <c r="K39" i="34"/>
  <c r="B39" i="34"/>
  <c r="R38" i="34"/>
  <c r="Q38" i="34"/>
  <c r="K38" i="34"/>
  <c r="B38" i="34"/>
  <c r="R37" i="34"/>
  <c r="Q37" i="34"/>
  <c r="K37" i="34"/>
  <c r="F37" i="34"/>
  <c r="B37" i="34"/>
  <c r="R36" i="34"/>
  <c r="Q36" i="34"/>
  <c r="K36" i="34"/>
  <c r="B36" i="34"/>
  <c r="R35" i="34"/>
  <c r="Q35" i="34"/>
  <c r="K35" i="34"/>
  <c r="B35" i="34"/>
  <c r="R34" i="34"/>
  <c r="Q34" i="34"/>
  <c r="K34" i="34"/>
  <c r="B34" i="34"/>
  <c r="R33" i="34"/>
  <c r="Q33" i="34"/>
  <c r="K33" i="34"/>
  <c r="B33" i="34"/>
  <c r="R32" i="34"/>
  <c r="Q32" i="34"/>
  <c r="K32" i="34"/>
  <c r="B32" i="34"/>
  <c r="R31" i="34"/>
  <c r="Q31" i="34"/>
  <c r="K31" i="34"/>
  <c r="B31" i="34"/>
  <c r="R30" i="34"/>
  <c r="Q30" i="34"/>
  <c r="K30" i="34"/>
  <c r="B30" i="34"/>
  <c r="R29" i="34"/>
  <c r="Q29" i="34"/>
  <c r="K29" i="34"/>
  <c r="B29" i="34"/>
  <c r="R28" i="34"/>
  <c r="Q28" i="34"/>
  <c r="K28" i="34"/>
  <c r="B28" i="34"/>
  <c r="R27" i="34"/>
  <c r="Q27" i="34"/>
  <c r="K27" i="34"/>
  <c r="B27" i="34"/>
  <c r="R26" i="34"/>
  <c r="Q26" i="34"/>
  <c r="K26" i="34"/>
  <c r="B26" i="34"/>
  <c r="R25" i="34"/>
  <c r="Q25" i="34"/>
  <c r="K25" i="34"/>
  <c r="B25" i="34"/>
  <c r="R24" i="34"/>
  <c r="Q24" i="34"/>
  <c r="K24" i="34"/>
  <c r="B24" i="34"/>
  <c r="R23" i="34"/>
  <c r="Q23" i="34"/>
  <c r="K23" i="34"/>
  <c r="B23" i="34"/>
  <c r="R22" i="34"/>
  <c r="Q22" i="34"/>
  <c r="K22" i="34"/>
  <c r="B22" i="34"/>
  <c r="R21" i="34"/>
  <c r="Q21" i="34"/>
  <c r="K21" i="34"/>
  <c r="B21" i="34"/>
  <c r="R20" i="34"/>
  <c r="Q20" i="34"/>
  <c r="K20" i="34"/>
  <c r="B20" i="34"/>
  <c r="R19" i="34"/>
  <c r="Q19" i="34"/>
  <c r="K19" i="34"/>
  <c r="B19" i="34"/>
  <c r="R18" i="34"/>
  <c r="Q18" i="34"/>
  <c r="K18" i="34"/>
  <c r="B18" i="34"/>
  <c r="R17" i="34"/>
  <c r="Q17" i="34"/>
  <c r="K17" i="34"/>
  <c r="B17" i="34"/>
  <c r="R16" i="34"/>
  <c r="Q16" i="34"/>
  <c r="K16" i="34"/>
  <c r="B16" i="34"/>
  <c r="R15" i="34"/>
  <c r="Q15" i="34"/>
  <c r="K15" i="34"/>
  <c r="B15" i="34"/>
  <c r="R14" i="34"/>
  <c r="Q14" i="34"/>
  <c r="K14" i="34"/>
  <c r="B14" i="34"/>
  <c r="R13" i="34"/>
  <c r="Q13" i="34"/>
  <c r="K13" i="34"/>
  <c r="B13" i="34"/>
  <c r="R12" i="34"/>
  <c r="Q12" i="34"/>
  <c r="K12" i="34"/>
  <c r="B12" i="34"/>
  <c r="R11" i="34"/>
  <c r="Q11" i="34"/>
  <c r="K11" i="34"/>
  <c r="B11" i="34"/>
  <c r="R10" i="34"/>
  <c r="Q10" i="34"/>
  <c r="K10" i="34"/>
  <c r="W310" i="35"/>
  <c r="R310" i="35"/>
  <c r="O310" i="35"/>
  <c r="N310" i="35"/>
  <c r="M310" i="35"/>
  <c r="I310" i="35"/>
  <c r="B310" i="35"/>
  <c r="W309" i="35"/>
  <c r="R309" i="35"/>
  <c r="O309" i="35"/>
  <c r="N309" i="35"/>
  <c r="M309" i="35"/>
  <c r="I309" i="35"/>
  <c r="B309" i="35"/>
  <c r="W308" i="35"/>
  <c r="R308" i="35"/>
  <c r="O308" i="35"/>
  <c r="N308" i="35"/>
  <c r="M308" i="35"/>
  <c r="I308" i="35"/>
  <c r="B308" i="35"/>
  <c r="W307" i="35"/>
  <c r="R307" i="35"/>
  <c r="O307" i="35"/>
  <c r="N307" i="35"/>
  <c r="M307" i="35"/>
  <c r="I307" i="35"/>
  <c r="B307" i="35"/>
  <c r="W306" i="35"/>
  <c r="R306" i="35"/>
  <c r="O306" i="35"/>
  <c r="N306" i="35"/>
  <c r="M306" i="35"/>
  <c r="I306" i="35"/>
  <c r="B306" i="35"/>
  <c r="W305" i="35"/>
  <c r="R305" i="35"/>
  <c r="O305" i="35"/>
  <c r="N305" i="35"/>
  <c r="M305" i="35"/>
  <c r="I305" i="35"/>
  <c r="B305" i="35"/>
  <c r="W304" i="35"/>
  <c r="R304" i="35"/>
  <c r="O304" i="35"/>
  <c r="N304" i="35"/>
  <c r="M304" i="35"/>
  <c r="B304" i="35"/>
  <c r="W303" i="35"/>
  <c r="R303" i="35"/>
  <c r="O303" i="35"/>
  <c r="N303" i="35"/>
  <c r="M303" i="35"/>
  <c r="B303" i="35"/>
  <c r="W302" i="35"/>
  <c r="R302" i="35"/>
  <c r="O302" i="35"/>
  <c r="N302" i="35"/>
  <c r="M302" i="35"/>
  <c r="I302" i="35"/>
  <c r="B302" i="35"/>
  <c r="W301" i="35"/>
  <c r="R301" i="35"/>
  <c r="O301" i="35"/>
  <c r="N301" i="35"/>
  <c r="M301" i="35"/>
  <c r="I301" i="35"/>
  <c r="B301" i="35"/>
  <c r="W300" i="35"/>
  <c r="R300" i="35"/>
  <c r="O300" i="35"/>
  <c r="N300" i="35"/>
  <c r="M300" i="35"/>
  <c r="I300" i="35"/>
  <c r="B300" i="35"/>
  <c r="W299" i="35"/>
  <c r="R299" i="35"/>
  <c r="O299" i="35"/>
  <c r="N299" i="35"/>
  <c r="M299" i="35"/>
  <c r="I299" i="35"/>
  <c r="B299" i="35"/>
  <c r="W298" i="35"/>
  <c r="R298" i="35"/>
  <c r="O298" i="35"/>
  <c r="N298" i="35"/>
  <c r="M298" i="35"/>
  <c r="I298" i="35"/>
  <c r="B298" i="35"/>
  <c r="W297" i="35"/>
  <c r="R297" i="35"/>
  <c r="O297" i="35"/>
  <c r="N297" i="35"/>
  <c r="M297" i="35"/>
  <c r="I297" i="35"/>
  <c r="B297" i="35"/>
  <c r="W296" i="35"/>
  <c r="R296" i="35"/>
  <c r="O296" i="35"/>
  <c r="N296" i="35"/>
  <c r="M296" i="35"/>
  <c r="I296" i="35"/>
  <c r="B296" i="35"/>
  <c r="W295" i="35"/>
  <c r="R295" i="35"/>
  <c r="O295" i="35"/>
  <c r="N295" i="35"/>
  <c r="M295" i="35"/>
  <c r="I295" i="35"/>
  <c r="B295" i="35"/>
  <c r="W294" i="35"/>
  <c r="R294" i="35"/>
  <c r="O294" i="35"/>
  <c r="N294" i="35"/>
  <c r="M294" i="35"/>
  <c r="I294" i="35"/>
  <c r="B294" i="35"/>
  <c r="W293" i="35"/>
  <c r="R293" i="35"/>
  <c r="O293" i="35"/>
  <c r="N293" i="35"/>
  <c r="M293" i="35"/>
  <c r="I293" i="35"/>
  <c r="B293" i="35"/>
  <c r="W292" i="35"/>
  <c r="R292" i="35"/>
  <c r="O292" i="35"/>
  <c r="N292" i="35"/>
  <c r="M292" i="35"/>
  <c r="I292" i="35"/>
  <c r="B292" i="35"/>
  <c r="W291" i="35"/>
  <c r="R291" i="35"/>
  <c r="O291" i="35"/>
  <c r="N291" i="35"/>
  <c r="M291" i="35"/>
  <c r="I291" i="35"/>
  <c r="B291" i="35"/>
  <c r="W290" i="35"/>
  <c r="R290" i="35"/>
  <c r="O290" i="35"/>
  <c r="N290" i="35"/>
  <c r="M290" i="35"/>
  <c r="I290" i="35"/>
  <c r="B290" i="35"/>
  <c r="W289" i="35"/>
  <c r="R289" i="35"/>
  <c r="O289" i="35"/>
  <c r="N289" i="35"/>
  <c r="M289" i="35"/>
  <c r="I289" i="35"/>
  <c r="B289" i="35"/>
  <c r="W288" i="35"/>
  <c r="R288" i="35"/>
  <c r="O288" i="35"/>
  <c r="N288" i="35"/>
  <c r="M288" i="35"/>
  <c r="I288" i="35"/>
  <c r="B288" i="35"/>
  <c r="W287" i="35"/>
  <c r="R287" i="35"/>
  <c r="O287" i="35"/>
  <c r="N287" i="35"/>
  <c r="M287" i="35"/>
  <c r="I287" i="35"/>
  <c r="B287" i="35"/>
  <c r="W286" i="35"/>
  <c r="R286" i="35"/>
  <c r="O286" i="35"/>
  <c r="N286" i="35"/>
  <c r="M286" i="35"/>
  <c r="I286" i="35"/>
  <c r="B286" i="35"/>
  <c r="W285" i="35"/>
  <c r="R285" i="35"/>
  <c r="O285" i="35"/>
  <c r="N285" i="35"/>
  <c r="M285" i="35"/>
  <c r="I285" i="35"/>
  <c r="B285" i="35"/>
  <c r="W284" i="35"/>
  <c r="R284" i="35"/>
  <c r="O284" i="35"/>
  <c r="N284" i="35"/>
  <c r="M284" i="35"/>
  <c r="I284" i="35"/>
  <c r="B284" i="35"/>
  <c r="W283" i="35"/>
  <c r="R283" i="35"/>
  <c r="O283" i="35"/>
  <c r="N283" i="35"/>
  <c r="M283" i="35"/>
  <c r="I283" i="35"/>
  <c r="B283" i="35"/>
  <c r="W282" i="35"/>
  <c r="R282" i="35"/>
  <c r="O282" i="35"/>
  <c r="N282" i="35"/>
  <c r="M282" i="35"/>
  <c r="I282" i="35"/>
  <c r="B282" i="35"/>
  <c r="W281" i="35"/>
  <c r="R281" i="35"/>
  <c r="O281" i="35"/>
  <c r="N281" i="35"/>
  <c r="M281" i="35"/>
  <c r="I281" i="35"/>
  <c r="B281" i="35"/>
  <c r="W280" i="35"/>
  <c r="R280" i="35"/>
  <c r="O280" i="35"/>
  <c r="N280" i="35"/>
  <c r="M280" i="35"/>
  <c r="I280" i="35"/>
  <c r="B280" i="35"/>
  <c r="W279" i="35"/>
  <c r="R279" i="35"/>
  <c r="O279" i="35"/>
  <c r="N279" i="35"/>
  <c r="M279" i="35"/>
  <c r="I279" i="35"/>
  <c r="B279" i="35"/>
  <c r="W278" i="35"/>
  <c r="R278" i="35"/>
  <c r="O278" i="35"/>
  <c r="N278" i="35"/>
  <c r="M278" i="35"/>
  <c r="I278" i="35"/>
  <c r="B278" i="35"/>
  <c r="W277" i="35"/>
  <c r="R277" i="35"/>
  <c r="O277" i="35"/>
  <c r="N277" i="35"/>
  <c r="M277" i="35"/>
  <c r="I277" i="35"/>
  <c r="B277" i="35"/>
  <c r="W276" i="35"/>
  <c r="R276" i="35"/>
  <c r="O276" i="35"/>
  <c r="N276" i="35"/>
  <c r="M276" i="35"/>
  <c r="I276" i="35"/>
  <c r="B276" i="35"/>
  <c r="W275" i="35"/>
  <c r="R275" i="35"/>
  <c r="O275" i="35"/>
  <c r="N275" i="35"/>
  <c r="M275" i="35"/>
  <c r="I275" i="35"/>
  <c r="B275" i="35"/>
  <c r="W274" i="35"/>
  <c r="R274" i="35"/>
  <c r="O274" i="35"/>
  <c r="N274" i="35"/>
  <c r="M274" i="35"/>
  <c r="I274" i="35"/>
  <c r="B274" i="35"/>
  <c r="W273" i="35"/>
  <c r="R273" i="35"/>
  <c r="O273" i="35"/>
  <c r="N273" i="35"/>
  <c r="M273" i="35"/>
  <c r="I273" i="35"/>
  <c r="B273" i="35"/>
  <c r="W272" i="35"/>
  <c r="R272" i="35"/>
  <c r="O272" i="35"/>
  <c r="N272" i="35"/>
  <c r="M272" i="35"/>
  <c r="I272" i="35"/>
  <c r="B272" i="35"/>
  <c r="W271" i="35"/>
  <c r="R271" i="35"/>
  <c r="O271" i="35"/>
  <c r="N271" i="35"/>
  <c r="M271" i="35"/>
  <c r="I271" i="35"/>
  <c r="B271" i="35"/>
  <c r="W270" i="35"/>
  <c r="R270" i="35"/>
  <c r="O270" i="35"/>
  <c r="N270" i="35"/>
  <c r="M270" i="35"/>
  <c r="I270" i="35"/>
  <c r="B270" i="35"/>
  <c r="W269" i="35"/>
  <c r="R269" i="35"/>
  <c r="O269" i="35"/>
  <c r="N269" i="35"/>
  <c r="M269" i="35"/>
  <c r="I269" i="35"/>
  <c r="B269" i="35"/>
  <c r="W268" i="35"/>
  <c r="R268" i="35"/>
  <c r="O268" i="35"/>
  <c r="N268" i="35"/>
  <c r="M268" i="35"/>
  <c r="I268" i="35"/>
  <c r="B268" i="35"/>
  <c r="W267" i="35"/>
  <c r="R267" i="35"/>
  <c r="O267" i="35"/>
  <c r="N267" i="35"/>
  <c r="M267" i="35"/>
  <c r="I267" i="35"/>
  <c r="B267" i="35"/>
  <c r="W266" i="35"/>
  <c r="R266" i="35"/>
  <c r="O266" i="35"/>
  <c r="N266" i="35"/>
  <c r="M266" i="35"/>
  <c r="I266" i="35"/>
  <c r="B266" i="35"/>
  <c r="W265" i="35"/>
  <c r="R265" i="35"/>
  <c r="O265" i="35"/>
  <c r="N265" i="35"/>
  <c r="M265" i="35"/>
  <c r="I265" i="35"/>
  <c r="B265" i="35"/>
  <c r="W264" i="35"/>
  <c r="R264" i="35"/>
  <c r="O264" i="35"/>
  <c r="N264" i="35"/>
  <c r="M264" i="35"/>
  <c r="I264" i="35"/>
  <c r="B264" i="35"/>
  <c r="W263" i="35"/>
  <c r="R263" i="35"/>
  <c r="O263" i="35"/>
  <c r="N263" i="35"/>
  <c r="M263" i="35"/>
  <c r="I263" i="35"/>
  <c r="B263" i="35"/>
  <c r="W262" i="35"/>
  <c r="R262" i="35"/>
  <c r="O262" i="35"/>
  <c r="N262" i="35"/>
  <c r="M262" i="35"/>
  <c r="I262" i="35"/>
  <c r="B262" i="35"/>
  <c r="W261" i="35"/>
  <c r="R261" i="35"/>
  <c r="O261" i="35"/>
  <c r="N261" i="35"/>
  <c r="M261" i="35"/>
  <c r="I261" i="35"/>
  <c r="B261" i="35"/>
  <c r="W260" i="35"/>
  <c r="R260" i="35"/>
  <c r="O260" i="35"/>
  <c r="N260" i="35"/>
  <c r="M260" i="35"/>
  <c r="I260" i="35"/>
  <c r="B260" i="35"/>
  <c r="W259" i="35"/>
  <c r="R259" i="35"/>
  <c r="O259" i="35"/>
  <c r="N259" i="35"/>
  <c r="M259" i="35"/>
  <c r="I259" i="35"/>
  <c r="B259" i="35"/>
  <c r="W258" i="35"/>
  <c r="R258" i="35"/>
  <c r="O258" i="35"/>
  <c r="N258" i="35"/>
  <c r="M258" i="35"/>
  <c r="I258" i="35"/>
  <c r="B258" i="35"/>
  <c r="W257" i="35"/>
  <c r="R257" i="35"/>
  <c r="O257" i="35"/>
  <c r="N257" i="35"/>
  <c r="M257" i="35"/>
  <c r="I257" i="35"/>
  <c r="B257" i="35"/>
  <c r="W256" i="35"/>
  <c r="R256" i="35"/>
  <c r="O256" i="35"/>
  <c r="N256" i="35"/>
  <c r="M256" i="35"/>
  <c r="I256" i="35"/>
  <c r="B256" i="35"/>
  <c r="W255" i="35"/>
  <c r="R255" i="35"/>
  <c r="O255" i="35"/>
  <c r="N255" i="35"/>
  <c r="M255" i="35"/>
  <c r="I255" i="35"/>
  <c r="B255" i="35"/>
  <c r="W254" i="35"/>
  <c r="R254" i="35"/>
  <c r="O254" i="35"/>
  <c r="N254" i="35"/>
  <c r="M254" i="35"/>
  <c r="I254" i="35"/>
  <c r="B254" i="35"/>
  <c r="W253" i="35"/>
  <c r="R253" i="35"/>
  <c r="O253" i="35"/>
  <c r="N253" i="35"/>
  <c r="M253" i="35"/>
  <c r="I253" i="35"/>
  <c r="B253" i="35"/>
  <c r="W252" i="35"/>
  <c r="R252" i="35"/>
  <c r="O252" i="35"/>
  <c r="N252" i="35"/>
  <c r="M252" i="35"/>
  <c r="I252" i="35"/>
  <c r="B252" i="35"/>
  <c r="W251" i="35"/>
  <c r="R251" i="35"/>
  <c r="O251" i="35"/>
  <c r="N251" i="35"/>
  <c r="M251" i="35"/>
  <c r="I251" i="35"/>
  <c r="B251" i="35"/>
  <c r="W250" i="35"/>
  <c r="R250" i="35"/>
  <c r="O250" i="35"/>
  <c r="N250" i="35"/>
  <c r="M250" i="35"/>
  <c r="I250" i="35"/>
  <c r="B250" i="35"/>
  <c r="W249" i="35"/>
  <c r="R249" i="35"/>
  <c r="O249" i="35"/>
  <c r="N249" i="35"/>
  <c r="M249" i="35"/>
  <c r="I249" i="35"/>
  <c r="B249" i="35"/>
  <c r="W248" i="35"/>
  <c r="R248" i="35"/>
  <c r="O248" i="35"/>
  <c r="N248" i="35"/>
  <c r="M248" i="35"/>
  <c r="I248" i="35"/>
  <c r="B248" i="35"/>
  <c r="W247" i="35"/>
  <c r="R247" i="35"/>
  <c r="O247" i="35"/>
  <c r="N247" i="35"/>
  <c r="M247" i="35"/>
  <c r="I247" i="35"/>
  <c r="B247" i="35"/>
  <c r="W246" i="35"/>
  <c r="R246" i="35"/>
  <c r="O246" i="35"/>
  <c r="N246" i="35"/>
  <c r="M246" i="35"/>
  <c r="I246" i="35"/>
  <c r="B246" i="35"/>
  <c r="W245" i="35"/>
  <c r="R245" i="35"/>
  <c r="O245" i="35"/>
  <c r="N245" i="35"/>
  <c r="M245" i="35"/>
  <c r="I245" i="35"/>
  <c r="B245" i="35"/>
  <c r="W244" i="35"/>
  <c r="R244" i="35"/>
  <c r="O244" i="35"/>
  <c r="N244" i="35"/>
  <c r="M244" i="35"/>
  <c r="I244" i="35"/>
  <c r="B244" i="35"/>
  <c r="W243" i="35"/>
  <c r="R243" i="35"/>
  <c r="O243" i="35"/>
  <c r="N243" i="35"/>
  <c r="M243" i="35"/>
  <c r="I243" i="35"/>
  <c r="B243" i="35"/>
  <c r="W242" i="35"/>
  <c r="R242" i="35"/>
  <c r="O242" i="35"/>
  <c r="N242" i="35"/>
  <c r="M242" i="35"/>
  <c r="I242" i="35"/>
  <c r="B242" i="35"/>
  <c r="W241" i="35"/>
  <c r="R241" i="35"/>
  <c r="O241" i="35"/>
  <c r="N241" i="35"/>
  <c r="M241" i="35"/>
  <c r="I241" i="35"/>
  <c r="B241" i="35"/>
  <c r="W240" i="35"/>
  <c r="R240" i="35"/>
  <c r="O240" i="35"/>
  <c r="N240" i="35"/>
  <c r="M240" i="35"/>
  <c r="I240" i="35"/>
  <c r="B240" i="35"/>
  <c r="W239" i="35"/>
  <c r="R239" i="35"/>
  <c r="O239" i="35"/>
  <c r="N239" i="35"/>
  <c r="M239" i="35"/>
  <c r="I239" i="35"/>
  <c r="B239" i="35"/>
  <c r="W238" i="35"/>
  <c r="R238" i="35"/>
  <c r="O238" i="35"/>
  <c r="N238" i="35"/>
  <c r="M238" i="35"/>
  <c r="I238" i="35"/>
  <c r="B238" i="35"/>
  <c r="W237" i="35"/>
  <c r="R237" i="35"/>
  <c r="O237" i="35"/>
  <c r="N237" i="35"/>
  <c r="M237" i="35"/>
  <c r="I237" i="35"/>
  <c r="B237" i="35"/>
  <c r="W236" i="35"/>
  <c r="R236" i="35"/>
  <c r="O236" i="35"/>
  <c r="N236" i="35"/>
  <c r="M236" i="35"/>
  <c r="I236" i="35"/>
  <c r="B236" i="35"/>
  <c r="W235" i="35"/>
  <c r="R235" i="35"/>
  <c r="O235" i="35"/>
  <c r="N235" i="35"/>
  <c r="M235" i="35"/>
  <c r="I235" i="35"/>
  <c r="B235" i="35"/>
  <c r="W234" i="35"/>
  <c r="R234" i="35"/>
  <c r="O234" i="35"/>
  <c r="N234" i="35"/>
  <c r="M234" i="35"/>
  <c r="I234" i="35"/>
  <c r="B234" i="35"/>
  <c r="W233" i="35"/>
  <c r="R233" i="35"/>
  <c r="O233" i="35"/>
  <c r="N233" i="35"/>
  <c r="M233" i="35"/>
  <c r="I233" i="35"/>
  <c r="B233" i="35"/>
  <c r="W232" i="35"/>
  <c r="R232" i="35"/>
  <c r="O232" i="35"/>
  <c r="N232" i="35"/>
  <c r="M232" i="35"/>
  <c r="I232" i="35"/>
  <c r="B232" i="35"/>
  <c r="W231" i="35"/>
  <c r="R231" i="35"/>
  <c r="O231" i="35"/>
  <c r="N231" i="35"/>
  <c r="M231" i="35"/>
  <c r="I231" i="35"/>
  <c r="B231" i="35"/>
  <c r="W230" i="35"/>
  <c r="R230" i="35"/>
  <c r="O230" i="35"/>
  <c r="N230" i="35"/>
  <c r="M230" i="35"/>
  <c r="I230" i="35"/>
  <c r="B230" i="35"/>
  <c r="W229" i="35"/>
  <c r="R229" i="35"/>
  <c r="O229" i="35"/>
  <c r="N229" i="35"/>
  <c r="M229" i="35"/>
  <c r="I229" i="35"/>
  <c r="B229" i="35"/>
  <c r="W228" i="35"/>
  <c r="R228" i="35"/>
  <c r="O228" i="35"/>
  <c r="N228" i="35"/>
  <c r="M228" i="35"/>
  <c r="I228" i="35"/>
  <c r="B228" i="35"/>
  <c r="W227" i="35"/>
  <c r="R227" i="35"/>
  <c r="O227" i="35"/>
  <c r="N227" i="35"/>
  <c r="M227" i="35"/>
  <c r="I227" i="35"/>
  <c r="B227" i="35"/>
  <c r="W226" i="35"/>
  <c r="R226" i="35"/>
  <c r="O226" i="35"/>
  <c r="N226" i="35"/>
  <c r="M226" i="35"/>
  <c r="I226" i="35"/>
  <c r="B226" i="35"/>
  <c r="W225" i="35"/>
  <c r="R225" i="35"/>
  <c r="O225" i="35"/>
  <c r="N225" i="35"/>
  <c r="M225" i="35"/>
  <c r="I225" i="35"/>
  <c r="B225" i="35"/>
  <c r="W224" i="35"/>
  <c r="R224" i="35"/>
  <c r="O224" i="35"/>
  <c r="N224" i="35"/>
  <c r="M224" i="35"/>
  <c r="I224" i="35"/>
  <c r="B224" i="35"/>
  <c r="W223" i="35"/>
  <c r="R223" i="35"/>
  <c r="O223" i="35"/>
  <c r="N223" i="35"/>
  <c r="M223" i="35"/>
  <c r="I223" i="35"/>
  <c r="B223" i="35"/>
  <c r="W222" i="35"/>
  <c r="R222" i="35"/>
  <c r="O222" i="35"/>
  <c r="N222" i="35"/>
  <c r="M222" i="35"/>
  <c r="I222" i="35"/>
  <c r="B222" i="35"/>
  <c r="W221" i="35"/>
  <c r="R221" i="35"/>
  <c r="O221" i="35"/>
  <c r="N221" i="35"/>
  <c r="M221" i="35"/>
  <c r="I221" i="35"/>
  <c r="B221" i="35"/>
  <c r="W220" i="35"/>
  <c r="R220" i="35"/>
  <c r="O220" i="35"/>
  <c r="N220" i="35"/>
  <c r="M220" i="35"/>
  <c r="I220" i="35"/>
  <c r="B220" i="35"/>
  <c r="W219" i="35"/>
  <c r="R219" i="35"/>
  <c r="O219" i="35"/>
  <c r="N219" i="35"/>
  <c r="M219" i="35"/>
  <c r="I219" i="35"/>
  <c r="B219" i="35"/>
  <c r="W218" i="35"/>
  <c r="R218" i="35"/>
  <c r="O218" i="35"/>
  <c r="N218" i="35"/>
  <c r="M218" i="35"/>
  <c r="I218" i="35"/>
  <c r="B218" i="35"/>
  <c r="W217" i="35"/>
  <c r="R217" i="35"/>
  <c r="O217" i="35"/>
  <c r="N217" i="35"/>
  <c r="M217" i="35"/>
  <c r="I217" i="35"/>
  <c r="B217" i="35"/>
  <c r="W216" i="35"/>
  <c r="R216" i="35"/>
  <c r="O216" i="35"/>
  <c r="N216" i="35"/>
  <c r="M216" i="35"/>
  <c r="I216" i="35"/>
  <c r="B216" i="35"/>
  <c r="W215" i="35"/>
  <c r="R215" i="35"/>
  <c r="O215" i="35"/>
  <c r="N215" i="35"/>
  <c r="M215" i="35"/>
  <c r="I215" i="35"/>
  <c r="B215" i="35"/>
  <c r="W214" i="35"/>
  <c r="R214" i="35"/>
  <c r="O214" i="35"/>
  <c r="N214" i="35"/>
  <c r="M214" i="35"/>
  <c r="I214" i="35"/>
  <c r="B214" i="35"/>
  <c r="W213" i="35"/>
  <c r="R213" i="35"/>
  <c r="O213" i="35"/>
  <c r="N213" i="35"/>
  <c r="M213" i="35"/>
  <c r="I213" i="35"/>
  <c r="B213" i="35"/>
  <c r="W212" i="35"/>
  <c r="R212" i="35"/>
  <c r="O212" i="35"/>
  <c r="N212" i="35"/>
  <c r="M212" i="35"/>
  <c r="I212" i="35"/>
  <c r="B212" i="35"/>
  <c r="W211" i="35"/>
  <c r="R211" i="35"/>
  <c r="O211" i="35"/>
  <c r="N211" i="35"/>
  <c r="M211" i="35"/>
  <c r="I211" i="35"/>
  <c r="B211" i="35"/>
  <c r="W210" i="35"/>
  <c r="R210" i="35"/>
  <c r="O210" i="35"/>
  <c r="N210" i="35"/>
  <c r="M210" i="35"/>
  <c r="I210" i="35"/>
  <c r="B210" i="35"/>
  <c r="W209" i="35"/>
  <c r="R209" i="35"/>
  <c r="O209" i="35"/>
  <c r="N209" i="35"/>
  <c r="M209" i="35"/>
  <c r="B209" i="35"/>
  <c r="W208" i="35"/>
  <c r="R208" i="35"/>
  <c r="O208" i="35"/>
  <c r="N208" i="35"/>
  <c r="M208" i="35"/>
  <c r="B208" i="35"/>
  <c r="W207" i="35"/>
  <c r="R207" i="35"/>
  <c r="O207" i="35"/>
  <c r="N207" i="35"/>
  <c r="M207" i="35"/>
  <c r="I207" i="35"/>
  <c r="B207" i="35"/>
  <c r="W206" i="35"/>
  <c r="R206" i="35"/>
  <c r="O206" i="35"/>
  <c r="N206" i="35"/>
  <c r="M206" i="35"/>
  <c r="I206" i="35"/>
  <c r="B206" i="35"/>
  <c r="W205" i="35"/>
  <c r="R205" i="35"/>
  <c r="O205" i="35"/>
  <c r="N205" i="35"/>
  <c r="M205" i="35"/>
  <c r="I205" i="35"/>
  <c r="B205" i="35"/>
  <c r="W204" i="35"/>
  <c r="R204" i="35"/>
  <c r="O204" i="35"/>
  <c r="N204" i="35"/>
  <c r="M204" i="35"/>
  <c r="I204" i="35"/>
  <c r="B204" i="35"/>
  <c r="W203" i="35"/>
  <c r="R203" i="35"/>
  <c r="O203" i="35"/>
  <c r="N203" i="35"/>
  <c r="M203" i="35"/>
  <c r="I203" i="35"/>
  <c r="B203" i="35"/>
  <c r="W202" i="35"/>
  <c r="R202" i="35"/>
  <c r="O202" i="35"/>
  <c r="N202" i="35"/>
  <c r="M202" i="35"/>
  <c r="I202" i="35"/>
  <c r="B202" i="35"/>
  <c r="W201" i="35"/>
  <c r="R201" i="35"/>
  <c r="O201" i="35"/>
  <c r="N201" i="35"/>
  <c r="M201" i="35"/>
  <c r="I201" i="35"/>
  <c r="B201" i="35"/>
  <c r="W200" i="35"/>
  <c r="R200" i="35"/>
  <c r="O200" i="35"/>
  <c r="N200" i="35"/>
  <c r="M200" i="35"/>
  <c r="I200" i="35"/>
  <c r="B200" i="35"/>
  <c r="W199" i="35"/>
  <c r="R199" i="35"/>
  <c r="O199" i="35"/>
  <c r="N199" i="35"/>
  <c r="M199" i="35"/>
  <c r="I199" i="35"/>
  <c r="B199" i="35"/>
  <c r="W198" i="35"/>
  <c r="R198" i="35"/>
  <c r="O198" i="35"/>
  <c r="N198" i="35"/>
  <c r="M198" i="35"/>
  <c r="I198" i="35"/>
  <c r="B198" i="35"/>
  <c r="W197" i="35"/>
  <c r="R197" i="35"/>
  <c r="O197" i="35"/>
  <c r="N197" i="35"/>
  <c r="M197" i="35"/>
  <c r="I197" i="35"/>
  <c r="B197" i="35"/>
  <c r="W196" i="35"/>
  <c r="R196" i="35"/>
  <c r="O196" i="35"/>
  <c r="N196" i="35"/>
  <c r="M196" i="35"/>
  <c r="I196" i="35"/>
  <c r="B196" i="35"/>
  <c r="W195" i="35"/>
  <c r="R195" i="35"/>
  <c r="O195" i="35"/>
  <c r="N195" i="35"/>
  <c r="M195" i="35"/>
  <c r="I195" i="35"/>
  <c r="B195" i="35"/>
  <c r="W194" i="35"/>
  <c r="R194" i="35"/>
  <c r="O194" i="35"/>
  <c r="N194" i="35"/>
  <c r="M194" i="35"/>
  <c r="I194" i="35"/>
  <c r="B194" i="35"/>
  <c r="W193" i="35"/>
  <c r="R193" i="35"/>
  <c r="O193" i="35"/>
  <c r="N193" i="35"/>
  <c r="M193" i="35"/>
  <c r="I193" i="35"/>
  <c r="B193" i="35"/>
  <c r="W192" i="35"/>
  <c r="R192" i="35"/>
  <c r="O192" i="35"/>
  <c r="N192" i="35"/>
  <c r="M192" i="35"/>
  <c r="I192" i="35"/>
  <c r="B192" i="35"/>
  <c r="W191" i="35"/>
  <c r="R191" i="35"/>
  <c r="O191" i="35"/>
  <c r="N191" i="35"/>
  <c r="M191" i="35"/>
  <c r="I191" i="35"/>
  <c r="B191" i="35"/>
  <c r="W190" i="35"/>
  <c r="R190" i="35"/>
  <c r="O190" i="35"/>
  <c r="N190" i="35"/>
  <c r="M190" i="35"/>
  <c r="I190" i="35"/>
  <c r="B190" i="35"/>
  <c r="W189" i="35"/>
  <c r="R189" i="35"/>
  <c r="O189" i="35"/>
  <c r="N189" i="35"/>
  <c r="M189" i="35"/>
  <c r="I189" i="35"/>
  <c r="B189" i="35"/>
  <c r="W188" i="35"/>
  <c r="R188" i="35"/>
  <c r="O188" i="35"/>
  <c r="N188" i="35"/>
  <c r="M188" i="35"/>
  <c r="I188" i="35"/>
  <c r="B188" i="35"/>
  <c r="W187" i="35"/>
  <c r="R187" i="35"/>
  <c r="O187" i="35"/>
  <c r="N187" i="35"/>
  <c r="M187" i="35"/>
  <c r="I187" i="35"/>
  <c r="B187" i="35"/>
  <c r="W186" i="35"/>
  <c r="R186" i="35"/>
  <c r="O186" i="35"/>
  <c r="N186" i="35"/>
  <c r="M186" i="35"/>
  <c r="I186" i="35"/>
  <c r="B186" i="35"/>
  <c r="W185" i="35"/>
  <c r="R185" i="35"/>
  <c r="O185" i="35"/>
  <c r="N185" i="35"/>
  <c r="M185" i="35"/>
  <c r="I185" i="35"/>
  <c r="B185" i="35"/>
  <c r="W184" i="35"/>
  <c r="R184" i="35"/>
  <c r="O184" i="35"/>
  <c r="N184" i="35"/>
  <c r="M184" i="35"/>
  <c r="I184" i="35"/>
  <c r="B184" i="35"/>
  <c r="W183" i="35"/>
  <c r="R183" i="35"/>
  <c r="O183" i="35"/>
  <c r="N183" i="35"/>
  <c r="M183" i="35"/>
  <c r="I183" i="35"/>
  <c r="B183" i="35"/>
  <c r="W182" i="35"/>
  <c r="R182" i="35"/>
  <c r="O182" i="35"/>
  <c r="N182" i="35"/>
  <c r="M182" i="35"/>
  <c r="I182" i="35"/>
  <c r="B182" i="35"/>
  <c r="W181" i="35"/>
  <c r="R181" i="35"/>
  <c r="O181" i="35"/>
  <c r="N181" i="35"/>
  <c r="M181" i="35"/>
  <c r="J181" i="35"/>
  <c r="I181" i="35"/>
  <c r="B181" i="35"/>
  <c r="W180" i="35"/>
  <c r="R180" i="35"/>
  <c r="O180" i="35"/>
  <c r="N180" i="35"/>
  <c r="M180" i="35"/>
  <c r="J180" i="35"/>
  <c r="I180" i="35"/>
  <c r="B180" i="35"/>
  <c r="W179" i="35"/>
  <c r="R179" i="35"/>
  <c r="O179" i="35"/>
  <c r="N179" i="35"/>
  <c r="M179" i="35"/>
  <c r="I179" i="35"/>
  <c r="B179" i="35"/>
  <c r="W178" i="35"/>
  <c r="R178" i="35"/>
  <c r="O178" i="35"/>
  <c r="N178" i="35"/>
  <c r="M178" i="35"/>
  <c r="I178" i="35"/>
  <c r="B178" i="35"/>
  <c r="W177" i="35"/>
  <c r="R177" i="35"/>
  <c r="O177" i="35"/>
  <c r="N177" i="35"/>
  <c r="M177" i="35"/>
  <c r="I177" i="35"/>
  <c r="B177" i="35"/>
  <c r="W176" i="35"/>
  <c r="R176" i="35"/>
  <c r="O176" i="35"/>
  <c r="N176" i="35"/>
  <c r="M176" i="35"/>
  <c r="I176" i="35"/>
  <c r="B176" i="35"/>
  <c r="W175" i="35"/>
  <c r="R175" i="35"/>
  <c r="O175" i="35"/>
  <c r="N175" i="35"/>
  <c r="M175" i="35"/>
  <c r="I175" i="35"/>
  <c r="B175" i="35"/>
  <c r="W174" i="35"/>
  <c r="R174" i="35"/>
  <c r="O174" i="35"/>
  <c r="N174" i="35"/>
  <c r="M174" i="35"/>
  <c r="I174" i="35"/>
  <c r="B174" i="35"/>
  <c r="W173" i="35"/>
  <c r="R173" i="35"/>
  <c r="O173" i="35"/>
  <c r="N173" i="35"/>
  <c r="M173" i="35"/>
  <c r="I173" i="35"/>
  <c r="B173" i="35"/>
  <c r="W172" i="35"/>
  <c r="R172" i="35"/>
  <c r="O172" i="35"/>
  <c r="N172" i="35"/>
  <c r="M172" i="35"/>
  <c r="I172" i="35"/>
  <c r="B172" i="35"/>
  <c r="W171" i="35"/>
  <c r="R171" i="35"/>
  <c r="O171" i="35"/>
  <c r="N171" i="35"/>
  <c r="M171" i="35"/>
  <c r="I171" i="35"/>
  <c r="B171" i="35"/>
  <c r="W170" i="35"/>
  <c r="R170" i="35"/>
  <c r="O170" i="35"/>
  <c r="N170" i="35"/>
  <c r="M170" i="35"/>
  <c r="I170" i="35"/>
  <c r="B170" i="35"/>
  <c r="W169" i="35"/>
  <c r="R169" i="35"/>
  <c r="O169" i="35"/>
  <c r="N169" i="35"/>
  <c r="M169" i="35"/>
  <c r="J169" i="35"/>
  <c r="I169" i="35"/>
  <c r="B169" i="35"/>
  <c r="W168" i="35"/>
  <c r="R168" i="35"/>
  <c r="O168" i="35"/>
  <c r="N168" i="35"/>
  <c r="M168" i="35"/>
  <c r="I168" i="35"/>
  <c r="B168" i="35"/>
  <c r="W167" i="35"/>
  <c r="R167" i="35"/>
  <c r="O167" i="35"/>
  <c r="N167" i="35"/>
  <c r="M167" i="35"/>
  <c r="J167" i="35"/>
  <c r="I167" i="35"/>
  <c r="B167" i="35"/>
  <c r="W166" i="35"/>
  <c r="R166" i="35"/>
  <c r="O166" i="35"/>
  <c r="N166" i="35"/>
  <c r="M166" i="35"/>
  <c r="J166" i="35"/>
  <c r="I166" i="35"/>
  <c r="B166" i="35"/>
  <c r="W165" i="35"/>
  <c r="R165" i="35"/>
  <c r="P165" i="35"/>
  <c r="O165" i="35"/>
  <c r="N165" i="35"/>
  <c r="M165" i="35"/>
  <c r="I165" i="35"/>
  <c r="B165" i="35"/>
  <c r="W164" i="35"/>
  <c r="R164" i="35"/>
  <c r="O164" i="35"/>
  <c r="N164" i="35"/>
  <c r="M164" i="35"/>
  <c r="J164" i="35"/>
  <c r="I164" i="35"/>
  <c r="B164" i="35"/>
  <c r="W163" i="35"/>
  <c r="R163" i="35"/>
  <c r="O163" i="35"/>
  <c r="N163" i="35"/>
  <c r="M163" i="35"/>
  <c r="I163" i="35"/>
  <c r="B163" i="35"/>
  <c r="W162" i="35"/>
  <c r="R162" i="35"/>
  <c r="O162" i="35"/>
  <c r="N162" i="35"/>
  <c r="M162" i="35"/>
  <c r="I162" i="35"/>
  <c r="B162" i="35"/>
  <c r="W161" i="35"/>
  <c r="R161" i="35"/>
  <c r="O161" i="35"/>
  <c r="N161" i="35"/>
  <c r="M161" i="35"/>
  <c r="I161" i="35"/>
  <c r="B161" i="35"/>
  <c r="W160" i="35"/>
  <c r="R160" i="35"/>
  <c r="O160" i="35"/>
  <c r="N160" i="35"/>
  <c r="M160" i="35"/>
  <c r="I160" i="35"/>
  <c r="B160" i="35"/>
  <c r="W159" i="35"/>
  <c r="R159" i="35"/>
  <c r="O159" i="35"/>
  <c r="N159" i="35"/>
  <c r="M159" i="35"/>
  <c r="I159" i="35"/>
  <c r="B159" i="35"/>
  <c r="W158" i="35"/>
  <c r="R158" i="35"/>
  <c r="O158" i="35"/>
  <c r="N158" i="35"/>
  <c r="M158" i="35"/>
  <c r="I158" i="35"/>
  <c r="B158" i="35"/>
  <c r="W157" i="35"/>
  <c r="R157" i="35"/>
  <c r="O157" i="35"/>
  <c r="N157" i="35"/>
  <c r="M157" i="35"/>
  <c r="I157" i="35"/>
  <c r="B157" i="35"/>
  <c r="W156" i="35"/>
  <c r="R156" i="35"/>
  <c r="O156" i="35"/>
  <c r="N156" i="35"/>
  <c r="M156" i="35"/>
  <c r="I156" i="35"/>
  <c r="B156" i="35"/>
  <c r="W155" i="35"/>
  <c r="R155" i="35"/>
  <c r="O155" i="35"/>
  <c r="N155" i="35"/>
  <c r="M155" i="35"/>
  <c r="I155" i="35"/>
  <c r="B155" i="35"/>
  <c r="W154" i="35"/>
  <c r="R154" i="35"/>
  <c r="O154" i="35"/>
  <c r="N154" i="35"/>
  <c r="M154" i="35"/>
  <c r="I154" i="35"/>
  <c r="B154" i="35"/>
  <c r="W153" i="35"/>
  <c r="R153" i="35"/>
  <c r="O153" i="35"/>
  <c r="N153" i="35"/>
  <c r="M153" i="35"/>
  <c r="I153" i="35"/>
  <c r="B153" i="35"/>
  <c r="W152" i="35"/>
  <c r="R152" i="35"/>
  <c r="O152" i="35"/>
  <c r="N152" i="35"/>
  <c r="M152" i="35"/>
  <c r="I152" i="35"/>
  <c r="B152" i="35"/>
  <c r="W151" i="35"/>
  <c r="R151" i="35"/>
  <c r="O151" i="35"/>
  <c r="N151" i="35"/>
  <c r="M151" i="35"/>
  <c r="I151" i="35"/>
  <c r="B151" i="35"/>
  <c r="W150" i="35"/>
  <c r="R150" i="35"/>
  <c r="O150" i="35"/>
  <c r="N150" i="35"/>
  <c r="M150" i="35"/>
  <c r="I150" i="35"/>
  <c r="B150" i="35"/>
  <c r="W149" i="35"/>
  <c r="R149" i="35"/>
  <c r="O149" i="35"/>
  <c r="N149" i="35"/>
  <c r="M149" i="35"/>
  <c r="I149" i="35"/>
  <c r="B149" i="35"/>
  <c r="W148" i="35"/>
  <c r="R148" i="35"/>
  <c r="O148" i="35"/>
  <c r="N148" i="35"/>
  <c r="M148" i="35"/>
  <c r="I148" i="35"/>
  <c r="B148" i="35"/>
  <c r="W147" i="35"/>
  <c r="R147" i="35"/>
  <c r="O147" i="35"/>
  <c r="N147" i="35"/>
  <c r="M147" i="35"/>
  <c r="I147" i="35"/>
  <c r="B147" i="35"/>
  <c r="W146" i="35"/>
  <c r="R146" i="35"/>
  <c r="O146" i="35"/>
  <c r="N146" i="35"/>
  <c r="M146" i="35"/>
  <c r="I146" i="35"/>
  <c r="B146" i="35"/>
  <c r="W145" i="35"/>
  <c r="R145" i="35"/>
  <c r="O145" i="35"/>
  <c r="N145" i="35"/>
  <c r="M145" i="35"/>
  <c r="I145" i="35"/>
  <c r="B145" i="35"/>
  <c r="W144" i="35"/>
  <c r="R144" i="35"/>
  <c r="O144" i="35"/>
  <c r="N144" i="35"/>
  <c r="M144" i="35"/>
  <c r="I144" i="35"/>
  <c r="B144" i="35"/>
  <c r="W143" i="35"/>
  <c r="R143" i="35"/>
  <c r="O143" i="35"/>
  <c r="N143" i="35"/>
  <c r="M143" i="35"/>
  <c r="I143" i="35"/>
  <c r="B143" i="35"/>
  <c r="W142" i="35"/>
  <c r="R142" i="35"/>
  <c r="O142" i="35"/>
  <c r="N142" i="35"/>
  <c r="M142" i="35"/>
  <c r="I142" i="35"/>
  <c r="B142" i="35"/>
  <c r="W141" i="35"/>
  <c r="R141" i="35"/>
  <c r="O141" i="35"/>
  <c r="N141" i="35"/>
  <c r="M141" i="35"/>
  <c r="I141" i="35"/>
  <c r="B141" i="35"/>
  <c r="W140" i="35"/>
  <c r="R140" i="35"/>
  <c r="O140" i="35"/>
  <c r="N140" i="35"/>
  <c r="M140" i="35"/>
  <c r="I140" i="35"/>
  <c r="B140" i="35"/>
  <c r="W139" i="35"/>
  <c r="R139" i="35"/>
  <c r="O139" i="35"/>
  <c r="N139" i="35"/>
  <c r="M139" i="35"/>
  <c r="I139" i="35"/>
  <c r="B139" i="35"/>
  <c r="W138" i="35"/>
  <c r="R138" i="35"/>
  <c r="O138" i="35"/>
  <c r="N138" i="35"/>
  <c r="M138" i="35"/>
  <c r="I138" i="35"/>
  <c r="B138" i="35"/>
  <c r="W137" i="35"/>
  <c r="R137" i="35"/>
  <c r="O137" i="35"/>
  <c r="N137" i="35"/>
  <c r="M137" i="35"/>
  <c r="I137" i="35"/>
  <c r="B137" i="35"/>
  <c r="W136" i="35"/>
  <c r="R136" i="35"/>
  <c r="O136" i="35"/>
  <c r="N136" i="35"/>
  <c r="M136" i="35"/>
  <c r="I136" i="35"/>
  <c r="B136" i="35"/>
  <c r="W135" i="35"/>
  <c r="R135" i="35"/>
  <c r="O135" i="35"/>
  <c r="N135" i="35"/>
  <c r="M135" i="35"/>
  <c r="I135" i="35"/>
  <c r="B135" i="35"/>
  <c r="W134" i="35"/>
  <c r="R134" i="35"/>
  <c r="O134" i="35"/>
  <c r="N134" i="35"/>
  <c r="M134" i="35"/>
  <c r="I134" i="35"/>
  <c r="B134" i="35"/>
  <c r="W133" i="35"/>
  <c r="R133" i="35"/>
  <c r="O133" i="35"/>
  <c r="N133" i="35"/>
  <c r="M133" i="35"/>
  <c r="I133" i="35"/>
  <c r="B133" i="35"/>
  <c r="W132" i="35"/>
  <c r="R132" i="35"/>
  <c r="O132" i="35"/>
  <c r="N132" i="35"/>
  <c r="M132" i="35"/>
  <c r="I132" i="35"/>
  <c r="B132" i="35"/>
  <c r="W131" i="35"/>
  <c r="R131" i="35"/>
  <c r="O131" i="35"/>
  <c r="N131" i="35"/>
  <c r="M131" i="35"/>
  <c r="I131" i="35"/>
  <c r="B131" i="35"/>
  <c r="W130" i="35"/>
  <c r="R130" i="35"/>
  <c r="O130" i="35"/>
  <c r="N130" i="35"/>
  <c r="M130" i="35"/>
  <c r="I130" i="35"/>
  <c r="B130" i="35"/>
  <c r="W129" i="35"/>
  <c r="R129" i="35"/>
  <c r="O129" i="35"/>
  <c r="N129" i="35"/>
  <c r="M129" i="35"/>
  <c r="I129" i="35"/>
  <c r="B129" i="35"/>
  <c r="W128" i="35"/>
  <c r="R128" i="35"/>
  <c r="O128" i="35"/>
  <c r="N128" i="35"/>
  <c r="M128" i="35"/>
  <c r="I128" i="35"/>
  <c r="B128" i="35"/>
  <c r="W127" i="35"/>
  <c r="R127" i="35"/>
  <c r="O127" i="35"/>
  <c r="N127" i="35"/>
  <c r="M127" i="35"/>
  <c r="I127" i="35"/>
  <c r="B127" i="35"/>
  <c r="W126" i="35"/>
  <c r="R126" i="35"/>
  <c r="O126" i="35"/>
  <c r="N126" i="35"/>
  <c r="M126" i="35"/>
  <c r="I126" i="35"/>
  <c r="B126" i="35"/>
  <c r="W125" i="35"/>
  <c r="R125" i="35"/>
  <c r="O125" i="35"/>
  <c r="N125" i="35"/>
  <c r="M125" i="35"/>
  <c r="I125" i="35"/>
  <c r="B125" i="35"/>
  <c r="W124" i="35"/>
  <c r="R124" i="35"/>
  <c r="O124" i="35"/>
  <c r="N124" i="35"/>
  <c r="M124" i="35"/>
  <c r="I124" i="35"/>
  <c r="B124" i="35"/>
  <c r="W123" i="35"/>
  <c r="R123" i="35"/>
  <c r="O123" i="35"/>
  <c r="N123" i="35"/>
  <c r="M123" i="35"/>
  <c r="I123" i="35"/>
  <c r="B123" i="35"/>
  <c r="W122" i="35"/>
  <c r="R122" i="35"/>
  <c r="O122" i="35"/>
  <c r="N122" i="35"/>
  <c r="M122" i="35"/>
  <c r="I122" i="35"/>
  <c r="B122" i="35"/>
  <c r="W121" i="35"/>
  <c r="R121" i="35"/>
  <c r="O121" i="35"/>
  <c r="N121" i="35"/>
  <c r="M121" i="35"/>
  <c r="I121" i="35"/>
  <c r="B121" i="35"/>
  <c r="W120" i="35"/>
  <c r="R120" i="35"/>
  <c r="O120" i="35"/>
  <c r="N120" i="35"/>
  <c r="M120" i="35"/>
  <c r="I120" i="35"/>
  <c r="B120" i="35"/>
  <c r="W119" i="35"/>
  <c r="R119" i="35"/>
  <c r="O119" i="35"/>
  <c r="N119" i="35"/>
  <c r="M119" i="35"/>
  <c r="I119" i="35"/>
  <c r="B119" i="35"/>
  <c r="W118" i="35"/>
  <c r="R118" i="35"/>
  <c r="O118" i="35"/>
  <c r="N118" i="35"/>
  <c r="M118" i="35"/>
  <c r="I118" i="35"/>
  <c r="B118" i="35"/>
  <c r="W117" i="35"/>
  <c r="R117" i="35"/>
  <c r="O117" i="35"/>
  <c r="N117" i="35"/>
  <c r="M117" i="35"/>
  <c r="I117" i="35"/>
  <c r="B117" i="35"/>
  <c r="W116" i="35"/>
  <c r="R116" i="35"/>
  <c r="O116" i="35"/>
  <c r="N116" i="35"/>
  <c r="M116" i="35"/>
  <c r="I116" i="35"/>
  <c r="B116" i="35"/>
  <c r="W115" i="35"/>
  <c r="R115" i="35"/>
  <c r="O115" i="35"/>
  <c r="N115" i="35"/>
  <c r="M115" i="35"/>
  <c r="I115" i="35"/>
  <c r="B115" i="35"/>
  <c r="W114" i="35"/>
  <c r="R114" i="35"/>
  <c r="O114" i="35"/>
  <c r="N114" i="35"/>
  <c r="M114" i="35"/>
  <c r="I114" i="35"/>
  <c r="B114" i="35"/>
  <c r="W113" i="35"/>
  <c r="R113" i="35"/>
  <c r="O113" i="35"/>
  <c r="N113" i="35"/>
  <c r="M113" i="35"/>
  <c r="I113" i="35"/>
  <c r="B113" i="35"/>
  <c r="W112" i="35"/>
  <c r="R112" i="35"/>
  <c r="O112" i="35"/>
  <c r="N112" i="35"/>
  <c r="M112" i="35"/>
  <c r="I112" i="35"/>
  <c r="B112" i="35"/>
  <c r="W111" i="35"/>
  <c r="R111" i="35"/>
  <c r="O111" i="35"/>
  <c r="N111" i="35"/>
  <c r="M111" i="35"/>
  <c r="I111" i="35"/>
  <c r="B111" i="35"/>
  <c r="W110" i="35"/>
  <c r="R110" i="35"/>
  <c r="O110" i="35"/>
  <c r="N110" i="35"/>
  <c r="M110" i="35"/>
  <c r="I110" i="35"/>
  <c r="B110" i="35"/>
  <c r="W109" i="35"/>
  <c r="R109" i="35"/>
  <c r="O109" i="35"/>
  <c r="N109" i="35"/>
  <c r="M109" i="35"/>
  <c r="I109" i="35"/>
  <c r="B109" i="35"/>
  <c r="W108" i="35"/>
  <c r="R108" i="35"/>
  <c r="O108" i="35"/>
  <c r="N108" i="35"/>
  <c r="M108" i="35"/>
  <c r="I108" i="35"/>
  <c r="B108" i="35"/>
  <c r="W107" i="35"/>
  <c r="R107" i="35"/>
  <c r="O107" i="35"/>
  <c r="N107" i="35"/>
  <c r="M107" i="35"/>
  <c r="I107" i="35"/>
  <c r="B107" i="35"/>
  <c r="W106" i="35"/>
  <c r="R106" i="35"/>
  <c r="O106" i="35"/>
  <c r="N106" i="35"/>
  <c r="M106" i="35"/>
  <c r="I106" i="35"/>
  <c r="B106" i="35"/>
  <c r="W105" i="35"/>
  <c r="R105" i="35"/>
  <c r="O105" i="35"/>
  <c r="N105" i="35"/>
  <c r="M105" i="35"/>
  <c r="I105" i="35"/>
  <c r="B105" i="35"/>
  <c r="W104" i="35"/>
  <c r="R104" i="35"/>
  <c r="O104" i="35"/>
  <c r="N104" i="35"/>
  <c r="M104" i="35"/>
  <c r="I104" i="35"/>
  <c r="B104" i="35"/>
  <c r="W103" i="35"/>
  <c r="R103" i="35"/>
  <c r="O103" i="35"/>
  <c r="N103" i="35"/>
  <c r="M103" i="35"/>
  <c r="I103" i="35"/>
  <c r="B103" i="35"/>
  <c r="W102" i="35"/>
  <c r="R102" i="35"/>
  <c r="O102" i="35"/>
  <c r="N102" i="35"/>
  <c r="M102" i="35"/>
  <c r="I102" i="35"/>
  <c r="B102" i="35"/>
  <c r="W101" i="35"/>
  <c r="R101" i="35"/>
  <c r="O101" i="35"/>
  <c r="N101" i="35"/>
  <c r="M101" i="35"/>
  <c r="I101" i="35"/>
  <c r="B101" i="35"/>
  <c r="W100" i="35"/>
  <c r="R100" i="35"/>
  <c r="O100" i="35"/>
  <c r="N100" i="35"/>
  <c r="M100" i="35"/>
  <c r="I100" i="35"/>
  <c r="B100" i="35"/>
  <c r="W99" i="35"/>
  <c r="R99" i="35"/>
  <c r="O99" i="35"/>
  <c r="N99" i="35"/>
  <c r="M99" i="35"/>
  <c r="I99" i="35"/>
  <c r="B99" i="35"/>
  <c r="W98" i="35"/>
  <c r="R98" i="35"/>
  <c r="O98" i="35"/>
  <c r="N98" i="35"/>
  <c r="M98" i="35"/>
  <c r="I98" i="35"/>
  <c r="B98" i="35"/>
  <c r="W97" i="35"/>
  <c r="R97" i="35"/>
  <c r="O97" i="35"/>
  <c r="N97" i="35"/>
  <c r="M97" i="35"/>
  <c r="I97" i="35"/>
  <c r="B97" i="35"/>
  <c r="W96" i="35"/>
  <c r="R96" i="35"/>
  <c r="O96" i="35"/>
  <c r="N96" i="35"/>
  <c r="M96" i="35"/>
  <c r="I96" i="35"/>
  <c r="B96" i="35"/>
  <c r="W95" i="35"/>
  <c r="R95" i="35"/>
  <c r="O95" i="35"/>
  <c r="N95" i="35"/>
  <c r="M95" i="35"/>
  <c r="I95" i="35"/>
  <c r="B95" i="35"/>
  <c r="W94" i="35"/>
  <c r="R94" i="35"/>
  <c r="O94" i="35"/>
  <c r="N94" i="35"/>
  <c r="M94" i="35"/>
  <c r="I94" i="35"/>
  <c r="B94" i="35"/>
  <c r="W93" i="35"/>
  <c r="R93" i="35"/>
  <c r="O93" i="35"/>
  <c r="N93" i="35"/>
  <c r="M93" i="35"/>
  <c r="I93" i="35"/>
  <c r="B93" i="35"/>
  <c r="W92" i="35"/>
  <c r="R92" i="35"/>
  <c r="O92" i="35"/>
  <c r="N92" i="35"/>
  <c r="M92" i="35"/>
  <c r="I92" i="35"/>
  <c r="B92" i="35"/>
  <c r="W91" i="35"/>
  <c r="R91" i="35"/>
  <c r="O91" i="35"/>
  <c r="N91" i="35"/>
  <c r="M91" i="35"/>
  <c r="I91" i="35"/>
  <c r="B91" i="35"/>
  <c r="W90" i="35"/>
  <c r="R90" i="35"/>
  <c r="O90" i="35"/>
  <c r="N90" i="35"/>
  <c r="M90" i="35"/>
  <c r="I90" i="35"/>
  <c r="B90" i="35"/>
  <c r="W89" i="35"/>
  <c r="R89" i="35"/>
  <c r="O89" i="35"/>
  <c r="N89" i="35"/>
  <c r="M89" i="35"/>
  <c r="I89" i="35"/>
  <c r="B89" i="35"/>
  <c r="W88" i="35"/>
  <c r="R88" i="35"/>
  <c r="O88" i="35"/>
  <c r="N88" i="35"/>
  <c r="M88" i="35"/>
  <c r="I88" i="35"/>
  <c r="B88" i="35"/>
  <c r="W87" i="35"/>
  <c r="R87" i="35"/>
  <c r="O87" i="35"/>
  <c r="N87" i="35"/>
  <c r="M87" i="35"/>
  <c r="I87" i="35"/>
  <c r="B87" i="35"/>
  <c r="W86" i="35"/>
  <c r="R86" i="35"/>
  <c r="O86" i="35"/>
  <c r="N86" i="35"/>
  <c r="M86" i="35"/>
  <c r="I86" i="35"/>
  <c r="B86" i="35"/>
  <c r="W85" i="35"/>
  <c r="R85" i="35"/>
  <c r="O85" i="35"/>
  <c r="N85" i="35"/>
  <c r="M85" i="35"/>
  <c r="I85" i="35"/>
  <c r="B85" i="35"/>
  <c r="W84" i="35"/>
  <c r="R84" i="35"/>
  <c r="O84" i="35"/>
  <c r="N84" i="35"/>
  <c r="M84" i="35"/>
  <c r="I84" i="35"/>
  <c r="B84" i="35"/>
  <c r="W83" i="35"/>
  <c r="R83" i="35"/>
  <c r="O83" i="35"/>
  <c r="N83" i="35"/>
  <c r="M83" i="35"/>
  <c r="I83" i="35"/>
  <c r="B83" i="35"/>
  <c r="W82" i="35"/>
  <c r="R82" i="35"/>
  <c r="O82" i="35"/>
  <c r="N82" i="35"/>
  <c r="M82" i="35"/>
  <c r="I82" i="35"/>
  <c r="B82" i="35"/>
  <c r="W81" i="35"/>
  <c r="R81" i="35"/>
  <c r="O81" i="35"/>
  <c r="N81" i="35"/>
  <c r="M81" i="35"/>
  <c r="I81" i="35"/>
  <c r="B81" i="35"/>
  <c r="W80" i="35"/>
  <c r="R80" i="35"/>
  <c r="O80" i="35"/>
  <c r="N80" i="35"/>
  <c r="M80" i="35"/>
  <c r="I80" i="35"/>
  <c r="B80" i="35"/>
  <c r="W79" i="35"/>
  <c r="R79" i="35"/>
  <c r="O79" i="35"/>
  <c r="N79" i="35"/>
  <c r="M79" i="35"/>
  <c r="I79" i="35"/>
  <c r="B79" i="35"/>
  <c r="W78" i="35"/>
  <c r="R78" i="35"/>
  <c r="O78" i="35"/>
  <c r="N78" i="35"/>
  <c r="M78" i="35"/>
  <c r="I78" i="35"/>
  <c r="B78" i="35"/>
  <c r="W77" i="35"/>
  <c r="R77" i="35"/>
  <c r="O77" i="35"/>
  <c r="N77" i="35"/>
  <c r="M77" i="35"/>
  <c r="I77" i="35"/>
  <c r="B77" i="35"/>
  <c r="W76" i="35"/>
  <c r="R76" i="35"/>
  <c r="O76" i="35"/>
  <c r="N76" i="35"/>
  <c r="M76" i="35"/>
  <c r="I76" i="35"/>
  <c r="B76" i="35"/>
  <c r="W75" i="35"/>
  <c r="R75" i="35"/>
  <c r="O75" i="35"/>
  <c r="N75" i="35"/>
  <c r="M75" i="35"/>
  <c r="I75" i="35"/>
  <c r="B75" i="35"/>
  <c r="W74" i="35"/>
  <c r="R74" i="35"/>
  <c r="O74" i="35"/>
  <c r="N74" i="35"/>
  <c r="M74" i="35"/>
  <c r="I74" i="35"/>
  <c r="B74" i="35"/>
  <c r="W73" i="35"/>
  <c r="R73" i="35"/>
  <c r="O73" i="35"/>
  <c r="N73" i="35"/>
  <c r="M73" i="35"/>
  <c r="I73" i="35"/>
  <c r="B73" i="35"/>
  <c r="W72" i="35"/>
  <c r="R72" i="35"/>
  <c r="O72" i="35"/>
  <c r="N72" i="35"/>
  <c r="M72" i="35"/>
  <c r="I72" i="35"/>
  <c r="B72" i="35"/>
  <c r="W71" i="35"/>
  <c r="R71" i="35"/>
  <c r="O71" i="35"/>
  <c r="N71" i="35"/>
  <c r="M71" i="35"/>
  <c r="I71" i="35"/>
  <c r="B71" i="35"/>
  <c r="W70" i="35"/>
  <c r="R70" i="35"/>
  <c r="O70" i="35"/>
  <c r="N70" i="35"/>
  <c r="M70" i="35"/>
  <c r="I70" i="35"/>
  <c r="B70" i="35"/>
  <c r="W69" i="35"/>
  <c r="R69" i="35"/>
  <c r="O69" i="35"/>
  <c r="N69" i="35"/>
  <c r="M69" i="35"/>
  <c r="I69" i="35"/>
  <c r="B69" i="35"/>
  <c r="W68" i="35"/>
  <c r="R68" i="35"/>
  <c r="O68" i="35"/>
  <c r="N68" i="35"/>
  <c r="M68" i="35"/>
  <c r="I68" i="35"/>
  <c r="B68" i="35"/>
  <c r="W67" i="35"/>
  <c r="R67" i="35"/>
  <c r="O67" i="35"/>
  <c r="N67" i="35"/>
  <c r="M67" i="35"/>
  <c r="I67" i="35"/>
  <c r="B67" i="35"/>
  <c r="W66" i="35"/>
  <c r="R66" i="35"/>
  <c r="O66" i="35"/>
  <c r="N66" i="35"/>
  <c r="M66" i="35"/>
  <c r="I66" i="35"/>
  <c r="B66" i="35"/>
  <c r="W65" i="35"/>
  <c r="R65" i="35"/>
  <c r="O65" i="35"/>
  <c r="N65" i="35"/>
  <c r="M65" i="35"/>
  <c r="I65" i="35"/>
  <c r="B65" i="35"/>
  <c r="W64" i="35"/>
  <c r="R64" i="35"/>
  <c r="O64" i="35"/>
  <c r="N64" i="35"/>
  <c r="M64" i="35"/>
  <c r="I64" i="35"/>
  <c r="B64" i="35"/>
  <c r="W63" i="35"/>
  <c r="R63" i="35"/>
  <c r="O63" i="35"/>
  <c r="N63" i="35"/>
  <c r="M63" i="35"/>
  <c r="I63" i="35"/>
  <c r="B63" i="35"/>
  <c r="W62" i="35"/>
  <c r="R62" i="35"/>
  <c r="O62" i="35"/>
  <c r="N62" i="35"/>
  <c r="M62" i="35"/>
  <c r="I62" i="35"/>
  <c r="B62" i="35"/>
  <c r="W61" i="35"/>
  <c r="R61" i="35"/>
  <c r="O61" i="35"/>
  <c r="N61" i="35"/>
  <c r="M61" i="35"/>
  <c r="I61" i="35"/>
  <c r="B61" i="35"/>
  <c r="W60" i="35"/>
  <c r="R60" i="35"/>
  <c r="O60" i="35"/>
  <c r="N60" i="35"/>
  <c r="M60" i="35"/>
  <c r="I60" i="35"/>
  <c r="B60" i="35"/>
  <c r="W59" i="35"/>
  <c r="R59" i="35"/>
  <c r="O59" i="35"/>
  <c r="N59" i="35"/>
  <c r="M59" i="35"/>
  <c r="I59" i="35"/>
  <c r="B59" i="35"/>
  <c r="W58" i="35"/>
  <c r="R58" i="35"/>
  <c r="O58" i="35"/>
  <c r="N58" i="35"/>
  <c r="M58" i="35"/>
  <c r="I58" i="35"/>
  <c r="B58" i="35"/>
  <c r="W57" i="35"/>
  <c r="R57" i="35"/>
  <c r="O57" i="35"/>
  <c r="N57" i="35"/>
  <c r="M57" i="35"/>
  <c r="I57" i="35"/>
  <c r="B57" i="35"/>
  <c r="W56" i="35"/>
  <c r="R56" i="35"/>
  <c r="O56" i="35"/>
  <c r="N56" i="35"/>
  <c r="M56" i="35"/>
  <c r="I56" i="35"/>
  <c r="B56" i="35"/>
  <c r="W55" i="35"/>
  <c r="R55" i="35"/>
  <c r="O55" i="35"/>
  <c r="N55" i="35"/>
  <c r="M55" i="35"/>
  <c r="I55" i="35"/>
  <c r="B55" i="35"/>
  <c r="W54" i="35"/>
  <c r="R54" i="35"/>
  <c r="O54" i="35"/>
  <c r="N54" i="35"/>
  <c r="M54" i="35"/>
  <c r="I54" i="35"/>
  <c r="B54" i="35"/>
  <c r="W53" i="35"/>
  <c r="R53" i="35"/>
  <c r="O53" i="35"/>
  <c r="N53" i="35"/>
  <c r="M53" i="35"/>
  <c r="I53" i="35"/>
  <c r="B53" i="35"/>
  <c r="W52" i="35"/>
  <c r="R52" i="35"/>
  <c r="O52" i="35"/>
  <c r="N52" i="35"/>
  <c r="M52" i="35"/>
  <c r="I52" i="35"/>
  <c r="B52" i="35"/>
  <c r="W51" i="35"/>
  <c r="R51" i="35"/>
  <c r="O51" i="35"/>
  <c r="N51" i="35"/>
  <c r="M51" i="35"/>
  <c r="I51" i="35"/>
  <c r="B51" i="35"/>
  <c r="W50" i="35"/>
  <c r="R50" i="35"/>
  <c r="O50" i="35"/>
  <c r="N50" i="35"/>
  <c r="M50" i="35"/>
  <c r="I50" i="35"/>
  <c r="B50" i="35"/>
  <c r="W49" i="35"/>
  <c r="R49" i="35"/>
  <c r="O49" i="35"/>
  <c r="N49" i="35"/>
  <c r="M49" i="35"/>
  <c r="I49" i="35"/>
  <c r="B49" i="35"/>
  <c r="W48" i="35"/>
  <c r="R48" i="35"/>
  <c r="O48" i="35"/>
  <c r="N48" i="35"/>
  <c r="M48" i="35"/>
  <c r="I48" i="35"/>
  <c r="B48" i="35"/>
  <c r="W47" i="35"/>
  <c r="R47" i="35"/>
  <c r="O47" i="35"/>
  <c r="N47" i="35"/>
  <c r="M47" i="35"/>
  <c r="I47" i="35"/>
  <c r="B47" i="35"/>
  <c r="W46" i="35"/>
  <c r="R46" i="35"/>
  <c r="O46" i="35"/>
  <c r="N46" i="35"/>
  <c r="M46" i="35"/>
  <c r="I46" i="35"/>
  <c r="B46" i="35"/>
  <c r="W45" i="35"/>
  <c r="R45" i="35"/>
  <c r="O45" i="35"/>
  <c r="N45" i="35"/>
  <c r="M45" i="35"/>
  <c r="I45" i="35"/>
  <c r="B45" i="35"/>
  <c r="W44" i="35"/>
  <c r="R44" i="35"/>
  <c r="O44" i="35"/>
  <c r="N44" i="35"/>
  <c r="M44" i="35"/>
  <c r="I44" i="35"/>
  <c r="B44" i="35"/>
  <c r="W43" i="35"/>
  <c r="R43" i="35"/>
  <c r="O43" i="35"/>
  <c r="N43" i="35"/>
  <c r="M43" i="35"/>
  <c r="I43" i="35"/>
  <c r="B43" i="35"/>
  <c r="W42" i="35"/>
  <c r="R42" i="35"/>
  <c r="O42" i="35"/>
  <c r="N42" i="35"/>
  <c r="M42" i="35"/>
  <c r="I42" i="35"/>
  <c r="B42" i="35"/>
  <c r="W41" i="35"/>
  <c r="R41" i="35"/>
  <c r="O41" i="35"/>
  <c r="N41" i="35"/>
  <c r="M41" i="35"/>
  <c r="I41" i="35"/>
  <c r="B41" i="35"/>
  <c r="W40" i="35"/>
  <c r="R40" i="35"/>
  <c r="O40" i="35"/>
  <c r="N40" i="35"/>
  <c r="M40" i="35"/>
  <c r="I40" i="35"/>
  <c r="B40" i="35"/>
  <c r="W39" i="35"/>
  <c r="R39" i="35"/>
  <c r="O39" i="35"/>
  <c r="N39" i="35"/>
  <c r="M39" i="35"/>
  <c r="I39" i="35"/>
  <c r="B39" i="35"/>
  <c r="W38" i="35"/>
  <c r="R38" i="35"/>
  <c r="O38" i="35"/>
  <c r="N38" i="35"/>
  <c r="M38" i="35"/>
  <c r="I38" i="35"/>
  <c r="B38" i="35"/>
  <c r="W37" i="35"/>
  <c r="R37" i="35"/>
  <c r="O37" i="35"/>
  <c r="N37" i="35"/>
  <c r="M37" i="35"/>
  <c r="I37" i="35"/>
  <c r="B37" i="35"/>
  <c r="W36" i="35"/>
  <c r="R36" i="35"/>
  <c r="O36" i="35"/>
  <c r="N36" i="35"/>
  <c r="M36" i="35"/>
  <c r="I36" i="35"/>
  <c r="B36" i="35"/>
  <c r="W35" i="35"/>
  <c r="R35" i="35"/>
  <c r="O35" i="35"/>
  <c r="N35" i="35"/>
  <c r="M35" i="35"/>
  <c r="I35" i="35"/>
  <c r="B35" i="35"/>
  <c r="W34" i="35"/>
  <c r="R34" i="35"/>
  <c r="O34" i="35"/>
  <c r="N34" i="35"/>
  <c r="M34" i="35"/>
  <c r="I34" i="35"/>
  <c r="B34" i="35"/>
  <c r="W33" i="35"/>
  <c r="R33" i="35"/>
  <c r="O33" i="35"/>
  <c r="N33" i="35"/>
  <c r="M33" i="35"/>
  <c r="I33" i="35"/>
  <c r="B33" i="35"/>
  <c r="W32" i="35"/>
  <c r="R32" i="35"/>
  <c r="O32" i="35"/>
  <c r="N32" i="35"/>
  <c r="M32" i="35"/>
  <c r="I32" i="35"/>
  <c r="B32" i="35"/>
  <c r="W31" i="35"/>
  <c r="R31" i="35"/>
  <c r="O31" i="35"/>
  <c r="N31" i="35"/>
  <c r="M31" i="35"/>
  <c r="I31" i="35"/>
  <c r="B31" i="35"/>
  <c r="W30" i="35"/>
  <c r="R30" i="35"/>
  <c r="O30" i="35"/>
  <c r="N30" i="35"/>
  <c r="M30" i="35"/>
  <c r="I30" i="35"/>
  <c r="B30" i="35"/>
  <c r="W29" i="35"/>
  <c r="R29" i="35"/>
  <c r="O29" i="35"/>
  <c r="N29" i="35"/>
  <c r="M29" i="35"/>
  <c r="I29" i="35"/>
  <c r="B29" i="35"/>
  <c r="W28" i="35"/>
  <c r="R28" i="35"/>
  <c r="O28" i="35"/>
  <c r="N28" i="35"/>
  <c r="M28" i="35"/>
  <c r="I28" i="35"/>
  <c r="B28" i="35"/>
  <c r="W27" i="35"/>
  <c r="R27" i="35"/>
  <c r="O27" i="35"/>
  <c r="N27" i="35"/>
  <c r="M27" i="35"/>
  <c r="I27" i="35"/>
  <c r="B27" i="35"/>
  <c r="W26" i="35"/>
  <c r="R26" i="35"/>
  <c r="O26" i="35"/>
  <c r="N26" i="35"/>
  <c r="M26" i="35"/>
  <c r="I26" i="35"/>
  <c r="B26" i="35"/>
  <c r="W25" i="35"/>
  <c r="R25" i="35"/>
  <c r="O25" i="35"/>
  <c r="N25" i="35"/>
  <c r="M25" i="35"/>
  <c r="I25" i="35"/>
  <c r="B25" i="35"/>
  <c r="W24" i="35"/>
  <c r="R24" i="35"/>
  <c r="O24" i="35"/>
  <c r="N24" i="35"/>
  <c r="M24" i="35"/>
  <c r="I24" i="35"/>
  <c r="B24" i="35"/>
  <c r="W23" i="35"/>
  <c r="R23" i="35"/>
  <c r="O23" i="35"/>
  <c r="N23" i="35"/>
  <c r="M23" i="35"/>
  <c r="I23" i="35"/>
  <c r="B23" i="35"/>
  <c r="W22" i="35"/>
  <c r="R22" i="35"/>
  <c r="O22" i="35"/>
  <c r="N22" i="35"/>
  <c r="M22" i="35"/>
  <c r="I22" i="35"/>
  <c r="B22" i="35"/>
  <c r="W21" i="35"/>
  <c r="R21" i="35"/>
  <c r="O21" i="35"/>
  <c r="N21" i="35"/>
  <c r="M21" i="35"/>
  <c r="I21" i="35"/>
  <c r="B21" i="35"/>
  <c r="W20" i="35"/>
  <c r="R20" i="35"/>
  <c r="O20" i="35"/>
  <c r="N20" i="35"/>
  <c r="M20" i="35"/>
  <c r="I20" i="35"/>
  <c r="B20" i="35"/>
  <c r="W19" i="35"/>
  <c r="R19" i="35"/>
  <c r="O19" i="35"/>
  <c r="N19" i="35"/>
  <c r="M19" i="35"/>
  <c r="I19" i="35"/>
  <c r="B19" i="35"/>
  <c r="W18" i="35"/>
  <c r="R18" i="35"/>
  <c r="O18" i="35"/>
  <c r="N18" i="35"/>
  <c r="M18" i="35"/>
  <c r="I18" i="35"/>
  <c r="B18" i="35"/>
  <c r="W17" i="35"/>
  <c r="R17" i="35"/>
  <c r="O17" i="35"/>
  <c r="N17" i="35"/>
  <c r="M17" i="35"/>
  <c r="I17" i="35"/>
  <c r="B17" i="35"/>
  <c r="W16" i="35"/>
  <c r="R16" i="35"/>
  <c r="O16" i="35"/>
  <c r="N16" i="35"/>
  <c r="M16" i="35"/>
  <c r="I16" i="35"/>
  <c r="B16" i="35"/>
  <c r="W15" i="35"/>
  <c r="R15" i="35"/>
  <c r="O15" i="35"/>
  <c r="N15" i="35"/>
  <c r="M15" i="35"/>
  <c r="I15" i="35"/>
  <c r="B15" i="35"/>
  <c r="W14" i="35"/>
  <c r="R14" i="35"/>
  <c r="O14" i="35"/>
  <c r="N14" i="35"/>
  <c r="M14" i="35"/>
  <c r="I14" i="35"/>
  <c r="B14" i="35"/>
  <c r="W13" i="35"/>
  <c r="R13" i="35"/>
  <c r="O13" i="35"/>
  <c r="N13" i="35"/>
  <c r="M13" i="35"/>
  <c r="I13" i="35"/>
  <c r="B13" i="35"/>
  <c r="W12" i="35"/>
  <c r="R12" i="35"/>
  <c r="O12" i="35"/>
  <c r="N12" i="35"/>
  <c r="M12" i="35"/>
  <c r="I12" i="35"/>
  <c r="B12" i="35"/>
  <c r="W11" i="35"/>
  <c r="R11" i="35"/>
  <c r="O11" i="35"/>
  <c r="N11" i="35"/>
  <c r="M11" i="35"/>
  <c r="I11" i="35"/>
  <c r="B11" i="35"/>
  <c r="W10" i="35"/>
  <c r="R10" i="35"/>
  <c r="O10" i="35"/>
  <c r="N10" i="35"/>
  <c r="M10" i="35"/>
  <c r="I10" i="35"/>
  <c r="B10" i="35"/>
  <c r="W9" i="35"/>
  <c r="R9" i="35"/>
  <c r="O9" i="35"/>
  <c r="N9" i="35"/>
  <c r="M9" i="35"/>
  <c r="I9" i="35"/>
  <c r="B9" i="35"/>
  <c r="W8" i="35"/>
  <c r="R8" i="35"/>
  <c r="O8" i="35"/>
  <c r="N8" i="35"/>
  <c r="M8" i="35"/>
  <c r="I8" i="35"/>
  <c r="B8" i="35"/>
  <c r="W7" i="35"/>
  <c r="R7" i="35"/>
  <c r="O7" i="35"/>
  <c r="N7" i="35"/>
  <c r="M7" i="35"/>
  <c r="I7" i="35"/>
  <c r="B7" i="35"/>
  <c r="W6" i="35"/>
  <c r="R6" i="35"/>
  <c r="O6" i="35"/>
  <c r="N6" i="35"/>
  <c r="M6" i="35"/>
  <c r="I6" i="35"/>
  <c r="B6" i="35"/>
  <c r="W5" i="35"/>
  <c r="R5" i="35"/>
  <c r="O5" i="35"/>
  <c r="N5" i="35"/>
  <c r="M5" i="35"/>
  <c r="I5" i="35"/>
  <c r="B5" i="35"/>
  <c r="W4" i="35"/>
  <c r="R4" i="35"/>
  <c r="O4" i="35"/>
  <c r="N4" i="35"/>
  <c r="M4" i="35"/>
  <c r="I4" i="35"/>
  <c r="B4" i="35"/>
  <c r="M179" i="40" l="1"/>
  <c r="N191" i="40"/>
  <c r="M174" i="40"/>
  <c r="N190" i="40"/>
  <c r="M176" i="40"/>
  <c r="M177" i="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5" authorId="0" shapeId="0" xr:uid="{00000000-0006-0000-0100-000001000000}">
      <text>
        <r>
          <rPr>
            <b/>
            <sz val="9"/>
            <rFont val="Tahoma"/>
            <charset val="134"/>
          </rPr>
          <t>1 Unit Beli Thn 2023</t>
        </r>
        <r>
          <rPr>
            <sz val="9"/>
            <rFont val="Tahoma"/>
            <charset val="134"/>
          </rPr>
          <t xml:space="preserve">
</t>
        </r>
      </text>
    </comment>
    <comment ref="D93" authorId="0" shapeId="0" xr:uid="{00000000-0006-0000-0100-000002000000}">
      <text>
        <r>
          <rPr>
            <b/>
            <sz val="9"/>
            <rFont val="Tahoma"/>
            <charset val="134"/>
          </rPr>
          <t>1 Unit Beli Thn 2023</t>
        </r>
        <r>
          <rPr>
            <sz val="9"/>
            <rFont val="Tahoma"/>
            <charset val="134"/>
          </rPr>
          <t xml:space="preserve">
</t>
        </r>
      </text>
    </comment>
    <comment ref="J164" authorId="0" shapeId="0" xr:uid="{00000000-0006-0000-0100-000003000000}">
      <text>
        <r>
          <rPr>
            <b/>
            <sz val="9"/>
            <rFont val="Tahoma"/>
            <charset val="1"/>
          </rPr>
          <t>5 Sebelum HO
3 Sesudah HO (25 Aug 25)</t>
        </r>
        <r>
          <rPr>
            <sz val="9"/>
            <rFont val="Tahoma"/>
            <charset val="1"/>
          </rPr>
          <t xml:space="preserve">
</t>
        </r>
      </text>
    </comment>
    <comment ref="J167" authorId="0" shapeId="0" xr:uid="{00000000-0006-0000-0100-000004000000}">
      <text>
        <r>
          <rPr>
            <b/>
            <sz val="9"/>
            <rFont val="Tahoma"/>
            <charset val="134"/>
          </rPr>
          <t>14 Mei 2025 : Penambahan Aset (80 Bh)</t>
        </r>
        <r>
          <rPr>
            <sz val="9"/>
            <rFont val="Tahoma"/>
            <charset val="134"/>
          </rPr>
          <t xml:space="preserve">
</t>
        </r>
      </text>
    </comment>
    <comment ref="J169" authorId="0" shapeId="0" xr:uid="{00000000-0006-0000-0100-000005000000}">
      <text>
        <r>
          <rPr>
            <b/>
            <sz val="9"/>
            <rFont val="Tahoma"/>
            <charset val="134"/>
          </rPr>
          <t>Penambahan Aset : 12 Apr 2025 (5 lsn/60 bh)
Penambahan Aset : 25 Mei 2025 (12 lsn/144 bh) Disimpan di Pantry</t>
        </r>
        <r>
          <rPr>
            <sz val="9"/>
            <rFont val="Tahoma"/>
            <charset val="134"/>
          </rPr>
          <t xml:space="preserve">
</t>
        </r>
      </text>
    </comment>
    <comment ref="J172" authorId="0" shapeId="0" xr:uid="{00000000-0006-0000-0100-000006000000}">
      <text>
        <r>
          <rPr>
            <b/>
            <sz val="9"/>
            <rFont val="Tahoma"/>
            <charset val="134"/>
          </rPr>
          <t>14 Mei 2025 : Penambahan Aset</t>
        </r>
        <r>
          <rPr>
            <sz val="9"/>
            <rFont val="Tahoma"/>
            <charset val="134"/>
          </rPr>
          <t xml:space="preserve">
</t>
        </r>
      </text>
    </comment>
    <comment ref="J181" authorId="0" shapeId="0" xr:uid="{00000000-0006-0000-0100-000007000000}">
      <text>
        <r>
          <rPr>
            <b/>
            <sz val="9"/>
            <rFont val="Tahoma"/>
            <charset val="134"/>
          </rPr>
          <t>Penambahan Aset tgl 09 Apr 25 (1 Bh)</t>
        </r>
        <r>
          <rPr>
            <sz val="9"/>
            <rFont val="Tahoma"/>
            <charset val="134"/>
          </rPr>
          <t xml:space="preserve">
</t>
        </r>
      </text>
    </comment>
    <comment ref="J191" authorId="0" shapeId="0" xr:uid="{00000000-0006-0000-0100-000008000000}">
      <text>
        <r>
          <rPr>
            <b/>
            <sz val="9"/>
            <rFont val="Tahoma"/>
            <charset val="134"/>
          </rPr>
          <t>25 Apr 25 : Penambahan Aset</t>
        </r>
      </text>
    </comment>
    <comment ref="J207" authorId="0" shapeId="0" xr:uid="{00000000-0006-0000-0100-000009000000}">
      <text>
        <r>
          <rPr>
            <b/>
            <sz val="9"/>
            <rFont val="Tahoma"/>
            <charset val="1"/>
          </rPr>
          <t>Ada di lemari Executive</t>
        </r>
      </text>
    </comment>
    <comment ref="L207" authorId="0" shapeId="0" xr:uid="{00000000-0006-0000-0100-00000A000000}">
      <text>
        <r>
          <rPr>
            <b/>
            <sz val="9"/>
            <rFont val="Tahoma"/>
            <charset val="134"/>
          </rPr>
          <t>Bernoda tidak bisa Hilang</t>
        </r>
      </text>
    </comment>
    <comment ref="Q207" authorId="0" shapeId="0" xr:uid="{00000000-0006-0000-0100-00000B000000}">
      <text>
        <r>
          <rPr>
            <b/>
            <sz val="9"/>
            <rFont val="Tahoma"/>
            <charset val="134"/>
          </rPr>
          <t>Bernoda tidak bisa Hilang</t>
        </r>
      </text>
    </comment>
    <comment ref="J209" authorId="0" shapeId="0" xr:uid="{00000000-0006-0000-0100-00000C000000}">
      <text>
        <r>
          <rPr>
            <b/>
            <sz val="9"/>
            <rFont val="Tahoma"/>
            <charset val="1"/>
          </rPr>
          <t>Ada di Lemari Executive</t>
        </r>
        <r>
          <rPr>
            <sz val="9"/>
            <rFont val="Tahoma"/>
            <charset val="1"/>
          </rPr>
          <t xml:space="preserve">
</t>
        </r>
      </text>
    </comment>
    <comment ref="C215" authorId="0" shapeId="0" xr:uid="{00000000-0006-0000-0100-00000D000000}">
      <text>
        <r>
          <rPr>
            <b/>
            <sz val="9"/>
            <rFont val="Tahoma"/>
            <charset val="134"/>
          </rPr>
          <t>SOFA DARI G1 3A</t>
        </r>
        <r>
          <rPr>
            <sz val="9"/>
            <rFont val="Tahoma"/>
            <charset val="134"/>
          </rPr>
          <t xml:space="preserve">
</t>
        </r>
      </text>
    </comment>
    <comment ref="J284" authorId="0" shapeId="0" xr:uid="{00000000-0006-0000-0100-00000E000000}">
      <text>
        <r>
          <rPr>
            <b/>
            <sz val="9"/>
            <rFont val="Tahoma"/>
            <charset val="134"/>
          </rPr>
          <t>09 Mei 2025 : Penambahan Aset Cangkir Keramik : 2.5 Lusin (30 Bh)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X64" authorId="0" shapeId="0" xr:uid="{00000000-0006-0000-0C00-000008000000}">
      <text>
        <r>
          <rPr>
            <sz val="9"/>
            <rFont val="Tahoma"/>
            <charset val="1"/>
          </rPr>
          <t xml:space="preserve">Dipindahkan ke Lorong 10
</t>
        </r>
      </text>
    </comment>
    <comment ref="AB64" authorId="0" shapeId="0" xr:uid="{00000000-0006-0000-0C00-000009000000}">
      <text>
        <r>
          <rPr>
            <sz val="9"/>
            <rFont val="Tahoma"/>
            <charset val="1"/>
          </rPr>
          <t xml:space="preserve">Dipindahkan ke Lorong 10
</t>
        </r>
      </text>
    </comment>
    <comment ref="AF64" authorId="0" shapeId="0" xr:uid="{00000000-0006-0000-0C00-00000B000000}">
      <text>
        <r>
          <rPr>
            <sz val="9"/>
            <rFont val="Tahoma"/>
            <charset val="1"/>
          </rPr>
          <t xml:space="preserve">Dipindahkan ke Lorong 10
</t>
        </r>
      </text>
    </comment>
    <comment ref="D69" authorId="0" shapeId="0" xr:uid="{00000000-0006-0000-0C00-00000C000000}">
      <text>
        <r>
          <rPr>
            <b/>
            <sz val="9"/>
            <rFont val="Tahoma"/>
            <charset val="134"/>
          </rPr>
          <t>1 Unit Beli Thn 2023</t>
        </r>
        <r>
          <rPr>
            <sz val="9"/>
            <rFont val="Tahoma"/>
            <charset val="134"/>
          </rPr>
          <t xml:space="preserve">
</t>
        </r>
      </text>
    </comment>
    <comment ref="D99" authorId="0" shapeId="0" xr:uid="{00000000-0006-0000-0C00-00000D000000}">
      <text>
        <r>
          <rPr>
            <b/>
            <sz val="9"/>
            <rFont val="Tahoma"/>
            <charset val="134"/>
          </rPr>
          <t>1 Unit Beli Thn 2023</t>
        </r>
        <r>
          <rPr>
            <sz val="9"/>
            <rFont val="Tahoma"/>
            <charset val="134"/>
          </rPr>
          <t xml:space="preserve">
</t>
        </r>
      </text>
    </comment>
    <comment ref="X109" authorId="0" shapeId="0" xr:uid="{00000000-0006-0000-0C00-00000E000000}">
      <text>
        <r>
          <rPr>
            <sz val="9"/>
            <rFont val="Tahoma"/>
            <charset val="1"/>
          </rPr>
          <t xml:space="preserve">Pindah Aset dari Lorong5
</t>
        </r>
      </text>
    </comment>
    <comment ref="AB109" authorId="0" shapeId="0" xr:uid="{00000000-0006-0000-0C00-00000F000000}">
      <text>
        <r>
          <rPr>
            <sz val="9"/>
            <rFont val="Tahoma"/>
            <charset val="1"/>
          </rPr>
          <t xml:space="preserve">Pindah Aset dari Lorong5
</t>
        </r>
      </text>
    </comment>
    <comment ref="AF109" authorId="0" shapeId="0" xr:uid="{00000000-0006-0000-0C00-000011000000}">
      <text>
        <r>
          <rPr>
            <sz val="9"/>
            <rFont val="Tahoma"/>
            <charset val="1"/>
          </rPr>
          <t xml:space="preserve">Pindah Aset dari Lorong5
</t>
        </r>
      </text>
    </comment>
    <comment ref="J174" authorId="0" shapeId="0" xr:uid="{00000000-0006-0000-0C00-000012000000}">
      <text>
        <r>
          <rPr>
            <b/>
            <sz val="9"/>
            <rFont val="Tahoma"/>
            <charset val="1"/>
          </rPr>
          <t>5 Sebelum HO
3 Sesudah HO (25 Aug 25)</t>
        </r>
        <r>
          <rPr>
            <sz val="9"/>
            <rFont val="Tahoma"/>
            <charset val="1"/>
          </rPr>
          <t xml:space="preserve">
</t>
        </r>
      </text>
    </comment>
    <comment ref="J177" authorId="0" shapeId="0" xr:uid="{00000000-0006-0000-0C00-000013000000}">
      <text>
        <r>
          <rPr>
            <b/>
            <sz val="9"/>
            <rFont val="Tahoma"/>
            <charset val="134"/>
          </rPr>
          <t>14 Mei 2025 : Penambahan Aset (80 Bh)</t>
        </r>
        <r>
          <rPr>
            <sz val="9"/>
            <rFont val="Tahoma"/>
            <charset val="134"/>
          </rPr>
          <t xml:space="preserve">
</t>
        </r>
      </text>
    </comment>
    <comment ref="J179" authorId="0" shapeId="0" xr:uid="{00000000-0006-0000-0C00-000014000000}">
      <text>
        <r>
          <rPr>
            <b/>
            <sz val="9"/>
            <rFont val="Tahoma"/>
            <charset val="134"/>
          </rPr>
          <t>Penambahan Aset : 12 Apr 2025 (5 lsn/60 bh)
Penambahan Aset : 25 Mei 2025 (12 lsn/144 bh) Disimpan di Pantry</t>
        </r>
        <r>
          <rPr>
            <sz val="9"/>
            <rFont val="Tahoma"/>
            <charset val="134"/>
          </rPr>
          <t xml:space="preserve">
</t>
        </r>
      </text>
    </comment>
    <comment ref="J182" authorId="0" shapeId="0" xr:uid="{00000000-0006-0000-0C00-000015000000}">
      <text>
        <r>
          <rPr>
            <b/>
            <sz val="9"/>
            <rFont val="Tahoma"/>
            <charset val="134"/>
          </rPr>
          <t>14 Mei 2025 : Penambahan Aset</t>
        </r>
        <r>
          <rPr>
            <sz val="9"/>
            <rFont val="Tahoma"/>
            <charset val="134"/>
          </rPr>
          <t xml:space="preserve">
</t>
        </r>
      </text>
    </comment>
    <comment ref="J191" authorId="0" shapeId="0" xr:uid="{00000000-0006-0000-0C00-000016000000}">
      <text>
        <r>
          <rPr>
            <b/>
            <sz val="9"/>
            <rFont val="Tahoma"/>
            <charset val="134"/>
          </rPr>
          <t>Penambahan Aset tgl 09 Apr 25 (1 Bh)</t>
        </r>
        <r>
          <rPr>
            <sz val="9"/>
            <rFont val="Tahoma"/>
            <charset val="134"/>
          </rPr>
          <t xml:space="preserve">
</t>
        </r>
      </text>
    </comment>
    <comment ref="AE196" authorId="0" shapeId="0" xr:uid="{00000000-0006-0000-0C00-000017000000}">
      <text>
        <r>
          <rPr>
            <b/>
            <sz val="9"/>
            <rFont val="Times New Roman"/>
          </rPr>
          <t>Awal : 10  buah 
(Sisa : 0, Sudah bocor halus, dan Penyok)</t>
        </r>
        <r>
          <rPr>
            <sz val="9"/>
            <rFont val="Times New Roman"/>
          </rPr>
          <t xml:space="preserve">
</t>
        </r>
      </text>
    </comment>
    <comment ref="AI196" authorId="0" shapeId="0" xr:uid="{00000000-0006-0000-0C00-000019000000}">
      <text>
        <r>
          <rPr>
            <b/>
            <sz val="9"/>
            <rFont val="Times New Roman"/>
          </rPr>
          <t>Awal : 10  buah 
(Sisa : 0, Sudah bocor halus, dan Penyok)</t>
        </r>
        <r>
          <rPr>
            <sz val="9"/>
            <rFont val="Times New Roman"/>
          </rPr>
          <t xml:space="preserve">
</t>
        </r>
      </text>
    </comment>
    <comment ref="AE197" authorId="0" shapeId="0" xr:uid="{00000000-0006-0000-0C00-00001A000000}">
      <text>
        <r>
          <rPr>
            <b/>
            <sz val="9"/>
            <rFont val="Times New Roman"/>
          </rPr>
          <t>Awal : 2 bh
Sisa : 0 (Bocor Halus)</t>
        </r>
        <r>
          <rPr>
            <sz val="9"/>
            <rFont val="Times New Roman"/>
          </rPr>
          <t xml:space="preserve">
</t>
        </r>
      </text>
    </comment>
    <comment ref="AI197" authorId="0" shapeId="0" xr:uid="{00000000-0006-0000-0C00-00001C000000}">
      <text>
        <r>
          <rPr>
            <b/>
            <sz val="9"/>
            <rFont val="Times New Roman"/>
          </rPr>
          <t>Awal : 2 bh
Sisa : 0 (Bocor Halus)</t>
        </r>
        <r>
          <rPr>
            <sz val="9"/>
            <rFont val="Times New Roman"/>
          </rPr>
          <t xml:space="preserve">
</t>
        </r>
      </text>
    </comment>
    <comment ref="J201" authorId="0" shapeId="0" xr:uid="{00000000-0006-0000-0C00-00001D000000}">
      <text>
        <r>
          <rPr>
            <b/>
            <sz val="9"/>
            <rFont val="Tahoma"/>
            <charset val="134"/>
          </rPr>
          <t>25 Apr 25 : Penambahan Aset</t>
        </r>
      </text>
    </comment>
    <comment ref="AI203" authorId="0" shapeId="0" xr:uid="{00000000-0006-0000-0C00-00001F000000}">
      <text>
        <r>
          <rPr>
            <b/>
            <sz val="9"/>
            <rFont val="Times New Roman"/>
          </rPr>
          <t>Awal : 2
Sisa : 0</t>
        </r>
        <r>
          <rPr>
            <sz val="9"/>
            <rFont val="Times New Roman"/>
          </rPr>
          <t xml:space="preserve">
</t>
        </r>
      </text>
    </comment>
    <comment ref="J217" authorId="0" shapeId="0" xr:uid="{00000000-0006-0000-0C00-000020000000}">
      <text>
        <r>
          <rPr>
            <b/>
            <sz val="9"/>
            <rFont val="Tahoma"/>
            <charset val="1"/>
          </rPr>
          <t>Ada di lemari Executive</t>
        </r>
      </text>
    </comment>
    <comment ref="L217" authorId="0" shapeId="0" xr:uid="{00000000-0006-0000-0C00-000021000000}">
      <text>
        <r>
          <rPr>
            <b/>
            <sz val="9"/>
            <rFont val="Tahoma"/>
            <charset val="134"/>
          </rPr>
          <t>Bernoda tidak bisa Hilang</t>
        </r>
      </text>
    </comment>
    <comment ref="Q217" authorId="0" shapeId="0" xr:uid="{00000000-0006-0000-0C00-000022000000}">
      <text>
        <r>
          <rPr>
            <b/>
            <sz val="9"/>
            <rFont val="Tahoma"/>
            <charset val="134"/>
          </rPr>
          <t>Bernoda tidak bisa Hilang</t>
        </r>
      </text>
    </comment>
    <comment ref="U217" authorId="0" shapeId="0" xr:uid="{00000000-0006-0000-0C00-000023000000}">
      <text>
        <r>
          <rPr>
            <b/>
            <sz val="9"/>
            <rFont val="Tahoma"/>
            <charset val="134"/>
          </rPr>
          <t>Bernoda tidak bisa Hilang</t>
        </r>
      </text>
    </comment>
    <comment ref="Y217" authorId="0" shapeId="0" xr:uid="{00000000-0006-0000-0C00-000024000000}">
      <text>
        <r>
          <rPr>
            <b/>
            <sz val="9"/>
            <rFont val="Tahoma"/>
            <charset val="134"/>
          </rPr>
          <t>Bernoda tidak bisa Hilang</t>
        </r>
      </text>
    </comment>
    <comment ref="AC217" authorId="0" shapeId="0" xr:uid="{00000000-0006-0000-0C00-000025000000}">
      <text>
        <r>
          <rPr>
            <b/>
            <sz val="9"/>
            <rFont val="Tahoma"/>
            <charset val="134"/>
          </rPr>
          <t>Bernoda tidak bisa Hilang</t>
        </r>
      </text>
    </comment>
    <comment ref="J219" authorId="0" shapeId="0" xr:uid="{00000000-0006-0000-0C00-000026000000}">
      <text>
        <r>
          <rPr>
            <b/>
            <sz val="9"/>
            <rFont val="Tahoma"/>
            <charset val="1"/>
          </rPr>
          <t>Ada di Lemari Executive</t>
        </r>
        <r>
          <rPr>
            <sz val="9"/>
            <rFont val="Tahoma"/>
            <charset val="1"/>
          </rPr>
          <t xml:space="preserve">
</t>
        </r>
      </text>
    </comment>
    <comment ref="C225" authorId="0" shapeId="0" xr:uid="{00000000-0006-0000-0C00-000027000000}">
      <text>
        <r>
          <rPr>
            <b/>
            <sz val="9"/>
            <rFont val="Tahoma"/>
            <charset val="134"/>
          </rPr>
          <t>SOFA DARI G1 3A</t>
        </r>
        <r>
          <rPr>
            <sz val="9"/>
            <rFont val="Tahoma"/>
            <charset val="134"/>
          </rPr>
          <t xml:space="preserve">
</t>
        </r>
      </text>
    </comment>
    <comment ref="J299" authorId="0" shapeId="0" xr:uid="{00000000-0006-0000-0C00-000028000000}">
      <text>
        <r>
          <rPr>
            <b/>
            <sz val="9"/>
            <rFont val="Tahoma"/>
            <charset val="134"/>
          </rPr>
          <t>09 Mei 2025 : Penambahan Aset Cangkir Keramik : 2.5 Lusin (30 Bh)</t>
        </r>
        <r>
          <rPr>
            <sz val="9"/>
            <rFont val="Tahoma"/>
            <charset val="134"/>
          </rPr>
          <t xml:space="preserve">
</t>
        </r>
      </text>
    </comment>
    <comment ref="AI300" authorId="0" shapeId="0" xr:uid="{00000000-0006-0000-0C00-00002A000000}">
      <text>
        <r>
          <rPr>
            <b/>
            <sz val="9"/>
            <rFont val="Times New Roman"/>
          </rPr>
          <t>Awal : 2 Bh
Sisa :0 (KrainAir Bocor)</t>
        </r>
        <r>
          <rPr>
            <sz val="9"/>
            <rFont val="Times New Roman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<sst xmlns="http://schemas.openxmlformats.org/spreadsheetml/2006/main" count="11416" uniqueCount="682">
  <si>
    <t>No</t>
  </si>
  <si>
    <t>Nama Item</t>
  </si>
  <si>
    <t>Keterangan</t>
  </si>
  <si>
    <t>Baik</t>
  </si>
  <si>
    <t>Rusak</t>
  </si>
  <si>
    <t>Total</t>
  </si>
  <si>
    <t>Kep Listrik CBA</t>
  </si>
  <si>
    <t>Gancu</t>
  </si>
  <si>
    <t>Kampak</t>
  </si>
  <si>
    <t>Apron</t>
  </si>
  <si>
    <t>Parang</t>
  </si>
  <si>
    <t>Sepatu Bot AP (Pasang)</t>
  </si>
  <si>
    <t>Gelas Ukur</t>
  </si>
  <si>
    <t>Topi Jepang</t>
  </si>
  <si>
    <t>Mangkok Pupuk</t>
  </si>
  <si>
    <t>Piring Pupuk</t>
  </si>
  <si>
    <t>Sarung Egrek</t>
  </si>
  <si>
    <t>Sarung Dodos</t>
  </si>
  <si>
    <t>Dodos (Set)</t>
  </si>
  <si>
    <t>Egrek (Set)</t>
  </si>
  <si>
    <t>Helm Kuning</t>
  </si>
  <si>
    <t>Helm Merah</t>
  </si>
  <si>
    <t>Helm Putih</t>
  </si>
  <si>
    <t>Matras</t>
  </si>
  <si>
    <t>Meteran Roll</t>
  </si>
  <si>
    <t>Helm Semprot</t>
  </si>
  <si>
    <t>Cangkul</t>
  </si>
  <si>
    <t>Gelas Pupuk (Paralon)</t>
  </si>
  <si>
    <t>Angkong</t>
  </si>
  <si>
    <t>KAPITAL OPNAME MES FR ACADEMY</t>
  </si>
  <si>
    <t>MASTER DATA</t>
  </si>
  <si>
    <t>SO 17 OKT 2025</t>
  </si>
  <si>
    <t>NO</t>
  </si>
  <si>
    <t>NAMA BARANG/ASET</t>
  </si>
  <si>
    <t>TAHUN PEROLEHAN</t>
  </si>
  <si>
    <t>SATUAN</t>
  </si>
  <si>
    <t>KONDISI BAIK (SEBELUM HO)</t>
  </si>
  <si>
    <t>RUSAK BISA DIPERBAIKI (SEBELUM HO)</t>
  </si>
  <si>
    <t>RUSAK TIDAK BISA DIPERBAIKI (SEBELUM HO)</t>
  </si>
  <si>
    <t>TOTAL ASET (SEBELUM HO)</t>
  </si>
  <si>
    <t>KONDISI BAIK (SESUDAH HO)</t>
  </si>
  <si>
    <t>RUSAK BISA DIPERBAIKI (SESUDAH HO)</t>
  </si>
  <si>
    <t>RUSAK TIDAK BISA DIPERBAIKI (SESUDAH HO)</t>
  </si>
  <si>
    <t>TOTAL ASET YANG ADA (SESUDAH HO)</t>
  </si>
  <si>
    <t>TOTAL ASET KONDISI BAIK (SESUDAH HO)</t>
  </si>
  <si>
    <t>TOTAL ASET KONDISI RUSAK TIDAK BISA DIPERBAIKI (SESUDAH HO)</t>
  </si>
  <si>
    <t>KONDISI BAIK</t>
  </si>
  <si>
    <t>RUSAK</t>
  </si>
  <si>
    <t>TOTAL</t>
  </si>
  <si>
    <t>KATEGORI ASET</t>
  </si>
  <si>
    <t>LOKASI BARANG</t>
  </si>
  <si>
    <t>KETERANGAN</t>
  </si>
  <si>
    <t>Tanggal Perolehan Aset</t>
  </si>
  <si>
    <t>CEK SO</t>
  </si>
  <si>
    <t>DIVAN (TEMPAT TIDUR)</t>
  </si>
  <si>
    <t>UNIT</t>
  </si>
  <si>
    <t>-</t>
  </si>
  <si>
    <t>KAMAR</t>
  </si>
  <si>
    <t>LORONG  1</t>
  </si>
  <si>
    <t>KASUR LIGNA</t>
  </si>
  <si>
    <t>BH</t>
  </si>
  <si>
    <t>SEPREI</t>
  </si>
  <si>
    <t>2011 &amp; 2024</t>
  </si>
  <si>
    <t>HELAI</t>
  </si>
  <si>
    <t>SARUNG BANTAL</t>
  </si>
  <si>
    <t>BANTAL</t>
  </si>
  <si>
    <t>2010 &amp; 2017</t>
  </si>
  <si>
    <t>PCS</t>
  </si>
  <si>
    <t>LEMARI PAKAIAN</t>
  </si>
  <si>
    <t>KIPAS ANGIN(1 DINDING)</t>
  </si>
  <si>
    <t>GORDYN</t>
  </si>
  <si>
    <t>SET</t>
  </si>
  <si>
    <t>GAYUNG</t>
  </si>
  <si>
    <t>KESET KAKI</t>
  </si>
  <si>
    <t>CERMIN</t>
  </si>
  <si>
    <t>LAMPU PANJANG</t>
  </si>
  <si>
    <t>LAMPU BULAT</t>
  </si>
  <si>
    <t>KERANJANG SAMPAH</t>
  </si>
  <si>
    <t>LORONG  2</t>
  </si>
  <si>
    <t>KIPAS ANGIN</t>
  </si>
  <si>
    <t>Terbakar, Tidak bisa diperbaiki</t>
  </si>
  <si>
    <t>LORONG  3</t>
  </si>
  <si>
    <t>LORONG  4</t>
  </si>
  <si>
    <t>LORONG  5</t>
  </si>
  <si>
    <t>2010 &amp; 2023</t>
  </si>
  <si>
    <t>LORONG  6</t>
  </si>
  <si>
    <t>LORONG  7</t>
  </si>
  <si>
    <t>LORONG  9</t>
  </si>
  <si>
    <t>Divan 9A Rusak</t>
  </si>
  <si>
    <t>LORONG  10</t>
  </si>
  <si>
    <t>10 A patah karena lapuk</t>
  </si>
  <si>
    <t>LORONG  11</t>
  </si>
  <si>
    <t>LORONG  12</t>
  </si>
  <si>
    <t>KURSI TUNGGU</t>
  </si>
  <si>
    <t>TERAS</t>
  </si>
  <si>
    <t>DI TERAS MESS</t>
  </si>
  <si>
    <t>DAPUR</t>
  </si>
  <si>
    <t>MEJA MAKAN</t>
  </si>
  <si>
    <t>MEJA LAUK</t>
  </si>
  <si>
    <t>KURSI MAKAN</t>
  </si>
  <si>
    <t>TAPLAK MEJA WARNA WARNI</t>
  </si>
  <si>
    <t>TUDUNG SAJI</t>
  </si>
  <si>
    <t xml:space="preserve">PIRING BESAR </t>
  </si>
  <si>
    <t>PIRING BREAK MERAH</t>
  </si>
  <si>
    <t>PIRING MAKAN MELAMINE</t>
  </si>
  <si>
    <t>2010 &amp; 2025</t>
  </si>
  <si>
    <t>PIRING SEDANG KERAMIK</t>
  </si>
  <si>
    <t>SENDOK MAKAN</t>
  </si>
  <si>
    <t>18 Bh Hilang</t>
  </si>
  <si>
    <t>12-Apr-25 (60 Bh)
14-Mei-25 (144 Bh)</t>
  </si>
  <si>
    <t>GARPU MAKAN</t>
  </si>
  <si>
    <t>5 Bh Hilang</t>
  </si>
  <si>
    <t xml:space="preserve">GELAS PLASTIK </t>
  </si>
  <si>
    <t>2010 &amp;</t>
  </si>
  <si>
    <t>Hilang</t>
  </si>
  <si>
    <t>GELAS MELAMIN</t>
  </si>
  <si>
    <t>Pecah</t>
  </si>
  <si>
    <t>TEKO</t>
  </si>
  <si>
    <t>2010 &amp; 2024</t>
  </si>
  <si>
    <t>PYREK</t>
  </si>
  <si>
    <t xml:space="preserve">MANGKOK KACA </t>
  </si>
  <si>
    <t>MANGKOK NASI</t>
  </si>
  <si>
    <t>KUALI BESAR</t>
  </si>
  <si>
    <t>KUALI SEDANG @60 Cm</t>
  </si>
  <si>
    <t>KUALI KECIL</t>
  </si>
  <si>
    <t>Peyot</t>
  </si>
  <si>
    <t>KOMPOR GAS</t>
  </si>
  <si>
    <t>2010 &amp; 2018</t>
  </si>
  <si>
    <t>SENDOK GORENG</t>
  </si>
  <si>
    <t>SENDOK GULAI</t>
  </si>
  <si>
    <t>TABUNG GAS</t>
  </si>
  <si>
    <t>TBG</t>
  </si>
  <si>
    <t>RICE COOKER GAS</t>
  </si>
  <si>
    <t>PISAU BESI</t>
  </si>
  <si>
    <t>BASKOM STAINLESS</t>
  </si>
  <si>
    <t>Bocor</t>
  </si>
  <si>
    <t>DANDANG BESAR CAMPING</t>
  </si>
  <si>
    <t>Keropos</t>
  </si>
  <si>
    <t>DANDANG 10 LTR</t>
  </si>
  <si>
    <t>KULKAS</t>
  </si>
  <si>
    <t>DISPENSER BARU KANTOR (HIJAU)</t>
  </si>
  <si>
    <t>RAK PIRING</t>
  </si>
  <si>
    <t>LUNCH BOX</t>
  </si>
  <si>
    <t>TEMPAT BUAH KACA</t>
  </si>
  <si>
    <t>TERMOS NASI MERAH</t>
  </si>
  <si>
    <t>BLENDER PHILIPS BIRU</t>
  </si>
  <si>
    <t>FREEZER PUTIH</t>
  </si>
  <si>
    <t>KOTAK P3K</t>
  </si>
  <si>
    <t>DISPENSER BARU BIRU UNTUK TRAINEE</t>
  </si>
  <si>
    <t>APRON</t>
  </si>
  <si>
    <t>COBEK BATU</t>
  </si>
  <si>
    <t>TEFLON @20Cm</t>
  </si>
  <si>
    <t>MESIN CUCI LG</t>
  </si>
  <si>
    <t>LAUNDRY</t>
  </si>
  <si>
    <t>Sudah Layak ganti</t>
  </si>
  <si>
    <t>EMBER BILAS</t>
  </si>
  <si>
    <t>KERANJANG BARU</t>
  </si>
  <si>
    <t>KERANJANG LAMA</t>
  </si>
  <si>
    <t>SETRIKA</t>
  </si>
  <si>
    <t>LEMARI EXECUTIVE</t>
  </si>
  <si>
    <t>Bernoda tidak bisa hilang</t>
  </si>
  <si>
    <t>HANDUK</t>
  </si>
  <si>
    <t>SELIMUT WARNA WARNI</t>
  </si>
  <si>
    <t>EXECUTIVE</t>
  </si>
  <si>
    <t>EXECUTIVE RUANG TAMU DAN MAKAN</t>
  </si>
  <si>
    <t>MEJA MAKAN BULAT BESAR</t>
  </si>
  <si>
    <t>TAPLAK MEJA BULAT BESAR MERAH</t>
  </si>
  <si>
    <t>TAPLAK MEJA PRASMANAN MERAH</t>
  </si>
  <si>
    <t xml:space="preserve">MEJA PANJANG KACA </t>
  </si>
  <si>
    <t>SOFA TAMU TANPA MEJA</t>
  </si>
  <si>
    <t>LEMARI TV</t>
  </si>
  <si>
    <t>TV,ANTENA,SET TOP BOX</t>
  </si>
  <si>
    <t>AC</t>
  </si>
  <si>
    <t>TONG SAMPAH</t>
  </si>
  <si>
    <t>LEMARI TRAINEE</t>
  </si>
  <si>
    <t>DISPENSER</t>
  </si>
  <si>
    <t>LEMARI</t>
  </si>
  <si>
    <t>KAMAR EXECUTIVE 1</t>
  </si>
  <si>
    <t>SINGLE BED</t>
  </si>
  <si>
    <t>MEJA KERJA</t>
  </si>
  <si>
    <t>KURSI FUTURA</t>
  </si>
  <si>
    <t>RAK HANDUK</t>
  </si>
  <si>
    <t>KAMAR EXECUTIVE 2</t>
  </si>
  <si>
    <t>DOUBLE BED</t>
  </si>
  <si>
    <t>BANTAL DAN GULING</t>
  </si>
  <si>
    <t>BED COVER</t>
  </si>
  <si>
    <t>MEJA KECIL KACA</t>
  </si>
  <si>
    <t>WATER HEATER</t>
  </si>
  <si>
    <t>LAMPU EMERGENCY</t>
  </si>
  <si>
    <t>DALAM LEMARI EXECUTIVE</t>
  </si>
  <si>
    <t>KAMAR EXECUTIVE 3</t>
  </si>
  <si>
    <t>Robek</t>
  </si>
  <si>
    <t>Sudah Di pindahkan ke Depan Executive</t>
  </si>
  <si>
    <t>MEJA BESAR KACA</t>
  </si>
  <si>
    <t xml:space="preserve">SOFA </t>
  </si>
  <si>
    <t>SHOWER</t>
  </si>
  <si>
    <t>CANGKIR KOPI LAMA</t>
  </si>
  <si>
    <t>PANTRY</t>
  </si>
  <si>
    <t>CANGKIR KOPI PUTIH</t>
  </si>
  <si>
    <t>CANGKIR KOPI KERAMIK COKLAT</t>
  </si>
  <si>
    <t>COFFE MAKER</t>
  </si>
  <si>
    <t>Kran air rusak</t>
  </si>
  <si>
    <t>COFFE WARMER</t>
  </si>
  <si>
    <t>GELAS PIALA</t>
  </si>
  <si>
    <t xml:space="preserve">GELAS ROYALEX </t>
  </si>
  <si>
    <t>JUICER</t>
  </si>
  <si>
    <t>MAGIC COM</t>
  </si>
  <si>
    <t>PIRING BREAK KERAMIK</t>
  </si>
  <si>
    <t>PIRING BREAK MELAMINE MERAH</t>
  </si>
  <si>
    <t>PIRING BREAK MELAMINEPUTIH</t>
  </si>
  <si>
    <t>SENDOK LAUK</t>
  </si>
  <si>
    <t>SENDOK THE</t>
  </si>
  <si>
    <t>TROLI</t>
  </si>
  <si>
    <t>WASHTAFEL PORTABLE STAINLESS</t>
  </si>
  <si>
    <t>KESET KAKI KAMAR MANDI KANTOR</t>
  </si>
  <si>
    <t>TUTUP GELAS</t>
  </si>
  <si>
    <t>TEMPAT SAMPAH KANTOR</t>
  </si>
  <si>
    <t>ALAT PEL</t>
  </si>
  <si>
    <t>MES</t>
  </si>
  <si>
    <t>GUDANG MES</t>
  </si>
  <si>
    <t>KEMOCENG</t>
  </si>
  <si>
    <t>WIPPER KACA</t>
  </si>
  <si>
    <t>SAPU SAWANG</t>
  </si>
  <si>
    <t>SAPU LANTAI</t>
  </si>
  <si>
    <t>SEKOP</t>
  </si>
  <si>
    <t>KATEGORI</t>
  </si>
  <si>
    <t>Sum of KONDISI BAIK</t>
  </si>
  <si>
    <t>Sum of RUSAK</t>
  </si>
  <si>
    <t>Grand Total</t>
  </si>
  <si>
    <t xml:space="preserve">    DETAIL  PENGECEKAN ASET RUANG KANTOR &amp; KELAS</t>
  </si>
  <si>
    <t>Tahun Perolehan</t>
  </si>
  <si>
    <t>Satuan</t>
  </si>
  <si>
    <t>Jumlah</t>
  </si>
  <si>
    <t>Kondisi Rusak</t>
  </si>
  <si>
    <t>Lokasi Barang</t>
  </si>
  <si>
    <t>No Aset</t>
  </si>
  <si>
    <t>Data Awal VS Data Terbaru (SO 15 okt 2025)</t>
  </si>
  <si>
    <t>Yang Ada</t>
  </si>
  <si>
    <t>Kondisi Baik</t>
  </si>
  <si>
    <t>Rusak Bisa Diperbaiki</t>
  </si>
  <si>
    <t>Rusak Tidak Bisa Diperbaiki</t>
  </si>
  <si>
    <t>Fisik Tidak Ada</t>
  </si>
  <si>
    <t>Var</t>
  </si>
  <si>
    <t>Meja Bulat</t>
  </si>
  <si>
    <t>Unit</t>
  </si>
  <si>
    <t>Ruang Planter</t>
  </si>
  <si>
    <t>ATK/FRG-LC/2010/0001</t>
  </si>
  <si>
    <t>ATK/FRG-LC/2010/0002</t>
  </si>
  <si>
    <t>Meja Panjang</t>
  </si>
  <si>
    <t>ATK/FRG-LC/2010/0003</t>
  </si>
  <si>
    <t>Sound System</t>
  </si>
  <si>
    <t>Set</t>
  </si>
  <si>
    <t>ATK/FRG-LC/2010/0004</t>
  </si>
  <si>
    <t>Kursi Merah Futura</t>
  </si>
  <si>
    <t>ATK/FRG-LC/2018/0005</t>
  </si>
  <si>
    <t xml:space="preserve"> 2 Dipindahkan ke Ruang Office-Meeting</t>
  </si>
  <si>
    <t>Kursi Coklat Chitose</t>
  </si>
  <si>
    <t>ATK/FRG-LC/2010/0006</t>
  </si>
  <si>
    <t>Meja Kayu Coklat</t>
  </si>
  <si>
    <t>ATK/FRG-LC/2010/0007</t>
  </si>
  <si>
    <t>Infocus</t>
  </si>
  <si>
    <t>ATK/FRG-LC/2022/0008</t>
  </si>
  <si>
    <t>Jam Dinding</t>
  </si>
  <si>
    <t>ATK/FRG-LC/2024/0009</t>
  </si>
  <si>
    <t>Whiteboard</t>
  </si>
  <si>
    <t>ATK/FRG-LC/2010/0010</t>
  </si>
  <si>
    <t>Tambahan 1 Unit di Ruang Planter</t>
  </si>
  <si>
    <t>Ruang Administrasi</t>
  </si>
  <si>
    <t>ATK/FRG-LC/2010/0011</t>
  </si>
  <si>
    <t>CPU</t>
  </si>
  <si>
    <t>ATK/FRG-LC/2010/0012</t>
  </si>
  <si>
    <t>Brangkas</t>
  </si>
  <si>
    <t>ATK/FRG-LC/2022/0013</t>
  </si>
  <si>
    <t>Monitor</t>
  </si>
  <si>
    <t>ATK/FRG-LC/2010/0014</t>
  </si>
  <si>
    <t>Scanner</t>
  </si>
  <si>
    <t>ATK/FRG-LC/2010/0015</t>
  </si>
  <si>
    <t>Filling Cabinet</t>
  </si>
  <si>
    <t>ATK/FRG-LC/2010/0016</t>
  </si>
  <si>
    <t>1 Dipindahkan ke Ruang E-learning</t>
  </si>
  <si>
    <t>lemari Buku</t>
  </si>
  <si>
    <t>ATK/FRG-LC/2010/0017</t>
  </si>
  <si>
    <t>ATK/FRG-LC/2018/0018</t>
  </si>
  <si>
    <t>1 Dipindahkan ke Ruang Planter</t>
  </si>
  <si>
    <t>ATK/FRG-LC/2010/0019</t>
  </si>
  <si>
    <t>4 Unit Rusak</t>
  </si>
  <si>
    <t>Kursi Sofa</t>
  </si>
  <si>
    <t>ATK/FRG-LC/2010/0020</t>
  </si>
  <si>
    <t>Celling Fan</t>
  </si>
  <si>
    <t>ATK/FRG-LC/2010/0021</t>
  </si>
  <si>
    <t>Finger Print</t>
  </si>
  <si>
    <t>ATK/FRG-LC/2022/0022</t>
  </si>
  <si>
    <t>ATK/FRG-LC/2012/0023</t>
  </si>
  <si>
    <t>ATK/FRG-LC/2010/0024</t>
  </si>
  <si>
    <t>Meja Komputer</t>
  </si>
  <si>
    <t>ATK/FRG-LC/2010/0025</t>
  </si>
  <si>
    <t>R. Loyality &amp; Integrity</t>
  </si>
  <si>
    <t>ATK/FRG-LC/2010/0026</t>
  </si>
  <si>
    <t>ATK/FRG-LC/2010/0027</t>
  </si>
  <si>
    <t>ATK/FRG-LC/2018/0028</t>
  </si>
  <si>
    <t>13 Unit Rusak Bisa Diperbaiki, 4 Unit di Ruang Office-Meeting, 7 Unit Di Ruang Persistance &amp; Care</t>
  </si>
  <si>
    <t>ATK/FRG-LC/2010/0029</t>
  </si>
  <si>
    <t>Meja Kuning</t>
  </si>
  <si>
    <t>ATK/FRG-LC/2018/0030</t>
  </si>
  <si>
    <t>1 Rusak &amp; 2 di Ruang Planters</t>
  </si>
  <si>
    <t>Meja Kayu</t>
  </si>
  <si>
    <t>ATK/FRG-LC/2010/0031</t>
  </si>
  <si>
    <t>4 Unit Berlebih</t>
  </si>
  <si>
    <t>Kursi Lipat Kuliah</t>
  </si>
  <si>
    <t>ATK/FRG-LC/2010/0032</t>
  </si>
  <si>
    <t xml:space="preserve"> 20 Dipindahkan ke Ruang Gudang E-Learning</t>
  </si>
  <si>
    <t>Kursi Kayu</t>
  </si>
  <si>
    <t>ATK/FRG-LC/2010/0033</t>
  </si>
  <si>
    <t>18 Dipindahkan ke Ruang Gudang E-Learning</t>
  </si>
  <si>
    <t>ATK/FRG-LC/2010/0034</t>
  </si>
  <si>
    <t>Kursi Putar Chitose</t>
  </si>
  <si>
    <t>ATK/FRG-LC/2010/0035</t>
  </si>
  <si>
    <t>Tidak Ada Barang Fhisiknya</t>
  </si>
  <si>
    <t>Kursi Putar Hitam</t>
  </si>
  <si>
    <t>ATK/FRG-LC/2010/0036</t>
  </si>
  <si>
    <t>2 Rusak dan Dipindahkan ke Ruang Gudang E-learning</t>
  </si>
  <si>
    <t>Ruang Meeting</t>
  </si>
  <si>
    <t>ATK/FRG-LC/2010/0037</t>
  </si>
  <si>
    <t>ATK/FRG-LC/2010/0038</t>
  </si>
  <si>
    <t>Bertambah 1 Unit</t>
  </si>
  <si>
    <t>Kursi Meeting</t>
  </si>
  <si>
    <t>ATK/FRG-LC/2010/0039</t>
  </si>
  <si>
    <t>Meja Meeting</t>
  </si>
  <si>
    <t>ATK/FRG-LC/2010/0040</t>
  </si>
  <si>
    <t>ATK/FRG-LC/2018/0041</t>
  </si>
  <si>
    <t>ATK/FRG-LC/2010/0042</t>
  </si>
  <si>
    <t>Ruang Office-Meeting</t>
  </si>
  <si>
    <t>ATK/FRG-LC/2010/0043</t>
  </si>
  <si>
    <t>TV LCD Samsung</t>
  </si>
  <si>
    <t>ATK/FRG-LC/2022/0044</t>
  </si>
  <si>
    <t>ATK/FRG-LC/2010/0045</t>
  </si>
  <si>
    <t>ATK/FRG-LC/2010/0046</t>
  </si>
  <si>
    <t xml:space="preserve"> 1 Unit Tidak Ada Barang Fisiknya</t>
  </si>
  <si>
    <t>ATK/FRG-LC/2018/0047</t>
  </si>
  <si>
    <t>ATK/FRG-LC/2010/0048</t>
  </si>
  <si>
    <t>ATK/FRG-LC/2010/0049</t>
  </si>
  <si>
    <t>Amplifier</t>
  </si>
  <si>
    <t>ATK/FRG-LC/2010/0050</t>
  </si>
  <si>
    <t>Cermin</t>
  </si>
  <si>
    <t>ATK/FRG-LC/2010/0051</t>
  </si>
  <si>
    <t>ATK/FRG-LC/2022/0052</t>
  </si>
  <si>
    <t>Meja Bulat Kecil</t>
  </si>
  <si>
    <t>ATK/FRG-LC/2010/0053</t>
  </si>
  <si>
    <t>ATK/FRG-LC/2010/0054</t>
  </si>
  <si>
    <t>Dispenser</t>
  </si>
  <si>
    <t>Ruang Office-Direktur</t>
  </si>
  <si>
    <t>ATK/FRG-LC/2023/0055</t>
  </si>
  <si>
    <t>ATK/FRG-LC/2010/0056</t>
  </si>
  <si>
    <t>Meja Kerja</t>
  </si>
  <si>
    <t>ATK/FRG-LC/2010/0057</t>
  </si>
  <si>
    <t>ATK/FRG-LC/2010/0058</t>
  </si>
  <si>
    <t>1 Unit Dipindahkan ke Ruang Office-Meeting</t>
  </si>
  <si>
    <t>ATK/FRG-LC/2010/0059</t>
  </si>
  <si>
    <t>Kursi Biru</t>
  </si>
  <si>
    <t>ATK/FRG-LC/2010/0060</t>
  </si>
  <si>
    <t>Kursi Bir</t>
  </si>
  <si>
    <t>ATK/FRG-LC/2010/0061</t>
  </si>
  <si>
    <t>ATK/FRG-LC/2010/0062</t>
  </si>
  <si>
    <t>Ruang Staf</t>
  </si>
  <si>
    <t>ATK/FRG-LC/2010/0063</t>
  </si>
  <si>
    <t>ATK/FRG-LC/2010/0064</t>
  </si>
  <si>
    <t>Printer Epson</t>
  </si>
  <si>
    <t>ATK/FRG-LC/2023/0065</t>
  </si>
  <si>
    <t xml:space="preserve">1 Dipindahkan ke Ruang Administrasi </t>
  </si>
  <si>
    <t>ATK/FRG-LC/2010/0066</t>
  </si>
  <si>
    <t>ATK/FRG-LC/2010/0067</t>
  </si>
  <si>
    <t>Lemari Buku</t>
  </si>
  <si>
    <t>ATK/FRG-LC/2010/0068</t>
  </si>
  <si>
    <t>Lemari Kaca</t>
  </si>
  <si>
    <t>ATK/FRG-LC/2010/0069</t>
  </si>
  <si>
    <t>ATK/FRG-LC/2010/0070</t>
  </si>
  <si>
    <t>ATK/FRG-LC/2010/0071</t>
  </si>
  <si>
    <t>Tidak Ada Barang Fisiknya</t>
  </si>
  <si>
    <t>ATK/FRG-LC/2010/0072</t>
  </si>
  <si>
    <t>Dipindahkan ke Gudang Ruang E-Learning</t>
  </si>
  <si>
    <t>ATK/FRG-LC/2010/0073</t>
  </si>
  <si>
    <t>R. Assesment-Mgr</t>
  </si>
  <si>
    <t>ATK/FRG-LC/2010/0074</t>
  </si>
  <si>
    <t>ATK/FRG-LC/2010/0075</t>
  </si>
  <si>
    <t>R. Assesment-Studio</t>
  </si>
  <si>
    <t>ATK/FRG-LC/2010/0076</t>
  </si>
  <si>
    <t>R. Assesment-Rekrut</t>
  </si>
  <si>
    <t>ATK/FRG-LC/2010/0077</t>
  </si>
  <si>
    <t>ATK/FRG-LC/2010/0078</t>
  </si>
  <si>
    <t>ATK/FRG-LC/2010/0079</t>
  </si>
  <si>
    <t>ATK/FRG-LC/2010/0080</t>
  </si>
  <si>
    <t>Meja Coklat Kayu</t>
  </si>
  <si>
    <t>ATK/FRG-LC/2010/0081</t>
  </si>
  <si>
    <t>Microtic Router</t>
  </si>
  <si>
    <t>ATK/FRG-LC/2011/0082</t>
  </si>
  <si>
    <t>Switch LAN</t>
  </si>
  <si>
    <t>ATK/FRG-LC/2011/0083</t>
  </si>
  <si>
    <t>Ruang E-leaerning</t>
  </si>
  <si>
    <t>ATK/FRG-LC/2010/0084</t>
  </si>
  <si>
    <t>ATK/FRG-LC/2010/0085</t>
  </si>
  <si>
    <t>Tidak Ada Barang Fisiknya (sudah dikembalikan ke kandir)</t>
  </si>
  <si>
    <t>ATK/FRG-LC/2010/0086</t>
  </si>
  <si>
    <t>Stabilizer</t>
  </si>
  <si>
    <t>ATK/FRG-LC/2011/0087</t>
  </si>
  <si>
    <t>UPS</t>
  </si>
  <si>
    <t>ATK/FRG-LC/2011/0088</t>
  </si>
  <si>
    <t xml:space="preserve"> 1 Dipindahkan ke Ruang Administrasi</t>
  </si>
  <si>
    <t>Printer FujiXerox</t>
  </si>
  <si>
    <t>ATK/FRG-LC/2022/0089</t>
  </si>
  <si>
    <t>1 Dipindahkan ke Ruang Administrasi</t>
  </si>
  <si>
    <t>Speaker</t>
  </si>
  <si>
    <t>ATK/FRG-LC/2011/0090</t>
  </si>
  <si>
    <t>ATK/FRG-LC/2010/0091</t>
  </si>
  <si>
    <t>ATK/FRG-LC/2010/0092</t>
  </si>
  <si>
    <t>ATK/FRG-LC/2010/0093</t>
  </si>
  <si>
    <t>ATK/FRG-LC/2010/0094</t>
  </si>
  <si>
    <t>ATK/FRG-LC/2010/0095</t>
  </si>
  <si>
    <t xml:space="preserve">Dipindahkan ke R.Assesment Studio </t>
  </si>
  <si>
    <t>ATK/FRG-LC/2024/0096</t>
  </si>
  <si>
    <t>1 Unit Barang Tidak Ada Fisiknya</t>
  </si>
  <si>
    <t>R. Assesment-Mill</t>
  </si>
  <si>
    <t>ATK/FRG-LC/2010/0097</t>
  </si>
  <si>
    <t>ATK/FRG-LC/2010/0098</t>
  </si>
  <si>
    <t>ATK/FRG-LC/2018/0099</t>
  </si>
  <si>
    <t>1 Unit Dipindahkan ke Ruang Persistance &amp; Care</t>
  </si>
  <si>
    <t>ATK/FRG-LC/2010/0100</t>
  </si>
  <si>
    <t>ATK/FRG-LC/2010/0101</t>
  </si>
  <si>
    <t>ATK/FRG-LC/2010/0102</t>
  </si>
  <si>
    <t>ATK/FRG-LC/2018/0103</t>
  </si>
  <si>
    <t>ATK/FRG-LC/2018/0104</t>
  </si>
  <si>
    <t>R. Persistance &amp; Care</t>
  </si>
  <si>
    <t>ATK/FRG-LC/2010/0105</t>
  </si>
  <si>
    <t>ATK/FRG-LC/2010/0106</t>
  </si>
  <si>
    <t>Dipindahkan ke Ruang Planter</t>
  </si>
  <si>
    <t>ATK/FRG-LC/2018/0107</t>
  </si>
  <si>
    <t>3 Unit di Ruang Diligence &amp; 1 Unit di R.Assesment Studio</t>
  </si>
  <si>
    <t>ATK/FRG-LC/2010/0108</t>
  </si>
  <si>
    <t>ATK/FRG-LC/2010/0109</t>
  </si>
  <si>
    <t>ATK/FRG-LC/2010/0110</t>
  </si>
  <si>
    <t>1 Unit Dipindahkan ke Gudang Assesment Mill</t>
  </si>
  <si>
    <t>ATK/FRG-LC/2018/0111</t>
  </si>
  <si>
    <t>1 Unit Lebih Dari R.Assesment Mill &amp; 8 Unit dari Ruang Lainnya</t>
  </si>
  <si>
    <t>ATK/FRG-LC/2010/0112</t>
  </si>
  <si>
    <t>1 Unit Dipindahkan ke Ruang Planter</t>
  </si>
  <si>
    <t>R. Diligance</t>
  </si>
  <si>
    <t>ATK/FRG-LC/2010/0113</t>
  </si>
  <si>
    <t>ATK/FRG-LC/2010/0114</t>
  </si>
  <si>
    <t>Kursi Coklat</t>
  </si>
  <si>
    <t>ATK/FRG-LC/2010/0115</t>
  </si>
  <si>
    <t>ATK/FRG-LC/2010/0116</t>
  </si>
  <si>
    <t>ATK/FRG-LC/2010/0117</t>
  </si>
  <si>
    <t>ATK/FRG-LC/2010/0118</t>
  </si>
  <si>
    <t>Sofa</t>
  </si>
  <si>
    <t>Aula</t>
  </si>
  <si>
    <t>ATK/FRG-LC/2010/0119</t>
  </si>
  <si>
    <t>ATK/FRG-LC/2010/0120</t>
  </si>
  <si>
    <t>TV</t>
  </si>
  <si>
    <t>ATK/FRG-LC/2010/0121</t>
  </si>
  <si>
    <t>ATK/FRG-LC/2010/0122</t>
  </si>
  <si>
    <t>Meja Kantor</t>
  </si>
  <si>
    <t>ATK/FRG-LC/2010/0123</t>
  </si>
  <si>
    <t>ATK/FRG-LC/2022/0124</t>
  </si>
  <si>
    <t>Kursi Bandara</t>
  </si>
  <si>
    <t>ATK/FRG-LC/2010/0125</t>
  </si>
  <si>
    <t>Meja kecil</t>
  </si>
  <si>
    <t>Meja Kaca Kecil</t>
  </si>
  <si>
    <t>Mesin Laminating</t>
  </si>
  <si>
    <t>Meja kuning</t>
  </si>
  <si>
    <t>Disetujui Oleh,</t>
  </si>
  <si>
    <t>Diperiksa Oleh,</t>
  </si>
  <si>
    <t>Dibuat Oleh,</t>
  </si>
  <si>
    <t>Pinondan L Simanungkalit</t>
  </si>
  <si>
    <t>Berman Sinaga</t>
  </si>
  <si>
    <t>Zannafi Pradana</t>
  </si>
  <si>
    <t>REKAP DATA ASET L&amp;D</t>
  </si>
  <si>
    <t>Nama Item Barang</t>
  </si>
  <si>
    <t>A. kantor &amp; Kelas</t>
  </si>
  <si>
    <t>B. Mess</t>
  </si>
  <si>
    <t>KUALI SEDANG</t>
  </si>
  <si>
    <t>PIRING MELAMINE</t>
  </si>
  <si>
    <t>PIRING BREAK MELAMIN MERAH PUTIH</t>
  </si>
  <si>
    <t>KESET KAKI KAMAR MANDI MES</t>
  </si>
  <si>
    <t>KUALI @60 Cm</t>
  </si>
  <si>
    <t>C. Gudang</t>
  </si>
  <si>
    <t>Patah Kerangka Karna Kropos, Baut Lepas dan hilang, Ban Koyak, Pelek Ban Kropos ada 6 set egrek di SAM 2 karna dibawa HTP I 2023 (Belum balik)</t>
  </si>
  <si>
    <t>Perlengkapan Lengkap (Nozle, Batre, Cas)</t>
  </si>
  <si>
    <t>6 buah di SAM 2 karna dibawa HTP I 2023 (Belum balik)</t>
  </si>
  <si>
    <t>Tidak ada gagang, Gagang Patah (Kampak gagang besi), Kampak pecah, Kampak Bengkok</t>
  </si>
  <si>
    <t>Sobek</t>
  </si>
  <si>
    <t>Sarung Tangan Las  (Pasang)</t>
  </si>
  <si>
    <t>Sarung Tangan Panen  (Pasang)</t>
  </si>
  <si>
    <t>Sarung Tangan Semprot  (Pasang)</t>
  </si>
  <si>
    <t xml:space="preserve"> </t>
  </si>
  <si>
    <t>Rusak Karna Tidak ada Gagang</t>
  </si>
  <si>
    <t>Egrek Bengkok &amp; Patah….ada 6 set egrek di SAM 2 karna dibawa HTP I 2023 (Belum balik)</t>
  </si>
  <si>
    <t>Rusak karna Inner putus (Lapuk) dan beberapa ada yang pecah</t>
  </si>
  <si>
    <t xml:space="preserve">Timbangan Gantung </t>
  </si>
  <si>
    <t>Rusak Karna Pecah besinya</t>
  </si>
  <si>
    <t>D. Perumahan G1</t>
  </si>
  <si>
    <t>AC SPLIT MERK LG</t>
  </si>
  <si>
    <t>AC SPLIT MERK PANASONIC</t>
  </si>
  <si>
    <t>BAK MANDI</t>
  </si>
  <si>
    <t>BAK MANDI FIBER</t>
  </si>
  <si>
    <t>BIPET SEKAT RUANGAN</t>
  </si>
  <si>
    <t>CLOSET DUDUK</t>
  </si>
  <si>
    <t>HEATER WATER</t>
  </si>
  <si>
    <t>KIPAS ANGIN DINDING</t>
  </si>
  <si>
    <t>KOMPOR GAS + TBG</t>
  </si>
  <si>
    <t>KULKAS 2 PINTU</t>
  </si>
  <si>
    <t>KURSI SOFA</t>
  </si>
  <si>
    <t>LEMARI BUKU</t>
  </si>
  <si>
    <t>LEMARI PAKAIAN 2 PINTU</t>
  </si>
  <si>
    <t>LEMARI PAKAIAN 3 PINTU</t>
  </si>
  <si>
    <t>LEMARI PANTRY</t>
  </si>
  <si>
    <t>MEJA RIAS</t>
  </si>
  <si>
    <t>MEJA TV</t>
  </si>
  <si>
    <t>MESIN AIR</t>
  </si>
  <si>
    <t>SPRING BED BESAR</t>
  </si>
  <si>
    <t>SPRING BED SINGLE</t>
  </si>
  <si>
    <t>TV LG</t>
  </si>
  <si>
    <t>DATA ASET MESS FR ACADEMY</t>
  </si>
  <si>
    <t>Row Labels</t>
  </si>
  <si>
    <t>1. DAPUR</t>
  </si>
  <si>
    <t>2. RUANG EXECUTIVE</t>
  </si>
  <si>
    <t>3. KAMAR TRAINEE</t>
  </si>
  <si>
    <t>4. LAUNDRY</t>
  </si>
  <si>
    <t>5. PANTRY</t>
  </si>
  <si>
    <t>6. TERAS MES</t>
  </si>
  <si>
    <t>Ratih Y Sitompul</t>
  </si>
  <si>
    <t>DETAIL  PENGECEKAN ASET MESS</t>
  </si>
  <si>
    <t>NAMA BARANG</t>
  </si>
  <si>
    <t>JUMLAH</t>
  </si>
  <si>
    <t>YANG ADA</t>
  </si>
  <si>
    <t>KONDISI RUSAK</t>
  </si>
  <si>
    <t>RUSAK BISA DIPERBAIKI</t>
  </si>
  <si>
    <t>RUSAK TIDAK BISA DIPERBAIKI</t>
  </si>
  <si>
    <t>KIPAS ANGIN (1 DINDING)</t>
  </si>
  <si>
    <t xml:space="preserve">KIPAS ANGIN </t>
  </si>
  <si>
    <t>TERBAKAR (SUDAH DIBAWA KE BENGKEL,TTP TIDAK BISA)</t>
  </si>
  <si>
    <t>1 UNIT BARU BELI THN 2023</t>
  </si>
  <si>
    <t>LAMPU PUTUS</t>
  </si>
  <si>
    <t>LORONG  8</t>
  </si>
  <si>
    <t>RUSAK PATAH KARENA LAPUK</t>
  </si>
  <si>
    <t>KAKI RATA - RATA GOYANG(SUDAH DIPERBAIKI DLL)</t>
  </si>
  <si>
    <t>RUSAK BANTALAN DAN KAKI</t>
  </si>
  <si>
    <t>BARANG DARI GOLF</t>
  </si>
  <si>
    <t>KENANGAN DARI TRAINEE</t>
  </si>
  <si>
    <t>PEYOT TAPI MASIH BISA DIGUNAKAN</t>
  </si>
  <si>
    <t>DISPENSER BARU KANTOR(HIJAU)</t>
  </si>
  <si>
    <t>ANTENA DAN SET TOP BOX 2024</t>
  </si>
  <si>
    <t>BOCOR SAAT BINTALFISDIS FAT I &amp; TATA I 2025</t>
  </si>
  <si>
    <t>SOFA DARI G1 3A</t>
  </si>
  <si>
    <t>PECAH OLEH TAMU</t>
  </si>
  <si>
    <t>PIRING BREAK MELAMINE MERAH PUTIH</t>
  </si>
  <si>
    <t>MONITORING DATA GUDANG</t>
  </si>
  <si>
    <t>Total Barang</t>
  </si>
  <si>
    <t>Koyak Sedikit</t>
  </si>
  <si>
    <t>REKAP DATA ASET RUANG KANTOR &amp; KELAS</t>
  </si>
  <si>
    <t>Ruangan</t>
  </si>
  <si>
    <t>Planter</t>
  </si>
  <si>
    <t>Loyality Integrity</t>
  </si>
  <si>
    <t>Meeting</t>
  </si>
  <si>
    <t>Administrasi</t>
  </si>
  <si>
    <t>Office-Meeting</t>
  </si>
  <si>
    <t>Office-Direktur</t>
  </si>
  <si>
    <t>Staf</t>
  </si>
  <si>
    <t>Assasment-Mgr</t>
  </si>
  <si>
    <t>Assasment-Rekrut</t>
  </si>
  <si>
    <t>Assasment-Elearning</t>
  </si>
  <si>
    <t>Assasment-Mill</t>
  </si>
  <si>
    <t>Assasment-Studio</t>
  </si>
  <si>
    <t>Care-Persistance</t>
  </si>
  <si>
    <t>Diligance</t>
  </si>
  <si>
    <t>Meja Bulat Besar</t>
  </si>
  <si>
    <t>lemari Kaca</t>
  </si>
  <si>
    <t>FingerPrint</t>
  </si>
  <si>
    <t>TV LCD</t>
  </si>
  <si>
    <t>REKAP DATA GUDANG</t>
  </si>
  <si>
    <t>SO  11 Oktober 2025</t>
  </si>
  <si>
    <t>SO VS DATA AWAL</t>
  </si>
  <si>
    <t>2021 &amp; 2023</t>
  </si>
  <si>
    <t>Gudang Alat Praktek</t>
  </si>
  <si>
    <t>2011 &amp; 2023</t>
  </si>
  <si>
    <t>2011 &amp; 2022</t>
  </si>
  <si>
    <t>Rusak karna Inner putus (Lapuk) dan helm pecah karna lapuk</t>
  </si>
  <si>
    <t>SO 10 NOV 2025</t>
  </si>
  <si>
    <t>SO 15 JAN 2026</t>
  </si>
  <si>
    <t>SO 13 FEB 2026</t>
  </si>
  <si>
    <t>HILANG</t>
  </si>
  <si>
    <t>Teras belakang</t>
  </si>
  <si>
    <t xml:space="preserve"> Dapur dan teras belakang</t>
  </si>
  <si>
    <t>Kipas Plafon 1 rusak</t>
  </si>
  <si>
    <t>Panjang 3 ,bulat 1</t>
  </si>
  <si>
    <t xml:space="preserve"> patah dan lepas</t>
  </si>
  <si>
    <t xml:space="preserve">Belum jumpa </t>
  </si>
  <si>
    <t>26 Bh Hilang</t>
  </si>
  <si>
    <t>9 hilang 5 Pecah</t>
  </si>
  <si>
    <t xml:space="preserve"> ruang yogie</t>
  </si>
  <si>
    <t>Rusak parah</t>
  </si>
  <si>
    <t>sama celvin</t>
  </si>
  <si>
    <t>PIRING BREAK MELAMINE PUTIH</t>
  </si>
  <si>
    <t>DISPENSER GALON BAWAH</t>
  </si>
  <si>
    <t>KONDISI RUSAK/ HILANG</t>
  </si>
  <si>
    <t>Bocor Halus</t>
  </si>
  <si>
    <t>Penyot &amp; Bocor</t>
  </si>
  <si>
    <t>Pecah &amp; Bocor</t>
  </si>
  <si>
    <t>Patah</t>
  </si>
  <si>
    <t>Terbakar</t>
  </si>
  <si>
    <t>Kran Air Rusak</t>
  </si>
  <si>
    <t>GRAND TOTAL</t>
  </si>
  <si>
    <t>DETAIL  PENGECEKAN ASET PERUMAHAN G1</t>
  </si>
  <si>
    <t>RUMAH G1 NO 01</t>
  </si>
  <si>
    <t>STN</t>
  </si>
  <si>
    <t>BISA DIPERBAIKI</t>
  </si>
  <si>
    <t xml:space="preserve"> TDK BISA DIPERBAIKI</t>
  </si>
  <si>
    <t>Mesin air</t>
  </si>
  <si>
    <t>Unt</t>
  </si>
  <si>
    <t>.-</t>
  </si>
  <si>
    <t>Kursi sofa</t>
  </si>
  <si>
    <t>Meja TV</t>
  </si>
  <si>
    <t>Belakang rumah</t>
  </si>
  <si>
    <t>Rusak dimakan rayap</t>
  </si>
  <si>
    <t>Tdk ada</t>
  </si>
  <si>
    <t>Meja kerja</t>
  </si>
  <si>
    <t>Lemari buku</t>
  </si>
  <si>
    <t>Kipas angin dinding</t>
  </si>
  <si>
    <t>Bipet sekat ruangan</t>
  </si>
  <si>
    <t>Meja makan</t>
  </si>
  <si>
    <t>Kulkas 2 pintu</t>
  </si>
  <si>
    <t>Lemari pantry</t>
  </si>
  <si>
    <t>Spring bed besar</t>
  </si>
  <si>
    <t>AC Split Merk LG</t>
  </si>
  <si>
    <t>Lemari pakaian 3 pintu</t>
  </si>
  <si>
    <t>Meja rias</t>
  </si>
  <si>
    <t>Closet duduk</t>
  </si>
  <si>
    <t>Shower cebokan rusak</t>
  </si>
  <si>
    <t>Bak mandi</t>
  </si>
  <si>
    <t>Kmr mandi utama</t>
  </si>
  <si>
    <t>Heater water</t>
  </si>
  <si>
    <t>Spring bed single</t>
  </si>
  <si>
    <t>AC Split Merk Panasonic</t>
  </si>
  <si>
    <t>Lemari pakaian 2 pintu</t>
  </si>
  <si>
    <t>Kipas angin</t>
  </si>
  <si>
    <t>Kompor gas + tbg</t>
  </si>
  <si>
    <t>Rak piring</t>
  </si>
  <si>
    <t>Bak mandi fiber</t>
  </si>
  <si>
    <t>Kmr mandi dapur</t>
  </si>
  <si>
    <t>RUMAH G1 NO 03 A</t>
  </si>
  <si>
    <t>RUMAH G1 NO 08</t>
  </si>
  <si>
    <t>Tdk ada hancur mkn rayap</t>
  </si>
  <si>
    <t>RUMAH G1 NO 10</t>
  </si>
  <si>
    <t>Rusak sensornya</t>
  </si>
  <si>
    <t>Tepung Solehan</t>
  </si>
  <si>
    <t>MONITORING DATA ASET KELAS</t>
  </si>
  <si>
    <t>Bagus</t>
  </si>
  <si>
    <t>Kursi Merah</t>
  </si>
  <si>
    <t>Bengkok &amp; Patah (Posisi Rusak Disimpan Digudang</t>
  </si>
  <si>
    <t>Rusak Karna Patah</t>
  </si>
  <si>
    <t>Kursi Putar Hitam Kecil</t>
  </si>
  <si>
    <t>Kursi Kayu Coklat</t>
  </si>
  <si>
    <t>Tidak ada Mejanya (sudah digunakan untuk kursi belajar di kamar mes)</t>
  </si>
  <si>
    <t>Meja Belajar Kuning</t>
  </si>
  <si>
    <t>Rusak karna kropos (Posisi Rusak di pantry)</t>
  </si>
  <si>
    <t>Meja Coklat Kecil</t>
  </si>
  <si>
    <t>RUANG PLANTER</t>
  </si>
  <si>
    <t>Kursi Coklat Futura</t>
  </si>
  <si>
    <t>RUANG ADMINISTRASI</t>
  </si>
  <si>
    <t>RUANG LOYALITY &amp; INTEGRITY</t>
  </si>
  <si>
    <t>RUANG MEETING</t>
  </si>
  <si>
    <t>Kursi Chitose</t>
  </si>
  <si>
    <t>RUANG OFFICE-MEETING</t>
  </si>
  <si>
    <t>RUANG OFFICE-DIREKTUR</t>
  </si>
  <si>
    <t>RUANG STAF</t>
  </si>
  <si>
    <t>RUANG ASSASMENT-MGR</t>
  </si>
  <si>
    <t>RUANG ASSASMENT-REKRUT</t>
  </si>
  <si>
    <t>RUANG E-LEARNING</t>
  </si>
  <si>
    <t>RUANG MILL</t>
  </si>
  <si>
    <t>RUANG STUDIO</t>
  </si>
  <si>
    <t>RUANG PERSISTANCE &amp; CARE</t>
  </si>
  <si>
    <t>RUANG DILIGANCE</t>
  </si>
  <si>
    <t>AULA</t>
  </si>
  <si>
    <t>Sedang dikandir untuk perbaikan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</si>
</sst>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7" formatCode="_(* #,##0_);_(* \(#,##0\);_(* &quot;-&quot;??_);_(@_)"/>
  </numFmts>
  <fonts count="35">
    <font>
      <sz val="11"/>
      <color theme="1"/>
      <name val="Calibri"/>
      <charset val="134"/>
      <scheme val="minor"/>
    </font>
    <font>
      <b/>
      <sz val="28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sz val="12"/>
      <color rgb="FF0070C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72"/>
      <color theme="0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u/>
      <sz val="24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34"/>
      <color theme="0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9"/>
      <name val="Tahoma"/>
      <charset val="134"/>
    </font>
    <font>
      <b/>
      <sz val="9"/>
      <name val="Tahoma"/>
      <charset val="1"/>
    </font>
    <font>
      <sz val="9"/>
      <name val="Tahoma"/>
      <charset val="134"/>
    </font>
    <font>
      <sz val="9"/>
      <name val="Tahoma"/>
      <charset val="1"/>
    </font>
    <font>
      <sz val="9"/>
      <name val="Times New Roman"/>
    </font>
    <font>
      <b/>
      <sz val="9"/>
      <name val="Times New Roman"/>
    </font>
    <font>
      <sz val="11"/>
      <color theme="1"/>
      <name val="Calibri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6795556505021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4" fillId="0" borderId="0" applyFont="0" applyFill="0" applyBorder="0" applyAlignment="0" applyProtection="0"/>
  </cellStyleXfs>
  <cellXfs count="326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4" fillId="0" borderId="9" xfId="0" applyFont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6" borderId="9" xfId="0" applyFill="1" applyBorder="1"/>
    <xf numFmtId="0" fontId="0" fillId="5" borderId="9" xfId="0" applyFill="1" applyBorder="1"/>
    <xf numFmtId="0" fontId="0" fillId="7" borderId="9" xfId="0" applyFill="1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7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5" fillId="7" borderId="2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5" borderId="4" xfId="0" applyFill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0" fontId="9" fillId="5" borderId="16" xfId="0" applyFont="1" applyFill="1" applyBorder="1"/>
    <xf numFmtId="0" fontId="0" fillId="0" borderId="3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5" xfId="0" applyFill="1" applyBorder="1" applyAlignment="1">
      <alignment wrapText="1"/>
    </xf>
    <xf numFmtId="0" fontId="0" fillId="5" borderId="5" xfId="0" applyFill="1" applyBorder="1"/>
    <xf numFmtId="0" fontId="5" fillId="0" borderId="0" xfId="0" applyFont="1" applyAlignment="1">
      <alignment horizontal="center" vertical="center" wrapText="1"/>
    </xf>
    <xf numFmtId="0" fontId="3" fillId="9" borderId="26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10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vertical="center" wrapText="1"/>
    </xf>
    <xf numFmtId="0" fontId="10" fillId="0" borderId="9" xfId="0" applyFont="1" applyBorder="1" applyAlignment="1">
      <alignment horizontal="center" vertical="center" wrapText="1"/>
    </xf>
    <xf numFmtId="3" fontId="10" fillId="0" borderId="9" xfId="0" applyNumberFormat="1" applyFont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12" borderId="9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center" vertical="center" wrapText="1"/>
    </xf>
    <xf numFmtId="0" fontId="14" fillId="13" borderId="9" xfId="0" applyFont="1" applyFill="1" applyBorder="1" applyAlignment="1">
      <alignment horizontal="center" vertical="center" wrapText="1"/>
    </xf>
    <xf numFmtId="0" fontId="13" fillId="13" borderId="9" xfId="0" applyFont="1" applyFill="1" applyBorder="1" applyAlignment="1">
      <alignment horizontal="center" vertical="center" wrapText="1"/>
    </xf>
    <xf numFmtId="0" fontId="14" fillId="14" borderId="9" xfId="0" applyFont="1" applyFill="1" applyBorder="1" applyAlignment="1">
      <alignment horizontal="center" vertical="center" wrapText="1"/>
    </xf>
    <xf numFmtId="0" fontId="13" fillId="15" borderId="9" xfId="0" applyFont="1" applyFill="1" applyBorder="1" applyAlignment="1">
      <alignment horizontal="center" vertical="center" wrapText="1"/>
    </xf>
    <xf numFmtId="0" fontId="13" fillId="14" borderId="9" xfId="0" applyFont="1" applyFill="1" applyBorder="1" applyAlignment="1">
      <alignment horizontal="center" vertical="center" wrapText="1"/>
    </xf>
    <xf numFmtId="0" fontId="14" fillId="16" borderId="9" xfId="0" applyFont="1" applyFill="1" applyBorder="1" applyAlignment="1">
      <alignment horizontal="center" vertical="center" wrapText="1"/>
    </xf>
    <xf numFmtId="0" fontId="13" fillId="16" borderId="9" xfId="0" applyFont="1" applyFill="1" applyBorder="1" applyAlignment="1">
      <alignment horizontal="center" vertical="center" wrapText="1"/>
    </xf>
    <xf numFmtId="0" fontId="14" fillId="15" borderId="9" xfId="0" applyFont="1" applyFill="1" applyBorder="1" applyAlignment="1">
      <alignment horizontal="center" vertical="center" wrapText="1"/>
    </xf>
    <xf numFmtId="0" fontId="13" fillId="17" borderId="9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5" fillId="0" borderId="9" xfId="0" applyFont="1" applyBorder="1"/>
    <xf numFmtId="15" fontId="10" fillId="0" borderId="9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 wrapText="1"/>
    </xf>
    <xf numFmtId="1" fontId="10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0" fillId="11" borderId="9" xfId="0" applyFont="1" applyFill="1" applyBorder="1" applyAlignment="1">
      <alignment horizontal="center" wrapText="1"/>
    </xf>
    <xf numFmtId="0" fontId="10" fillId="11" borderId="9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 vertical="center" wrapText="1"/>
    </xf>
    <xf numFmtId="0" fontId="10" fillId="14" borderId="9" xfId="0" applyFont="1" applyFill="1" applyBorder="1" applyAlignment="1">
      <alignment horizontal="center" vertical="center" wrapText="1"/>
    </xf>
    <xf numFmtId="0" fontId="10" fillId="16" borderId="9" xfId="0" applyFont="1" applyFill="1" applyBorder="1" applyAlignment="1">
      <alignment horizontal="center" vertical="center" wrapText="1"/>
    </xf>
    <xf numFmtId="0" fontId="10" fillId="15" borderId="9" xfId="0" applyFont="1" applyFill="1" applyBorder="1" applyAlignment="1">
      <alignment horizontal="center" vertical="center" wrapText="1"/>
    </xf>
    <xf numFmtId="0" fontId="10" fillId="18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5" fillId="7" borderId="34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5" borderId="29" xfId="0" applyFill="1" applyBorder="1" applyAlignment="1">
      <alignment horizontal="center" vertical="center"/>
    </xf>
    <xf numFmtId="0" fontId="0" fillId="5" borderId="36" xfId="0" applyFill="1" applyBorder="1"/>
    <xf numFmtId="0" fontId="0" fillId="5" borderId="33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 wrapText="1"/>
    </xf>
    <xf numFmtId="0" fontId="9" fillId="5" borderId="28" xfId="0" applyFont="1" applyFill="1" applyBorder="1"/>
    <xf numFmtId="0" fontId="9" fillId="5" borderId="28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5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left" vertical="center" wrapText="1"/>
    </xf>
    <xf numFmtId="0" fontId="0" fillId="5" borderId="37" xfId="0" applyFill="1" applyBorder="1"/>
    <xf numFmtId="0" fontId="0" fillId="5" borderId="38" xfId="0" applyFill="1" applyBorder="1" applyAlignment="1">
      <alignment horizontal="center"/>
    </xf>
    <xf numFmtId="0" fontId="0" fillId="5" borderId="38" xfId="0" applyFill="1" applyBorder="1" applyAlignment="1">
      <alignment wrapText="1"/>
    </xf>
    <xf numFmtId="0" fontId="0" fillId="5" borderId="38" xfId="0" applyFill="1" applyBorder="1"/>
    <xf numFmtId="0" fontId="19" fillId="4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left"/>
    </xf>
    <xf numFmtId="0" fontId="0" fillId="5" borderId="9" xfId="0" applyFill="1" applyBorder="1" applyAlignment="1">
      <alignment horizontal="center"/>
    </xf>
    <xf numFmtId="0" fontId="0" fillId="0" borderId="9" xfId="0" applyBorder="1" applyAlignment="1">
      <alignment horizontal="left"/>
    </xf>
    <xf numFmtId="0" fontId="12" fillId="4" borderId="26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3" fontId="0" fillId="0" borderId="9" xfId="0" applyNumberForma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20" borderId="9" xfId="0" applyFont="1" applyFill="1" applyBorder="1" applyAlignment="1">
      <alignment horizontal="center" vertical="center"/>
    </xf>
    <xf numFmtId="0" fontId="3" fillId="20" borderId="9" xfId="0" applyFont="1" applyFill="1" applyBorder="1" applyAlignment="1">
      <alignment horizontal="center" vertical="center"/>
    </xf>
    <xf numFmtId="0" fontId="24" fillId="12" borderId="9" xfId="0" applyFont="1" applyFill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/>
    </xf>
    <xf numFmtId="0" fontId="0" fillId="7" borderId="9" xfId="0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/>
    </xf>
    <xf numFmtId="0" fontId="0" fillId="7" borderId="14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22" borderId="0" xfId="0" applyFill="1" applyAlignment="1">
      <alignment vertical="center"/>
    </xf>
    <xf numFmtId="0" fontId="25" fillId="22" borderId="0" xfId="0" applyFont="1" applyFill="1"/>
    <xf numFmtId="0" fontId="0" fillId="22" borderId="0" xfId="0" applyFill="1"/>
    <xf numFmtId="0" fontId="25" fillId="5" borderId="9" xfId="0" applyFont="1" applyFill="1" applyBorder="1" applyAlignment="1">
      <alignment horizontal="center" vertical="center"/>
    </xf>
    <xf numFmtId="0" fontId="25" fillId="5" borderId="9" xfId="0" applyFont="1" applyFill="1" applyBorder="1" applyAlignment="1">
      <alignment horizontal="left"/>
    </xf>
    <xf numFmtId="0" fontId="25" fillId="5" borderId="9" xfId="0" applyFont="1" applyFill="1" applyBorder="1" applyAlignment="1">
      <alignment horizontal="center"/>
    </xf>
    <xf numFmtId="0" fontId="0" fillId="22" borderId="0" xfId="0" applyFill="1" applyAlignment="1">
      <alignment vertical="center" wrapText="1"/>
    </xf>
    <xf numFmtId="0" fontId="0" fillId="22" borderId="9" xfId="0" applyFill="1" applyBorder="1" applyAlignment="1">
      <alignment horizontal="center" vertical="center"/>
    </xf>
    <xf numFmtId="0" fontId="0" fillId="22" borderId="9" xfId="0" applyFill="1" applyBorder="1"/>
    <xf numFmtId="0" fontId="0" fillId="5" borderId="9" xfId="0" applyFill="1" applyBorder="1" applyAlignment="1">
      <alignment vertical="center"/>
    </xf>
    <xf numFmtId="0" fontId="21" fillId="5" borderId="9" xfId="0" applyFont="1" applyFill="1" applyBorder="1" applyAlignment="1">
      <alignment horizontal="left" wrapText="1"/>
    </xf>
    <xf numFmtId="0" fontId="22" fillId="5" borderId="9" xfId="0" applyFont="1" applyFill="1" applyBorder="1" applyAlignment="1">
      <alignment horizontal="left" wrapText="1"/>
    </xf>
    <xf numFmtId="0" fontId="22" fillId="5" borderId="9" xfId="0" applyFont="1" applyFill="1" applyBorder="1" applyAlignment="1">
      <alignment horizontal="left"/>
    </xf>
    <xf numFmtId="164" fontId="0" fillId="0" borderId="9" xfId="1" applyFont="1" applyBorder="1" applyAlignment="1">
      <alignment horizontal="center"/>
    </xf>
    <xf numFmtId="164" fontId="0" fillId="5" borderId="9" xfId="1" applyFont="1" applyFill="1" applyBorder="1"/>
    <xf numFmtId="164" fontId="0" fillId="0" borderId="9" xfId="1" applyFont="1" applyBorder="1"/>
    <xf numFmtId="167" fontId="0" fillId="0" borderId="9" xfId="1" applyNumberFormat="1" applyFont="1" applyBorder="1"/>
    <xf numFmtId="0" fontId="0" fillId="2" borderId="9" xfId="0" applyFill="1" applyBorder="1"/>
    <xf numFmtId="164" fontId="0" fillId="2" borderId="9" xfId="1" applyFont="1" applyFill="1" applyBorder="1"/>
    <xf numFmtId="167" fontId="0" fillId="2" borderId="9" xfId="1" applyNumberFormat="1" applyFont="1" applyFill="1" applyBorder="1"/>
    <xf numFmtId="0" fontId="0" fillId="23" borderId="9" xfId="0" applyFill="1" applyBorder="1"/>
    <xf numFmtId="0" fontId="0" fillId="23" borderId="9" xfId="0" applyFill="1" applyBorder="1" applyAlignment="1">
      <alignment wrapText="1"/>
    </xf>
    <xf numFmtId="0" fontId="25" fillId="0" borderId="9" xfId="0" applyFont="1" applyBorder="1" applyAlignment="1">
      <alignment horizontal="center"/>
    </xf>
    <xf numFmtId="0" fontId="0" fillId="18" borderId="9" xfId="0" applyFill="1" applyBorder="1" applyAlignment="1">
      <alignment horizontal="center" vertical="center"/>
    </xf>
    <xf numFmtId="0" fontId="0" fillId="18" borderId="9" xfId="0" applyFill="1" applyBorder="1" applyAlignment="1">
      <alignment horizontal="left"/>
    </xf>
    <xf numFmtId="0" fontId="25" fillId="18" borderId="9" xfId="0" applyFont="1" applyFill="1" applyBorder="1" applyAlignment="1">
      <alignment horizontal="center"/>
    </xf>
    <xf numFmtId="0" fontId="25" fillId="0" borderId="9" xfId="0" applyFont="1" applyBorder="1"/>
    <xf numFmtId="167" fontId="25" fillId="0" borderId="9" xfId="1" applyNumberFormat="1" applyFont="1" applyFill="1" applyBorder="1"/>
    <xf numFmtId="164" fontId="25" fillId="0" borderId="9" xfId="1" applyFont="1" applyFill="1" applyBorder="1"/>
    <xf numFmtId="0" fontId="25" fillId="18" borderId="9" xfId="0" applyFont="1" applyFill="1" applyBorder="1"/>
    <xf numFmtId="164" fontId="25" fillId="18" borderId="9" xfId="1" applyFont="1" applyFill="1" applyBorder="1"/>
    <xf numFmtId="0" fontId="25" fillId="24" borderId="9" xfId="0" applyFont="1" applyFill="1" applyBorder="1"/>
    <xf numFmtId="167" fontId="25" fillId="24" borderId="9" xfId="1" applyNumberFormat="1" applyFont="1" applyFill="1" applyBorder="1"/>
    <xf numFmtId="167" fontId="25" fillId="18" borderId="9" xfId="1" applyNumberFormat="1" applyFont="1" applyFill="1" applyBorder="1"/>
    <xf numFmtId="164" fontId="0" fillId="2" borderId="0" xfId="0" applyNumberFormat="1" applyFill="1"/>
    <xf numFmtId="0" fontId="0" fillId="0" borderId="0" xfId="0" applyAlignment="1">
      <alignment horizontal="left"/>
    </xf>
    <xf numFmtId="0" fontId="3" fillId="4" borderId="1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3" fontId="0" fillId="0" borderId="9" xfId="0" applyNumberFormat="1" applyBorder="1" applyAlignment="1">
      <alignment horizontal="center" vertical="center" wrapText="1"/>
    </xf>
    <xf numFmtId="0" fontId="24" fillId="11" borderId="9" xfId="0" applyFont="1" applyFill="1" applyBorder="1" applyAlignment="1">
      <alignment horizontal="center" vertical="center" wrapText="1"/>
    </xf>
    <xf numFmtId="0" fontId="24" fillId="13" borderId="9" xfId="0" applyFont="1" applyFill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12" borderId="9" xfId="0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0" fontId="27" fillId="0" borderId="9" xfId="0" applyFont="1" applyBorder="1"/>
    <xf numFmtId="0" fontId="25" fillId="0" borderId="9" xfId="0" applyFont="1" applyBorder="1" applyAlignment="1">
      <alignment vertical="center" wrapText="1"/>
    </xf>
    <xf numFmtId="1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0" fillId="12" borderId="9" xfId="0" applyFill="1" applyBorder="1" applyAlignment="1">
      <alignment horizontal="center" wrapText="1"/>
    </xf>
    <xf numFmtId="0" fontId="0" fillId="5" borderId="9" xfId="0" quotePrefix="1" applyFill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5" fillId="0" borderId="9" xfId="0" quotePrefix="1" applyFont="1" applyBorder="1" applyAlignment="1">
      <alignment horizontal="center"/>
    </xf>
    <xf numFmtId="0" fontId="25" fillId="18" borderId="9" xfId="0" quotePrefix="1" applyFont="1" applyFill="1" applyBorder="1" applyAlignment="1">
      <alignment horizontal="center"/>
    </xf>
    <xf numFmtId="0" fontId="25" fillId="5" borderId="9" xfId="0" quotePrefix="1" applyFont="1" applyFill="1" applyBorder="1" applyAlignment="1">
      <alignment horizontal="center"/>
    </xf>
    <xf numFmtId="0" fontId="0" fillId="22" borderId="9" xfId="0" quotePrefix="1" applyFill="1" applyBorder="1" applyAlignment="1">
      <alignment horizontal="center"/>
    </xf>
    <xf numFmtId="0" fontId="4" fillId="0" borderId="9" xfId="0" quotePrefix="1" applyFont="1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5" borderId="9" xfId="0" quotePrefix="1" applyFill="1" applyBorder="1" applyAlignment="1">
      <alignment horizontal="center" vertical="center"/>
    </xf>
    <xf numFmtId="0" fontId="0" fillId="5" borderId="9" xfId="0" quotePrefix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7" fillId="0" borderId="28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7" borderId="3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38" xfId="0" applyFill="1" applyBorder="1" applyAlignment="1">
      <alignment horizontal="center"/>
    </xf>
    <xf numFmtId="0" fontId="9" fillId="5" borderId="35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/>
    </xf>
    <xf numFmtId="0" fontId="9" fillId="5" borderId="39" xfId="0" applyFont="1" applyFill="1" applyBorder="1" applyAlignment="1">
      <alignment horizontal="center"/>
    </xf>
    <xf numFmtId="0" fontId="0" fillId="7" borderId="14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 wrapText="1"/>
    </xf>
    <xf numFmtId="0" fontId="0" fillId="7" borderId="34" xfId="0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7" fillId="12" borderId="30" xfId="0" applyFont="1" applyFill="1" applyBorder="1" applyAlignment="1">
      <alignment horizontal="left" vertical="center"/>
    </xf>
    <xf numFmtId="0" fontId="7" fillId="12" borderId="40" xfId="0" applyFont="1" applyFill="1" applyBorder="1" applyAlignment="1">
      <alignment horizontal="left" vertical="center"/>
    </xf>
    <xf numFmtId="0" fontId="7" fillId="12" borderId="31" xfId="0" applyFont="1" applyFill="1" applyBorder="1" applyAlignment="1">
      <alignment horizontal="left" vertical="center"/>
    </xf>
    <xf numFmtId="0" fontId="26" fillId="8" borderId="4" xfId="0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13" fillId="21" borderId="9" xfId="0" applyFont="1" applyFill="1" applyBorder="1" applyAlignment="1">
      <alignment vertical="center"/>
    </xf>
    <xf numFmtId="0" fontId="5" fillId="7" borderId="30" xfId="0" applyFont="1" applyFill="1" applyBorder="1" applyAlignment="1">
      <alignment horizontal="left"/>
    </xf>
    <xf numFmtId="0" fontId="5" fillId="7" borderId="31" xfId="0" applyFont="1" applyFill="1" applyBorder="1" applyAlignment="1">
      <alignment horizontal="left"/>
    </xf>
    <xf numFmtId="0" fontId="5" fillId="7" borderId="9" xfId="0" applyFont="1" applyFill="1" applyBorder="1" applyAlignment="1">
      <alignment horizontal="left"/>
    </xf>
    <xf numFmtId="0" fontId="0" fillId="5" borderId="36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/>
    </xf>
    <xf numFmtId="0" fontId="5" fillId="7" borderId="30" xfId="0" applyFont="1" applyFill="1" applyBorder="1" applyAlignment="1">
      <alignment horizontal="center"/>
    </xf>
    <xf numFmtId="0" fontId="5" fillId="7" borderId="40" xfId="0" applyFont="1" applyFill="1" applyBorder="1" applyAlignment="1">
      <alignment horizontal="center"/>
    </xf>
    <xf numFmtId="0" fontId="5" fillId="7" borderId="31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 wrapText="1"/>
    </xf>
    <xf numFmtId="0" fontId="5" fillId="7" borderId="32" xfId="0" applyFont="1" applyFill="1" applyBorder="1" applyAlignment="1">
      <alignment horizontal="center" vertical="center" wrapText="1"/>
    </xf>
    <xf numFmtId="0" fontId="5" fillId="7" borderId="34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wrapText="1"/>
    </xf>
    <xf numFmtId="0" fontId="5" fillId="7" borderId="34" xfId="0" applyFont="1" applyFill="1" applyBorder="1" applyAlignment="1">
      <alignment horizontal="center" wrapText="1"/>
    </xf>
    <xf numFmtId="0" fontId="1" fillId="8" borderId="28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0" fillId="3" borderId="24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  <xf numFmtId="0" fontId="20" fillId="3" borderId="25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9" fillId="4" borderId="9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3" fillId="19" borderId="14" xfId="0" applyFont="1" applyFill="1" applyBorder="1" applyAlignment="1">
      <alignment horizontal="center" vertical="center" wrapText="1"/>
    </xf>
    <xf numFmtId="0" fontId="3" fillId="19" borderId="32" xfId="0" applyFont="1" applyFill="1" applyBorder="1" applyAlignment="1">
      <alignment horizontal="center" vertical="center" wrapText="1"/>
    </xf>
    <xf numFmtId="0" fontId="3" fillId="19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7" borderId="11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0" fillId="0" borderId="8" xfId="0" applyBorder="1" applyAlignment="1">
      <alignment horizontal="center" vertical="top"/>
    </xf>
    <xf numFmtId="0" fontId="6" fillId="8" borderId="0" xfId="0" applyFont="1" applyFill="1" applyAlignment="1">
      <alignment horizontal="center" vertical="center"/>
    </xf>
    <xf numFmtId="0" fontId="7" fillId="8" borderId="16" xfId="0" applyFont="1" applyFill="1" applyBorder="1" applyAlignment="1">
      <alignment horizontal="center" vertical="top"/>
    </xf>
    <xf numFmtId="0" fontId="5" fillId="7" borderId="18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top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9" fillId="5" borderId="24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/>
    </xf>
    <xf numFmtId="0" fontId="9" fillId="5" borderId="2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</cellXfs>
  <cellStyles count="2">
    <cellStyle name="Comma 2" xfId="1" xr:uid="{00000000-0005-0000-0000-000031000000}"/>
    <cellStyle name="Normal" xfId="0" builtinId="0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16605</xdr:colOff>
      <xdr:row>1</xdr:row>
      <xdr:rowOff>17708</xdr:rowOff>
    </xdr:from>
    <xdr:to>
      <xdr:col>2</xdr:col>
      <xdr:colOff>146050</xdr:colOff>
      <xdr:row>9</xdr:row>
      <xdr:rowOff>68017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" y="95250"/>
          <a:ext cx="605790" cy="8680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16605</xdr:colOff>
      <xdr:row>1</xdr:row>
      <xdr:rowOff>17708</xdr:rowOff>
    </xdr:from>
    <xdr:to>
      <xdr:col>2</xdr:col>
      <xdr:colOff>146090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" y="112395"/>
          <a:ext cx="605790" cy="8864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16605</xdr:colOff>
      <xdr:row>1</xdr:row>
      <xdr:rowOff>17708</xdr:rowOff>
    </xdr:from>
    <xdr:to>
      <xdr:col>2</xdr:col>
      <xdr:colOff>146050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" y="112395"/>
          <a:ext cx="605790" cy="886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38101</xdr:rowOff>
    </xdr:from>
    <xdr:to>
      <xdr:col>2</xdr:col>
      <xdr:colOff>257175</xdr:colOff>
      <xdr:row>2</xdr:row>
      <xdr:rowOff>12701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"/>
          <a:ext cx="466725" cy="6229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124555</xdr:colOff>
      <xdr:row>0</xdr:row>
      <xdr:rowOff>11358</xdr:rowOff>
    </xdr:from>
    <xdr:to>
      <xdr:col>1</xdr:col>
      <xdr:colOff>469940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60" y="10795"/>
          <a:ext cx="612140" cy="809625"/>
        </a:xfrm>
        <a:prstGeom prst="rect">
          <a:avLst/>
        </a:prstGeom>
      </xdr:spPr>
    </xdr:pic>
    <xdr:clientData/>
  </xdr:twoCellAnchor>
  <xdr:twoCellAnchor>
    <xdr:from>
      <xdr:col>9</xdr:col>
      <xdr:colOff>670560</xdr:colOff>
      <xdr:row>1</xdr:row>
      <xdr:rowOff>83820</xdr:rowOff>
    </xdr:from>
    <xdr:to>
      <xdr:col>9</xdr:col>
      <xdr:colOff>2194560</xdr:colOff>
      <xdr:row>2</xdr:row>
      <xdr:rowOff>60960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8747760" y="267335"/>
          <a:ext cx="1524000" cy="213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 b="1"/>
            <a:t>Update 11/10/2025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6896100</xdr:colOff>
      <xdr:row>1</xdr:row>
      <xdr:rowOff>63500</xdr:rowOff>
    </xdr:from>
    <xdr:to>
      <xdr:col>6</xdr:col>
      <xdr:colOff>8636000</xdr:colOff>
      <xdr:row>2</xdr:row>
      <xdr:rowOff>44450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11353800" y="158750"/>
          <a:ext cx="1390650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 i="1"/>
            <a:t>Update : September 2024</a:t>
          </a:r>
        </a:p>
      </xdr:txBody>
    </xdr:sp>
    <xdr:clientData/>
  </xdr:twoCellAnchor>
  <xdr:twoCellAnchor editAs="oneCell">
    <xdr:from>
      <xdr:col>1</xdr:col>
      <xdr:colOff>16606</xdr:colOff>
      <xdr:row>1</xdr:row>
      <xdr:rowOff>11359</xdr:rowOff>
    </xdr:from>
    <xdr:to>
      <xdr:col>2</xdr:col>
      <xdr:colOff>8732</xdr:colOff>
      <xdr:row>4</xdr:row>
      <xdr:rowOff>148555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" y="106045"/>
          <a:ext cx="467995" cy="7086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16606</xdr:colOff>
      <xdr:row>1</xdr:row>
      <xdr:rowOff>17708</xdr:rowOff>
    </xdr:from>
    <xdr:to>
      <xdr:col>2</xdr:col>
      <xdr:colOff>128138</xdr:colOff>
      <xdr:row>4</xdr:row>
      <xdr:rowOff>241299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" y="112395"/>
          <a:ext cx="587375" cy="8572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16605</xdr:colOff>
      <xdr:row>1</xdr:row>
      <xdr:rowOff>17708</xdr:rowOff>
    </xdr:from>
    <xdr:to>
      <xdr:col>2</xdr:col>
      <xdr:colOff>146090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" y="112395"/>
          <a:ext cx="605790" cy="8864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52294</xdr:colOff>
      <xdr:row>0</xdr:row>
      <xdr:rowOff>29883</xdr:rowOff>
    </xdr:from>
    <xdr:to>
      <xdr:col>2</xdr:col>
      <xdr:colOff>119529</xdr:colOff>
      <xdr:row>1</xdr:row>
      <xdr:rowOff>204289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620" y="29845"/>
          <a:ext cx="514985" cy="681355"/>
        </a:xfrm>
        <a:prstGeom prst="rect">
          <a:avLst/>
        </a:prstGeom>
      </xdr:spPr>
    </xdr:pic>
    <xdr:clientData/>
  </xdr:twoCellAnchor>
  <xdr:oneCellAnchor>
    <xdr:from>
      <xdr:col>1</xdr:col>
      <xdr:colOff>7470</xdr:colOff>
      <xdr:row>34</xdr:row>
      <xdr:rowOff>14941</xdr:rowOff>
    </xdr:from>
    <xdr:ext cx="600807" cy="795618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7380605"/>
          <a:ext cx="600710" cy="795655"/>
        </a:xfrm>
        <a:prstGeom prst="rect">
          <a:avLst/>
        </a:prstGeom>
      </xdr:spPr>
    </xdr:pic>
    <xdr:clientData/>
  </xdr:oneCellAnchor>
  <xdr:oneCellAnchor>
    <xdr:from>
      <xdr:col>1</xdr:col>
      <xdr:colOff>7470</xdr:colOff>
      <xdr:row>68</xdr:row>
      <xdr:rowOff>14941</xdr:rowOff>
    </xdr:from>
    <xdr:ext cx="600807" cy="795618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14522450"/>
          <a:ext cx="600710" cy="795655"/>
        </a:xfrm>
        <a:prstGeom prst="rect">
          <a:avLst/>
        </a:prstGeom>
      </xdr:spPr>
    </xdr:pic>
    <xdr:clientData/>
  </xdr:oneCellAnchor>
  <xdr:oneCellAnchor>
    <xdr:from>
      <xdr:col>1</xdr:col>
      <xdr:colOff>7470</xdr:colOff>
      <xdr:row>102</xdr:row>
      <xdr:rowOff>14941</xdr:rowOff>
    </xdr:from>
    <xdr:ext cx="600807" cy="795618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21664295"/>
          <a:ext cx="600710" cy="79565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 txBox="1"/>
      </xdr:nvSpPr>
      <xdr:spPr>
        <a:xfrm>
          <a:off x="66478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/>
      </xdr:nvSpPr>
      <xdr:spPr>
        <a:xfrm>
          <a:off x="66478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 txBox="1"/>
      </xdr:nvSpPr>
      <xdr:spPr>
        <a:xfrm>
          <a:off x="66478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7.605589930601" createdVersion="4" refreshedVersion="4" minRefreshableVersion="3" recordCount="307" xr:uid="{00000000-000A-0000-FFFF-FFFF00000000}">
  <cacheSource type="worksheet">
    <worksheetSource ref="B3:W310" sheet="Rincian A.Mess (171025)"/>
  </cacheSource>
  <cacheFields count="22">
    <cacheField name="NO" numFmtId="0">
      <sharedItems containsSemiMixedTypes="0" containsNonDate="0" containsString="0"/>
    </cacheField>
    <cacheField name="NAMA BARANG/ASET" numFmtId="0">
      <sharedItems containsBlank="1" count="116">
        <s v="DIVAN (TEMPAT TIDUR)"/>
        <s v="KASUR LIGNA"/>
        <s v="SEPREI"/>
        <s v="SARUNG BANTAL"/>
        <s v="BANTAL"/>
        <s v="LEMARI PAKAIAN"/>
        <s v="KIPAS ANGIN(1 DINDING)"/>
        <s v="GORDYN"/>
        <s v="GAYUNG"/>
        <s v="KESET KAKI"/>
        <s v="CERMIN"/>
        <s v="LAMPU PANJANG"/>
        <s v="LAMPU BULAT"/>
        <s v="KERANJANG SAMPAH"/>
        <s v="KIPAS ANGIN"/>
        <s v="KURSI TUNGGU"/>
        <s v="MEJA MAKAN"/>
        <s v="MEJA LAUK"/>
        <s v="KURSI MAKAN"/>
        <s v="TAPLAK MEJA WARNA WARNI"/>
        <s v="TUDUNG SAJI"/>
        <s v="PIRING BESAR "/>
        <s v="PIRING BREAK MERAH"/>
        <s v="PIRING MAKAN MELAMINE"/>
        <s v="PIRING SEDANG KERAMIK"/>
        <s v="SENDOK MAKAN"/>
        <s v="GARPU MAKAN"/>
        <s v="GELAS PLASTIK "/>
        <s v="GELAS MELAMIN"/>
        <s v="TEKO"/>
        <s v="PYREK"/>
        <s v="MANGKOK KACA "/>
        <s v="MANGKOK NASI"/>
        <s v="KUALI BESAR"/>
        <s v="KUALI SEDANG @60 Cm"/>
        <s v="KUALI KECIL"/>
        <s v="KOMPOR GAS"/>
        <s v="SENDOK GORENG"/>
        <s v="SENDOK GULAI"/>
        <s v="TABUNG GAS"/>
        <s v="RICE COOKER GAS"/>
        <s v="PISAU BESI"/>
        <s v="BASKOM STAINLESS"/>
        <s v="DANDANG BESAR CAMPING"/>
        <s v="DANDANG 10 LTR"/>
        <s v="KULKAS"/>
        <s v="DISPENSER BARU KANTOR (HIJAU)"/>
        <s v="RAK PIRING"/>
        <s v="LUNCH BOX"/>
        <s v="TEMPAT BUAH KACA"/>
        <s v="TERMOS NASI MERAH"/>
        <s v="BLENDER PHILIPS BIRU"/>
        <s v="FREEZER PUTIH"/>
        <s v="KOTAK P3K"/>
        <s v="DISPENSER BARU BIRU UNTUK TRAINEE"/>
        <s v="APRON"/>
        <s v="COBEK BATU"/>
        <s v="TEFLON @20Cm"/>
        <s v="MESIN CUCI LG"/>
        <s v="EMBER BILAS"/>
        <s v="KERANJANG BARU"/>
        <s v="KERANJANG LAMA"/>
        <s v="SETRIKA"/>
        <s v="HANDUK"/>
        <s v="SELIMUT WARNA WARNI"/>
        <s v="MEJA MAKAN BULAT BESAR"/>
        <s v="TAPLAK MEJA BULAT BESAR MERAH"/>
        <s v="TAPLAK MEJA PRASMANAN MERAH"/>
        <s v="MEJA PANJANG KACA "/>
        <s v="SOFA TAMU TANPA MEJA"/>
        <s v="LEMARI TV"/>
        <s v="TV,ANTENA,SET TOP BOX"/>
        <s v="AC"/>
        <s v="TONG SAMPAH"/>
        <s v="LEMARI TRAINEE"/>
        <s v="DISPENSER"/>
        <s v="LEMARI"/>
        <s v="SINGLE BED"/>
        <s v="MEJA KERJA"/>
        <s v="KURSI FUTURA"/>
        <s v="RAK HANDUK"/>
        <s v="DOUBLE BED"/>
        <s v="BANTAL DAN GULING"/>
        <s v="BED COVER"/>
        <s v="MEJA KECIL KACA"/>
        <s v="WATER HEATER"/>
        <s v="LAMPU EMERGENCY"/>
        <s v="MEJA BESAR KACA"/>
        <s v="SOFA "/>
        <s v="SHOWER"/>
        <s v="CANGKIR KOPI LAMA"/>
        <s v="CANGKIR KOPI PUTIH"/>
        <s v="CANGKIR KOPI KERAMIK COKLAT"/>
        <s v="COFFE MAKER"/>
        <s v="COFFE WARMER"/>
        <s v="GELAS PIALA"/>
        <s v="GELAS ROYALEX "/>
        <s v="JUICER"/>
        <s v="MAGIC COM"/>
        <s v="PIRING BREAK KERAMIK"/>
        <s v="PIRING BREAK MELAMINE MERAH"/>
        <s v="PIRING BREAK MELAMINEPUTIH"/>
        <s v="SENDOK LAUK"/>
        <s v="SENDOK THE"/>
        <s v="TROLI"/>
        <s v="WASHTAFEL PORTABLE STAINLESS"/>
        <s v="KESET KAKI KAMAR MANDI KANTOR"/>
        <s v="TUTUP GELAS"/>
        <s v="TEMPAT SAMPAH KANTOR"/>
        <s v="ALAT PEL"/>
        <s v="KEMOCENG"/>
        <s v="WIPPER KACA"/>
        <s v="SAPU SAWANG"/>
        <s v="SAPU LANTAI"/>
        <s v="SEKOP"/>
        <m u="1"/>
      </sharedItems>
    </cacheField>
    <cacheField name="TAHUN PEROLEHAN" numFmtId="0">
      <sharedItems containsSemiMixedTypes="0" containsNonDate="0" containsString="0"/>
    </cacheField>
    <cacheField name="SATUAN" numFmtId="0">
      <sharedItems containsSemiMixedTypes="0" containsNonDate="0" containsString="0"/>
    </cacheField>
    <cacheField name="KONDISI BAIK (SEBELUM HO)" numFmtId="0">
      <sharedItems containsSemiMixedTypes="0" containsNonDate="0" containsString="0"/>
    </cacheField>
    <cacheField name="RUSAK BISA DIPERBAIKI (SEBELUM HO)" numFmtId="0">
      <sharedItems containsSemiMixedTypes="0" containsNonDate="0" containsString="0"/>
    </cacheField>
    <cacheField name="RUSAK TIDAK BISA DIPERBAIKI (SEBELUM HO)" numFmtId="0">
      <sharedItems containsSemiMixedTypes="0" containsNonDate="0" containsString="0"/>
    </cacheField>
    <cacheField name="TOTAL ASET (SEBELUM HO)" numFmtId="0">
      <sharedItems containsSemiMixedTypes="0" containsNonDate="0" containsString="0"/>
    </cacheField>
    <cacheField name="KONDISI BAIK (SESUDAH HO)" numFmtId="0">
      <sharedItems containsSemiMixedTypes="0" containsNonDate="0" containsString="0"/>
    </cacheField>
    <cacheField name="RUSAK BISA DIPERBAIKI (SESUDAH HO)" numFmtId="0">
      <sharedItems containsSemiMixedTypes="0" containsNonDate="0" containsString="0"/>
    </cacheField>
    <cacheField name="RUSAK TIDAK BISA DIPERBAIKI (SESUDAH HO)" numFmtId="0">
      <sharedItems containsSemiMixedTypes="0" containsNonDate="0" containsString="0"/>
    </cacheField>
    <cacheField name="TOTAL ASET YANG ADA (SESUDAH HO)" numFmtId="0">
      <sharedItems containsSemiMixedTypes="0" containsNonDate="0" containsString="0"/>
    </cacheField>
    <cacheField name="TOTAL ASET KONDISI BAIK (SESUDAH HO)" numFmtId="0">
      <sharedItems containsSemiMixedTypes="0" containsNonDate="0" containsString="0"/>
    </cacheField>
    <cacheField name="TOTAL ASET KONDISI RUSAK TIDAK BISA DIPERBAIKI (SESUDAH HO)" numFmtId="0">
      <sharedItems containsSemiMixedTypes="0" containsNonDate="0" containsString="0"/>
    </cacheField>
    <cacheField name="KONDISI BAIK" numFmtId="0">
      <sharedItems containsSemiMixedTypes="0" containsNonDate="0" containsString="0"/>
    </cacheField>
    <cacheField name="RUSAK" numFmtId="0">
      <sharedItems containsSemiMixedTypes="0" containsNonDate="0" containsString="0"/>
    </cacheField>
    <cacheField name="TOTAL" numFmtId="0">
      <sharedItems containsSemiMixedTypes="0" containsNonDate="0" containsString="0"/>
    </cacheField>
    <cacheField name="KATEGORI ASET" numFmtId="0">
      <sharedItems count="7">
        <s v="KAMAR"/>
        <s v="TERAS"/>
        <s v="DAPUR"/>
        <s v="LAUNDRY"/>
        <s v="EXECUTIVE"/>
        <s v="PANTRY"/>
        <s v="MES"/>
      </sharedItems>
    </cacheField>
    <cacheField name="LOKASI BARANG" numFmtId="0">
      <sharedItems containsSemiMixedTypes="0" containsNonDate="0" containsString="0"/>
    </cacheField>
    <cacheField name="KETERANGAN" numFmtId="0">
      <sharedItems containsSemiMixedTypes="0" containsNonDate="0" containsString="0"/>
    </cacheField>
    <cacheField name="Tanggal Perolehan Aset" numFmtId="0">
      <sharedItems containsSemiMixedTypes="0" containsNonDate="0" containsString="0"/>
    </cacheField>
    <cacheField name="CEK SO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7">
  <r>
    <n v="1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1"/>
    <m/>
    <m/>
    <b v="1"/>
  </r>
  <r>
    <n v="2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1"/>
    <m/>
    <m/>
    <b v="1"/>
  </r>
  <r>
    <n v="3"/>
    <x v="2"/>
    <s v="2011 &amp; 2024"/>
    <s v="HELAI"/>
    <n v="8"/>
    <s v="-"/>
    <s v="-"/>
    <n v="8"/>
    <n v="8"/>
    <s v="-"/>
    <s v="-"/>
    <n v="8"/>
    <n v="8"/>
    <s v="-"/>
    <n v="8"/>
    <n v="0"/>
    <n v="8"/>
    <x v="0"/>
    <s v="LORONG  1"/>
    <m/>
    <m/>
    <b v="1"/>
  </r>
  <r>
    <n v="4"/>
    <x v="3"/>
    <s v="2011 &amp; 2024"/>
    <s v="HELAI"/>
    <n v="8"/>
    <s v="-"/>
    <s v="-"/>
    <n v="8"/>
    <n v="8"/>
    <s v="-"/>
    <s v="-"/>
    <n v="8"/>
    <n v="8"/>
    <s v="-"/>
    <n v="8"/>
    <n v="0"/>
    <n v="8"/>
    <x v="0"/>
    <s v="LORONG  1"/>
    <m/>
    <m/>
    <b v="1"/>
  </r>
  <r>
    <n v="5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1"/>
    <m/>
    <m/>
    <b v="1"/>
  </r>
  <r>
    <n v="6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1"/>
    <m/>
    <m/>
    <b v="1"/>
  </r>
  <r>
    <n v="7"/>
    <x v="6"/>
    <n v="2015"/>
    <s v="UNIT"/>
    <n v="4"/>
    <s v="-"/>
    <s v="-"/>
    <n v="4"/>
    <n v="4"/>
    <s v="-"/>
    <s v="-"/>
    <n v="4"/>
    <n v="4"/>
    <s v="-"/>
    <n v="4"/>
    <n v="0"/>
    <n v="4"/>
    <x v="0"/>
    <s v="LORONG  1"/>
    <m/>
    <m/>
    <b v="1"/>
  </r>
  <r>
    <n v="8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1"/>
    <m/>
    <m/>
    <b v="1"/>
  </r>
  <r>
    <n v="9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1"/>
    <m/>
    <m/>
    <b v="1"/>
  </r>
  <r>
    <n v="10"/>
    <x v="9"/>
    <n v="2010"/>
    <s v="HELAI"/>
    <n v="1"/>
    <s v="-"/>
    <s v="-"/>
    <n v="1"/>
    <n v="2"/>
    <s v="-"/>
    <s v="-"/>
    <n v="2"/>
    <n v="2"/>
    <s v="-"/>
    <n v="2"/>
    <n v="0"/>
    <n v="2"/>
    <x v="0"/>
    <s v="LORONG  1"/>
    <m/>
    <m/>
    <b v="1"/>
  </r>
  <r>
    <n v="11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1"/>
    <m/>
    <m/>
    <b v="1"/>
  </r>
  <r>
    <n v="12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1"/>
    <m/>
    <m/>
    <b v="1"/>
  </r>
  <r>
    <n v="13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1"/>
    <m/>
    <m/>
    <b v="1"/>
  </r>
  <r>
    <n v="14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1"/>
    <m/>
    <d v="2025-04-16T00:00:00"/>
    <b v="1"/>
  </r>
  <r>
    <n v="15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2"/>
    <m/>
    <m/>
    <b v="1"/>
  </r>
  <r>
    <n v="16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2"/>
    <m/>
    <m/>
    <b v="1"/>
  </r>
  <r>
    <n v="17"/>
    <x v="2"/>
    <s v="2011 &amp; 2024"/>
    <s v="HELAI"/>
    <n v="8"/>
    <s v="-"/>
    <s v="-"/>
    <n v="8"/>
    <n v="8"/>
    <s v="-"/>
    <s v="-"/>
    <n v="8"/>
    <n v="8"/>
    <s v="-"/>
    <n v="8"/>
    <n v="0"/>
    <n v="8"/>
    <x v="0"/>
    <s v="LORONG  2"/>
    <m/>
    <m/>
    <b v="1"/>
  </r>
  <r>
    <n v="18"/>
    <x v="3"/>
    <s v="2011 &amp; 2024"/>
    <s v="HELAI"/>
    <n v="8"/>
    <s v="-"/>
    <s v="-"/>
    <n v="8"/>
    <n v="8"/>
    <s v="-"/>
    <s v="-"/>
    <n v="8"/>
    <n v="8"/>
    <s v="-"/>
    <n v="8"/>
    <n v="0"/>
    <n v="8"/>
    <x v="0"/>
    <s v="LORONG  2"/>
    <m/>
    <m/>
    <b v="1"/>
  </r>
  <r>
    <n v="19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2"/>
    <m/>
    <m/>
    <b v="1"/>
  </r>
  <r>
    <n v="20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2"/>
    <m/>
    <m/>
    <b v="1"/>
  </r>
  <r>
    <n v="21"/>
    <x v="14"/>
    <n v="2015"/>
    <s v="UNIT"/>
    <n v="4"/>
    <s v="-"/>
    <n v="1"/>
    <n v="4"/>
    <n v="4"/>
    <s v="-"/>
    <n v="1"/>
    <n v="5"/>
    <n v="4"/>
    <n v="1"/>
    <n v="4"/>
    <n v="1"/>
    <n v="5"/>
    <x v="0"/>
    <s v="LORONG  2"/>
    <s v="Terbakar, Tidak bisa diperbaiki"/>
    <m/>
    <b v="1"/>
  </r>
  <r>
    <n v="22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2"/>
    <m/>
    <m/>
    <b v="1"/>
  </r>
  <r>
    <n v="23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2"/>
    <m/>
    <m/>
    <b v="1"/>
  </r>
  <r>
    <n v="24"/>
    <x v="9"/>
    <n v="2010"/>
    <s v="HELAI"/>
    <n v="1"/>
    <s v="-"/>
    <s v="-"/>
    <n v="1"/>
    <n v="2"/>
    <s v="-"/>
    <s v="-"/>
    <n v="2"/>
    <n v="2"/>
    <s v="-"/>
    <n v="2"/>
    <n v="0"/>
    <n v="2"/>
    <x v="0"/>
    <s v="LORONG  2"/>
    <m/>
    <m/>
    <b v="1"/>
  </r>
  <r>
    <n v="25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2"/>
    <m/>
    <m/>
    <b v="1"/>
  </r>
  <r>
    <n v="26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2"/>
    <m/>
    <m/>
    <b v="1"/>
  </r>
  <r>
    <n v="27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2"/>
    <m/>
    <m/>
    <b v="1"/>
  </r>
  <r>
    <n v="28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2"/>
    <m/>
    <d v="2025-04-16T00:00:00"/>
    <b v="1"/>
  </r>
  <r>
    <n v="29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3"/>
    <m/>
    <m/>
    <b v="1"/>
  </r>
  <r>
    <n v="30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3"/>
    <m/>
    <m/>
    <b v="1"/>
  </r>
  <r>
    <n v="31"/>
    <x v="2"/>
    <s v="2011 &amp; 2024"/>
    <s v="HELAI"/>
    <n v="8"/>
    <s v="-"/>
    <s v="-"/>
    <n v="8"/>
    <n v="8"/>
    <s v="-"/>
    <s v="-"/>
    <n v="8"/>
    <n v="8"/>
    <s v="-"/>
    <n v="8"/>
    <n v="0"/>
    <n v="8"/>
    <x v="0"/>
    <s v="LORONG  3"/>
    <m/>
    <m/>
    <b v="1"/>
  </r>
  <r>
    <n v="32"/>
    <x v="3"/>
    <s v="2011 &amp; 2024"/>
    <s v="HELAI"/>
    <n v="8"/>
    <s v="-"/>
    <s v="-"/>
    <n v="8"/>
    <n v="8"/>
    <s v="-"/>
    <s v="-"/>
    <n v="8"/>
    <n v="8"/>
    <s v="-"/>
    <n v="8"/>
    <n v="0"/>
    <n v="8"/>
    <x v="0"/>
    <s v="LORONG  3"/>
    <m/>
    <m/>
    <b v="1"/>
  </r>
  <r>
    <n v="33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3"/>
    <m/>
    <m/>
    <b v="1"/>
  </r>
  <r>
    <n v="34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3"/>
    <m/>
    <m/>
    <b v="1"/>
  </r>
  <r>
    <n v="35"/>
    <x v="14"/>
    <n v="2015"/>
    <s v="UNIT"/>
    <n v="4"/>
    <s v="-"/>
    <s v="-"/>
    <n v="4"/>
    <n v="4"/>
    <s v="-"/>
    <s v="-"/>
    <n v="4"/>
    <n v="4"/>
    <s v="-"/>
    <n v="4"/>
    <n v="0"/>
    <n v="4"/>
    <x v="0"/>
    <s v="LORONG  3"/>
    <m/>
    <m/>
    <b v="1"/>
  </r>
  <r>
    <n v="36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3"/>
    <m/>
    <m/>
    <b v="1"/>
  </r>
  <r>
    <n v="37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3"/>
    <m/>
    <m/>
    <b v="1"/>
  </r>
  <r>
    <n v="38"/>
    <x v="9"/>
    <n v="2010"/>
    <s v="HELAI"/>
    <n v="1"/>
    <s v="-"/>
    <s v="-"/>
    <n v="1"/>
    <n v="2"/>
    <s v="-"/>
    <s v="-"/>
    <n v="2"/>
    <n v="2"/>
    <s v="-"/>
    <n v="2"/>
    <n v="0"/>
    <n v="2"/>
    <x v="0"/>
    <s v="LORONG  3"/>
    <m/>
    <m/>
    <b v="1"/>
  </r>
  <r>
    <n v="39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3"/>
    <m/>
    <m/>
    <b v="1"/>
  </r>
  <r>
    <n v="40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3"/>
    <m/>
    <m/>
    <b v="1"/>
  </r>
  <r>
    <n v="41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3"/>
    <m/>
    <m/>
    <b v="1"/>
  </r>
  <r>
    <n v="42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3"/>
    <m/>
    <d v="2025-04-16T00:00:00"/>
    <b v="1"/>
  </r>
  <r>
    <n v="43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4"/>
    <m/>
    <m/>
    <b v="1"/>
  </r>
  <r>
    <n v="44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4"/>
    <m/>
    <m/>
    <b v="1"/>
  </r>
  <r>
    <n v="45"/>
    <x v="2"/>
    <s v="2011 &amp; 2024"/>
    <s v="HELAI"/>
    <n v="8"/>
    <s v="-"/>
    <s v="-"/>
    <n v="8"/>
    <n v="8"/>
    <s v="-"/>
    <s v="-"/>
    <n v="8"/>
    <n v="8"/>
    <s v="-"/>
    <n v="8"/>
    <n v="0"/>
    <n v="8"/>
    <x v="0"/>
    <s v="LORONG  4"/>
    <m/>
    <m/>
    <b v="1"/>
  </r>
  <r>
    <n v="46"/>
    <x v="3"/>
    <s v="2011 &amp; 2024"/>
    <s v="HELAI"/>
    <n v="8"/>
    <s v="-"/>
    <s v="-"/>
    <n v="8"/>
    <n v="8"/>
    <s v="-"/>
    <s v="-"/>
    <n v="8"/>
    <n v="8"/>
    <s v="-"/>
    <n v="8"/>
    <n v="0"/>
    <n v="8"/>
    <x v="0"/>
    <s v="LORONG  4"/>
    <m/>
    <m/>
    <b v="1"/>
  </r>
  <r>
    <n v="47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4"/>
    <m/>
    <m/>
    <b v="1"/>
  </r>
  <r>
    <n v="48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4"/>
    <m/>
    <m/>
    <b v="1"/>
  </r>
  <r>
    <n v="49"/>
    <x v="14"/>
    <n v="2015"/>
    <s v="UNIT"/>
    <n v="4"/>
    <s v="-"/>
    <s v="-"/>
    <n v="4"/>
    <n v="4"/>
    <s v="-"/>
    <s v="-"/>
    <n v="4"/>
    <n v="4"/>
    <s v="-"/>
    <n v="4"/>
    <n v="0"/>
    <n v="4"/>
    <x v="0"/>
    <s v="LORONG  4"/>
    <m/>
    <m/>
    <b v="1"/>
  </r>
  <r>
    <n v="50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4"/>
    <m/>
    <m/>
    <b v="1"/>
  </r>
  <r>
    <n v="51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4"/>
    <m/>
    <m/>
    <b v="1"/>
  </r>
  <r>
    <n v="52"/>
    <x v="9"/>
    <n v="2010"/>
    <s v="HELAI"/>
    <s v="-"/>
    <s v="-"/>
    <s v="-"/>
    <s v="-"/>
    <n v="2"/>
    <s v="-"/>
    <s v="-"/>
    <n v="2"/>
    <n v="2"/>
    <s v="-"/>
    <n v="2"/>
    <n v="0"/>
    <n v="2"/>
    <x v="0"/>
    <s v="LORONG  4"/>
    <m/>
    <m/>
    <b v="1"/>
  </r>
  <r>
    <n v="53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4"/>
    <m/>
    <m/>
    <b v="1"/>
  </r>
  <r>
    <n v="54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4"/>
    <m/>
    <m/>
    <b v="1"/>
  </r>
  <r>
    <n v="55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4"/>
    <m/>
    <m/>
    <b v="1"/>
  </r>
  <r>
    <n v="56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4"/>
    <m/>
    <d v="2025-04-16T00:00:00"/>
    <b v="1"/>
  </r>
  <r>
    <n v="57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5"/>
    <m/>
    <m/>
    <b v="1"/>
  </r>
  <r>
    <n v="58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5"/>
    <m/>
    <m/>
    <b v="1"/>
  </r>
  <r>
    <n v="59"/>
    <x v="2"/>
    <s v="2011 &amp; 2024"/>
    <s v="HELAI"/>
    <n v="2"/>
    <s v="-"/>
    <s v="-"/>
    <n v="2"/>
    <n v="8"/>
    <s v="-"/>
    <s v="-"/>
    <n v="8"/>
    <n v="8"/>
    <s v="-"/>
    <n v="8"/>
    <n v="0"/>
    <n v="8"/>
    <x v="0"/>
    <s v="LORONG  5"/>
    <m/>
    <m/>
    <b v="1"/>
  </r>
  <r>
    <n v="60"/>
    <x v="3"/>
    <s v="2011 &amp; 2024"/>
    <s v="HELAI"/>
    <n v="2"/>
    <s v="-"/>
    <s v="-"/>
    <n v="2"/>
    <n v="8"/>
    <s v="-"/>
    <s v="-"/>
    <n v="8"/>
    <n v="8"/>
    <s v="-"/>
    <n v="8"/>
    <n v="0"/>
    <n v="8"/>
    <x v="0"/>
    <s v="LORONG  5"/>
    <m/>
    <m/>
    <b v="1"/>
  </r>
  <r>
    <n v="61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5"/>
    <m/>
    <m/>
    <b v="1"/>
  </r>
  <r>
    <n v="62"/>
    <x v="5"/>
    <s v="2010 &amp; 2023"/>
    <s v="UNIT"/>
    <n v="4"/>
    <s v="-"/>
    <s v="-"/>
    <n v="4"/>
    <n v="4"/>
    <s v="-"/>
    <s v="-"/>
    <n v="4"/>
    <n v="4"/>
    <s v="-"/>
    <n v="4"/>
    <n v="0"/>
    <n v="4"/>
    <x v="0"/>
    <s v="LORONG  5"/>
    <m/>
    <m/>
    <b v="1"/>
  </r>
  <r>
    <n v="63"/>
    <x v="6"/>
    <n v="2015"/>
    <s v="UNIT"/>
    <n v="4"/>
    <s v="-"/>
    <s v="-"/>
    <n v="4"/>
    <n v="4"/>
    <s v="-"/>
    <s v="-"/>
    <n v="4"/>
    <n v="4"/>
    <s v="-"/>
    <n v="4"/>
    <n v="0"/>
    <n v="4"/>
    <x v="0"/>
    <s v="LORONG  5"/>
    <m/>
    <m/>
    <b v="1"/>
  </r>
  <r>
    <n v="64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5"/>
    <m/>
    <m/>
    <b v="1"/>
  </r>
  <r>
    <n v="65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5"/>
    <m/>
    <m/>
    <b v="1"/>
  </r>
  <r>
    <n v="66"/>
    <x v="9"/>
    <n v="2010"/>
    <s v="HELAI"/>
    <s v="-"/>
    <s v="-"/>
    <s v="-"/>
    <s v="-"/>
    <n v="2"/>
    <s v="-"/>
    <s v="-"/>
    <n v="2"/>
    <n v="2"/>
    <s v="-"/>
    <n v="2"/>
    <n v="0"/>
    <n v="2"/>
    <x v="0"/>
    <s v="LORONG  5"/>
    <m/>
    <m/>
    <b v="1"/>
  </r>
  <r>
    <n v="67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5"/>
    <m/>
    <m/>
    <b v="1"/>
  </r>
  <r>
    <n v="68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5"/>
    <m/>
    <m/>
    <b v="1"/>
  </r>
  <r>
    <n v="69"/>
    <x v="12"/>
    <n v="2010"/>
    <s v="BH"/>
    <n v="5"/>
    <s v="-"/>
    <n v="1"/>
    <n v="5"/>
    <n v="5"/>
    <s v="-"/>
    <s v="-"/>
    <n v="5"/>
    <n v="5"/>
    <s v="-"/>
    <n v="5"/>
    <n v="0"/>
    <n v="5"/>
    <x v="0"/>
    <s v="LORONG  5"/>
    <m/>
    <m/>
    <b v="1"/>
  </r>
  <r>
    <n v="70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5"/>
    <m/>
    <d v="2025-04-16T00:00:00"/>
    <b v="1"/>
  </r>
  <r>
    <n v="71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6"/>
    <m/>
    <m/>
    <b v="1"/>
  </r>
  <r>
    <n v="72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6"/>
    <m/>
    <m/>
    <b v="1"/>
  </r>
  <r>
    <n v="73"/>
    <x v="2"/>
    <s v="2011 &amp; 2024"/>
    <s v="HELAI"/>
    <n v="6"/>
    <s v="-"/>
    <s v="-"/>
    <n v="6"/>
    <n v="8"/>
    <s v="-"/>
    <s v="-"/>
    <n v="8"/>
    <n v="8"/>
    <s v="-"/>
    <n v="8"/>
    <n v="0"/>
    <n v="8"/>
    <x v="0"/>
    <s v="LORONG  6"/>
    <m/>
    <m/>
    <b v="1"/>
  </r>
  <r>
    <n v="74"/>
    <x v="3"/>
    <s v="2011 &amp; 2024"/>
    <s v="HELAI"/>
    <n v="6"/>
    <s v="-"/>
    <s v="-"/>
    <n v="6"/>
    <n v="8"/>
    <s v="-"/>
    <s v="-"/>
    <n v="8"/>
    <n v="8"/>
    <s v="-"/>
    <n v="8"/>
    <n v="0"/>
    <n v="8"/>
    <x v="0"/>
    <s v="LORONG  6"/>
    <m/>
    <m/>
    <b v="1"/>
  </r>
  <r>
    <n v="75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6"/>
    <m/>
    <m/>
    <b v="1"/>
  </r>
  <r>
    <n v="76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6"/>
    <m/>
    <m/>
    <b v="1"/>
  </r>
  <r>
    <n v="77"/>
    <x v="14"/>
    <n v="2015"/>
    <s v="UNIT"/>
    <n v="4"/>
    <s v="-"/>
    <s v="-"/>
    <n v="4"/>
    <n v="4"/>
    <s v="-"/>
    <s v="-"/>
    <n v="4"/>
    <n v="4"/>
    <s v="-"/>
    <n v="4"/>
    <n v="0"/>
    <n v="4"/>
    <x v="0"/>
    <s v="LORONG  6"/>
    <m/>
    <m/>
    <b v="1"/>
  </r>
  <r>
    <n v="78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6"/>
    <m/>
    <m/>
    <b v="1"/>
  </r>
  <r>
    <n v="79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6"/>
    <m/>
    <m/>
    <b v="1"/>
  </r>
  <r>
    <n v="80"/>
    <x v="9"/>
    <n v="2010"/>
    <s v="HELAI"/>
    <s v="-"/>
    <s v="-"/>
    <s v="-"/>
    <s v="-"/>
    <n v="2"/>
    <s v="-"/>
    <s v="-"/>
    <n v="2"/>
    <n v="2"/>
    <s v="-"/>
    <n v="2"/>
    <n v="0"/>
    <n v="2"/>
    <x v="0"/>
    <s v="LORONG  6"/>
    <m/>
    <m/>
    <b v="1"/>
  </r>
  <r>
    <n v="81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6"/>
    <m/>
    <m/>
    <b v="1"/>
  </r>
  <r>
    <n v="82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6"/>
    <m/>
    <m/>
    <b v="1"/>
  </r>
  <r>
    <n v="83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6"/>
    <m/>
    <m/>
    <b v="1"/>
  </r>
  <r>
    <n v="84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6"/>
    <m/>
    <d v="2025-04-16T00:00:00"/>
    <b v="1"/>
  </r>
  <r>
    <n v="85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7"/>
    <m/>
    <m/>
    <b v="1"/>
  </r>
  <r>
    <n v="86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7"/>
    <m/>
    <m/>
    <b v="1"/>
  </r>
  <r>
    <n v="87"/>
    <x v="2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7"/>
    <m/>
    <m/>
    <b v="1"/>
  </r>
  <r>
    <n v="88"/>
    <x v="3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7"/>
    <m/>
    <m/>
    <b v="1"/>
  </r>
  <r>
    <n v="89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7"/>
    <m/>
    <m/>
    <b v="1"/>
  </r>
  <r>
    <n v="90"/>
    <x v="5"/>
    <s v="2010 &amp; 2023"/>
    <s v="UNIT"/>
    <n v="4"/>
    <s v="-"/>
    <s v="-"/>
    <n v="4"/>
    <n v="4"/>
    <s v="-"/>
    <s v="-"/>
    <n v="4"/>
    <n v="4"/>
    <s v="-"/>
    <n v="4"/>
    <n v="0"/>
    <n v="4"/>
    <x v="0"/>
    <s v="LORONG  7"/>
    <m/>
    <m/>
    <b v="1"/>
  </r>
  <r>
    <n v="91"/>
    <x v="6"/>
    <n v="2015"/>
    <s v="UNIT"/>
    <n v="3"/>
    <s v="-"/>
    <s v="-"/>
    <n v="3"/>
    <n v="2"/>
    <s v="-"/>
    <s v="-"/>
    <n v="2"/>
    <n v="2"/>
    <s v="-"/>
    <n v="4"/>
    <n v="0"/>
    <n v="4"/>
    <x v="0"/>
    <s v="LORONG  7"/>
    <m/>
    <m/>
    <b v="0"/>
  </r>
  <r>
    <n v="92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7"/>
    <m/>
    <m/>
    <b v="1"/>
  </r>
  <r>
    <n v="93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7"/>
    <m/>
    <m/>
    <b v="1"/>
  </r>
  <r>
    <n v="94"/>
    <x v="9"/>
    <n v="2010"/>
    <s v="HELAI"/>
    <s v="-"/>
    <s v="-"/>
    <s v="-"/>
    <s v="-"/>
    <n v="2"/>
    <s v="-"/>
    <s v="-"/>
    <n v="2"/>
    <n v="2"/>
    <s v="-"/>
    <n v="2"/>
    <n v="0"/>
    <n v="2"/>
    <x v="0"/>
    <s v="LORONG  7"/>
    <m/>
    <m/>
    <b v="1"/>
  </r>
  <r>
    <n v="95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7"/>
    <m/>
    <m/>
    <b v="1"/>
  </r>
  <r>
    <n v="96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7"/>
    <m/>
    <m/>
    <b v="1"/>
  </r>
  <r>
    <n v="97"/>
    <x v="12"/>
    <n v="2010"/>
    <s v="BH"/>
    <n v="5"/>
    <s v="-"/>
    <n v="1"/>
    <n v="5"/>
    <n v="5"/>
    <s v="-"/>
    <s v="-"/>
    <n v="5"/>
    <n v="5"/>
    <s v="-"/>
    <n v="5"/>
    <n v="0"/>
    <n v="5"/>
    <x v="0"/>
    <s v="LORONG  7"/>
    <m/>
    <m/>
    <b v="1"/>
  </r>
  <r>
    <n v="98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7"/>
    <m/>
    <d v="2025-04-16T00:00:00"/>
    <b v="1"/>
  </r>
  <r>
    <n v="99"/>
    <x v="0"/>
    <n v="2010"/>
    <s v="UNIT"/>
    <n v="8"/>
    <s v="-"/>
    <s v="-"/>
    <n v="8"/>
    <n v="7"/>
    <s v="-"/>
    <n v="1"/>
    <n v="8"/>
    <n v="7"/>
    <n v="1"/>
    <n v="7"/>
    <n v="1"/>
    <n v="8"/>
    <x v="0"/>
    <s v="LORONG  9"/>
    <s v="Divan 9A Rusak"/>
    <m/>
    <b v="1"/>
  </r>
  <r>
    <n v="100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9"/>
    <m/>
    <m/>
    <b v="1"/>
  </r>
  <r>
    <n v="101"/>
    <x v="2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9"/>
    <m/>
    <m/>
    <b v="1"/>
  </r>
  <r>
    <n v="102"/>
    <x v="3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9"/>
    <m/>
    <m/>
    <b v="1"/>
  </r>
  <r>
    <n v="103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9"/>
    <m/>
    <m/>
    <b v="1"/>
  </r>
  <r>
    <n v="104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9"/>
    <m/>
    <m/>
    <b v="1"/>
  </r>
  <r>
    <n v="105"/>
    <x v="14"/>
    <n v="2015"/>
    <s v="UNIT"/>
    <n v="4"/>
    <s v="-"/>
    <s v="-"/>
    <n v="4"/>
    <n v="4"/>
    <s v="-"/>
    <s v="-"/>
    <n v="4"/>
    <n v="4"/>
    <s v="-"/>
    <n v="4"/>
    <n v="0"/>
    <n v="4"/>
    <x v="0"/>
    <s v="LORONG  9"/>
    <m/>
    <m/>
    <b v="1"/>
  </r>
  <r>
    <n v="106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9"/>
    <m/>
    <m/>
    <b v="1"/>
  </r>
  <r>
    <n v="107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9"/>
    <m/>
    <m/>
    <b v="1"/>
  </r>
  <r>
    <n v="108"/>
    <x v="9"/>
    <n v="2010"/>
    <s v="HELAI"/>
    <n v="1"/>
    <s v="-"/>
    <s v="-"/>
    <n v="1"/>
    <n v="2"/>
    <s v="-"/>
    <s v="-"/>
    <n v="2"/>
    <n v="2"/>
    <s v="-"/>
    <n v="2"/>
    <n v="0"/>
    <n v="2"/>
    <x v="0"/>
    <s v="LORONG  9"/>
    <m/>
    <m/>
    <b v="1"/>
  </r>
  <r>
    <n v="109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9"/>
    <m/>
    <m/>
    <b v="1"/>
  </r>
  <r>
    <n v="110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9"/>
    <m/>
    <m/>
    <b v="1"/>
  </r>
  <r>
    <n v="111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9"/>
    <m/>
    <m/>
    <b v="1"/>
  </r>
  <r>
    <n v="112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9"/>
    <m/>
    <d v="2025-04-16T00:00:00"/>
    <b v="1"/>
  </r>
  <r>
    <n v="113"/>
    <x v="0"/>
    <n v="2010"/>
    <s v="UNIT"/>
    <n v="8"/>
    <s v="-"/>
    <s v="-"/>
    <n v="8"/>
    <n v="7"/>
    <s v="-"/>
    <n v="1"/>
    <n v="8"/>
    <n v="7"/>
    <n v="1"/>
    <n v="7"/>
    <n v="1"/>
    <n v="8"/>
    <x v="0"/>
    <s v="LORONG  10"/>
    <s v="10 A patah karena lapuk"/>
    <m/>
    <b v="1"/>
  </r>
  <r>
    <n v="114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10"/>
    <m/>
    <m/>
    <b v="1"/>
  </r>
  <r>
    <n v="115"/>
    <x v="2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10"/>
    <m/>
    <m/>
    <b v="1"/>
  </r>
  <r>
    <n v="116"/>
    <x v="3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10"/>
    <m/>
    <m/>
    <b v="1"/>
  </r>
  <r>
    <n v="117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10"/>
    <m/>
    <m/>
    <b v="1"/>
  </r>
  <r>
    <n v="118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10"/>
    <m/>
    <m/>
    <b v="1"/>
  </r>
  <r>
    <n v="119"/>
    <x v="14"/>
    <n v="2015"/>
    <s v="UNIT"/>
    <n v="4"/>
    <s v="-"/>
    <s v="-"/>
    <n v="4"/>
    <n v="4"/>
    <s v="-"/>
    <s v="-"/>
    <n v="4"/>
    <n v="4"/>
    <s v="-"/>
    <n v="4"/>
    <n v="0"/>
    <n v="4"/>
    <x v="0"/>
    <s v="LORONG  10"/>
    <m/>
    <m/>
    <b v="1"/>
  </r>
  <r>
    <n v="120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10"/>
    <m/>
    <m/>
    <b v="1"/>
  </r>
  <r>
    <n v="121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10"/>
    <m/>
    <m/>
    <b v="1"/>
  </r>
  <r>
    <n v="122"/>
    <x v="9"/>
    <n v="2010"/>
    <s v="HELAI"/>
    <n v="1"/>
    <s v="-"/>
    <s v="-"/>
    <n v="1"/>
    <n v="2"/>
    <s v="-"/>
    <s v="-"/>
    <n v="2"/>
    <n v="2"/>
    <s v="-"/>
    <n v="2"/>
    <n v="0"/>
    <n v="2"/>
    <x v="0"/>
    <s v="LORONG  10"/>
    <m/>
    <m/>
    <b v="1"/>
  </r>
  <r>
    <n v="123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10"/>
    <m/>
    <m/>
    <b v="1"/>
  </r>
  <r>
    <n v="124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10"/>
    <m/>
    <m/>
    <b v="1"/>
  </r>
  <r>
    <n v="125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10"/>
    <m/>
    <m/>
    <b v="1"/>
  </r>
  <r>
    <n v="126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10"/>
    <m/>
    <d v="2025-04-16T00:00:00"/>
    <b v="1"/>
  </r>
  <r>
    <n v="127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11"/>
    <m/>
    <m/>
    <b v="1"/>
  </r>
  <r>
    <n v="128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11"/>
    <m/>
    <m/>
    <b v="1"/>
  </r>
  <r>
    <n v="129"/>
    <x v="2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11"/>
    <m/>
    <m/>
    <b v="1"/>
  </r>
  <r>
    <n v="130"/>
    <x v="3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11"/>
    <m/>
    <m/>
    <b v="1"/>
  </r>
  <r>
    <n v="131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11"/>
    <m/>
    <m/>
    <b v="1"/>
  </r>
  <r>
    <n v="132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11"/>
    <m/>
    <m/>
    <b v="1"/>
  </r>
  <r>
    <n v="133"/>
    <x v="14"/>
    <n v="2015"/>
    <s v="UNIT"/>
    <n v="4"/>
    <s v="-"/>
    <s v="-"/>
    <n v="4"/>
    <n v="4"/>
    <s v="-"/>
    <s v="-"/>
    <n v="4"/>
    <n v="4"/>
    <s v="-"/>
    <n v="4"/>
    <n v="0"/>
    <n v="4"/>
    <x v="0"/>
    <s v="LORONG  11"/>
    <m/>
    <m/>
    <b v="1"/>
  </r>
  <r>
    <n v="134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11"/>
    <m/>
    <m/>
    <b v="1"/>
  </r>
  <r>
    <n v="135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11"/>
    <m/>
    <m/>
    <b v="1"/>
  </r>
  <r>
    <n v="136"/>
    <x v="9"/>
    <n v="2010"/>
    <s v="HELAI"/>
    <n v="1"/>
    <s v="-"/>
    <s v="-"/>
    <n v="1"/>
    <n v="0"/>
    <s v="-"/>
    <s v="-"/>
    <n v="0"/>
    <n v="0"/>
    <s v="-"/>
    <n v="0"/>
    <n v="0"/>
    <n v="0"/>
    <x v="0"/>
    <s v="LORONG  11"/>
    <m/>
    <m/>
    <b v="1"/>
  </r>
  <r>
    <n v="137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11"/>
    <m/>
    <m/>
    <b v="1"/>
  </r>
  <r>
    <n v="138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11"/>
    <m/>
    <m/>
    <b v="1"/>
  </r>
  <r>
    <n v="139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11"/>
    <m/>
    <m/>
    <b v="1"/>
  </r>
  <r>
    <n v="140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11"/>
    <m/>
    <d v="2025-04-16T00:00:00"/>
    <b v="1"/>
  </r>
  <r>
    <n v="141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12"/>
    <m/>
    <m/>
    <b v="1"/>
  </r>
  <r>
    <n v="142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12"/>
    <m/>
    <m/>
    <b v="1"/>
  </r>
  <r>
    <n v="143"/>
    <x v="2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12"/>
    <m/>
    <m/>
    <b v="1"/>
  </r>
  <r>
    <n v="144"/>
    <x v="3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12"/>
    <m/>
    <m/>
    <b v="1"/>
  </r>
  <r>
    <n v="145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12"/>
    <m/>
    <m/>
    <b v="1"/>
  </r>
  <r>
    <n v="146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12"/>
    <m/>
    <m/>
    <b v="1"/>
  </r>
  <r>
    <n v="147"/>
    <x v="14"/>
    <n v="2015"/>
    <s v="UNIT"/>
    <n v="4"/>
    <s v="-"/>
    <s v="-"/>
    <n v="4"/>
    <n v="4"/>
    <s v="-"/>
    <s v="-"/>
    <n v="4"/>
    <n v="4"/>
    <s v="-"/>
    <n v="4"/>
    <n v="0"/>
    <n v="4"/>
    <x v="0"/>
    <s v="LORONG  12"/>
    <m/>
    <m/>
    <b v="1"/>
  </r>
  <r>
    <n v="148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12"/>
    <m/>
    <m/>
    <b v="1"/>
  </r>
  <r>
    <n v="149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12"/>
    <m/>
    <m/>
    <b v="1"/>
  </r>
  <r>
    <n v="150"/>
    <x v="9"/>
    <n v="2010"/>
    <s v="HELAI"/>
    <n v="1"/>
    <s v="-"/>
    <s v="-"/>
    <n v="1"/>
    <n v="1"/>
    <s v="-"/>
    <s v="-"/>
    <n v="1"/>
    <n v="1"/>
    <s v="-"/>
    <n v="1"/>
    <n v="0"/>
    <n v="1"/>
    <x v="0"/>
    <s v="LORONG  12"/>
    <m/>
    <m/>
    <b v="1"/>
  </r>
  <r>
    <n v="151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12"/>
    <m/>
    <m/>
    <b v="1"/>
  </r>
  <r>
    <n v="152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12"/>
    <m/>
    <m/>
    <b v="1"/>
  </r>
  <r>
    <n v="153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12"/>
    <m/>
    <m/>
    <b v="1"/>
  </r>
  <r>
    <n v="154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12"/>
    <m/>
    <d v="2025-04-16T00:00:00"/>
    <b v="1"/>
  </r>
  <r>
    <n v="155"/>
    <x v="15"/>
    <m/>
    <s v="SET"/>
    <n v="6"/>
    <s v="-"/>
    <s v="-"/>
    <n v="6"/>
    <n v="6"/>
    <s v="-"/>
    <s v="-"/>
    <n v="6"/>
    <n v="6"/>
    <s v="-"/>
    <n v="6"/>
    <n v="0"/>
    <n v="6"/>
    <x v="1"/>
    <s v="DI TERAS MESS"/>
    <m/>
    <m/>
    <b v="1"/>
  </r>
  <r>
    <n v="156"/>
    <x v="14"/>
    <n v="2015"/>
    <s v="UNIT"/>
    <n v="2"/>
    <s v="-"/>
    <s v="-"/>
    <n v="2"/>
    <n v="2"/>
    <s v="-"/>
    <s v="-"/>
    <n v="2"/>
    <n v="2"/>
    <s v="-"/>
    <n v="2"/>
    <n v="0"/>
    <n v="2"/>
    <x v="2"/>
    <s v="DAPUR"/>
    <m/>
    <m/>
    <b v="1"/>
  </r>
  <r>
    <n v="157"/>
    <x v="16"/>
    <n v="2010"/>
    <s v="UNIT"/>
    <n v="8"/>
    <s v="-"/>
    <s v="-"/>
    <n v="8"/>
    <n v="8"/>
    <s v="-"/>
    <s v="-"/>
    <n v="8"/>
    <n v="8"/>
    <s v="-"/>
    <n v="8"/>
    <n v="0"/>
    <n v="8"/>
    <x v="2"/>
    <s v="DAPUR"/>
    <m/>
    <m/>
    <b v="1"/>
  </r>
  <r>
    <n v="158"/>
    <x v="17"/>
    <n v="2010"/>
    <s v="UNIT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59"/>
    <x v="18"/>
    <n v="2010"/>
    <s v="UNIT"/>
    <n v="42"/>
    <s v="-"/>
    <s v="-"/>
    <n v="42"/>
    <n v="48"/>
    <s v="-"/>
    <s v="-"/>
    <n v="48"/>
    <n v="48"/>
    <s v="-"/>
    <n v="48"/>
    <n v="0"/>
    <n v="48"/>
    <x v="2"/>
    <s v="DAPUR"/>
    <m/>
    <m/>
    <b v="1"/>
  </r>
  <r>
    <n v="160"/>
    <x v="19"/>
    <n v="2010"/>
    <s v="HELAI"/>
    <n v="7"/>
    <s v="-"/>
    <s v="-"/>
    <n v="7"/>
    <n v="5"/>
    <s v="-"/>
    <s v="-"/>
    <n v="5"/>
    <n v="5"/>
    <s v="-"/>
    <n v="0"/>
    <n v="0"/>
    <n v="0"/>
    <x v="2"/>
    <s v="DAPUR"/>
    <m/>
    <m/>
    <b v="0"/>
  </r>
  <r>
    <n v="161"/>
    <x v="20"/>
    <n v="2010"/>
    <s v="PCS"/>
    <n v="5"/>
    <s v="-"/>
    <s v="-"/>
    <n v="5"/>
    <n v="8"/>
    <s v="-"/>
    <s v="-"/>
    <n v="8"/>
    <n v="8"/>
    <s v="-"/>
    <n v="8"/>
    <n v="0"/>
    <n v="8"/>
    <x v="2"/>
    <s v="DAPUR"/>
    <m/>
    <d v="2025-08-18T00:00:00"/>
    <b v="1"/>
  </r>
  <r>
    <n v="162"/>
    <x v="21"/>
    <n v="2010"/>
    <s v="BH"/>
    <n v="61"/>
    <s v="-"/>
    <s v="-"/>
    <n v="61"/>
    <n v="61"/>
    <s v="-"/>
    <s v="-"/>
    <n v="61"/>
    <n v="61"/>
    <s v="-"/>
    <n v="61"/>
    <n v="0"/>
    <n v="61"/>
    <x v="2"/>
    <s v="DAPUR"/>
    <m/>
    <m/>
    <b v="1"/>
  </r>
  <r>
    <n v="163"/>
    <x v="22"/>
    <n v="2010"/>
    <s v="BH"/>
    <n v="40"/>
    <s v="-"/>
    <s v="-"/>
    <n v="40"/>
    <n v="41"/>
    <s v="-"/>
    <s v="-"/>
    <n v="41"/>
    <n v="41"/>
    <s v="-"/>
    <n v="41"/>
    <n v="0"/>
    <n v="41"/>
    <x v="2"/>
    <s v="DAPUR"/>
    <m/>
    <m/>
    <b v="1"/>
  </r>
  <r>
    <n v="164"/>
    <x v="23"/>
    <s v="2010 &amp; 2025"/>
    <s v="BH"/>
    <n v="37"/>
    <s v="-"/>
    <s v="-"/>
    <n v="37"/>
    <n v="113"/>
    <s v="-"/>
    <n v="7"/>
    <n v="120"/>
    <n v="113"/>
    <n v="7"/>
    <n v="113"/>
    <n v="0"/>
    <n v="113"/>
    <x v="2"/>
    <s v="DAPUR"/>
    <m/>
    <d v="2025-05-14T00:00:00"/>
    <b v="1"/>
  </r>
  <r>
    <n v="165"/>
    <x v="24"/>
    <n v="2010"/>
    <s v="BH"/>
    <n v="8"/>
    <s v="-"/>
    <s v="-"/>
    <n v="8"/>
    <n v="8"/>
    <s v="-"/>
    <s v="-"/>
    <n v="8"/>
    <n v="8"/>
    <s v="-"/>
    <n v="3"/>
    <n v="5"/>
    <n v="8"/>
    <x v="2"/>
    <s v="DAPUR"/>
    <m/>
    <m/>
    <b v="0"/>
  </r>
  <r>
    <n v="166"/>
    <x v="25"/>
    <s v="2010 &amp; 2017"/>
    <s v="BH"/>
    <n v="27"/>
    <s v="-"/>
    <s v="-"/>
    <n v="27"/>
    <n v="234"/>
    <s v="-"/>
    <s v="-"/>
    <n v="234"/>
    <n v="234"/>
    <s v="-"/>
    <n v="216"/>
    <n v="18"/>
    <n v="234"/>
    <x v="2"/>
    <s v="DAPUR"/>
    <s v="18 Bh Hilang"/>
    <s v="12-Apr-25 (60 Bh)_x000a_14-Mei-25 (144 Bh)"/>
    <b v="0"/>
  </r>
  <r>
    <n v="167"/>
    <x v="26"/>
    <s v="2010 &amp; 2017"/>
    <s v="BH"/>
    <n v="32"/>
    <s v="-"/>
    <s v="-"/>
    <n v="32"/>
    <n v="5"/>
    <s v="-"/>
    <s v="-"/>
    <n v="5"/>
    <n v="5"/>
    <s v="-"/>
    <n v="0"/>
    <n v="0"/>
    <n v="0"/>
    <x v="2"/>
    <s v="DAPUR"/>
    <s v="5 Bh Hilang"/>
    <m/>
    <b v="0"/>
  </r>
  <r>
    <n v="168"/>
    <x v="27"/>
    <s v="2010 &amp;"/>
    <s v="BH"/>
    <n v="26"/>
    <s v="-"/>
    <s v="-"/>
    <n v="26"/>
    <n v="26"/>
    <s v="-"/>
    <n v="3"/>
    <n v="29"/>
    <n v="26"/>
    <n v="3"/>
    <n v="22"/>
    <n v="4"/>
    <n v="26"/>
    <x v="2"/>
    <s v="DAPUR"/>
    <m/>
    <m/>
    <b v="0"/>
  </r>
  <r>
    <n v="169"/>
    <x v="28"/>
    <n v="2025"/>
    <s v="BH"/>
    <s v="-"/>
    <s v="-"/>
    <s v="-"/>
    <s v="-"/>
    <n v="80"/>
    <s v="-"/>
    <s v="-"/>
    <n v="80"/>
    <n v="80"/>
    <s v="-"/>
    <n v="76"/>
    <n v="4"/>
    <n v="80"/>
    <x v="2"/>
    <s v="DAPUR"/>
    <m/>
    <d v="2025-05-14T00:00:00"/>
    <b v="0"/>
  </r>
  <r>
    <n v="170"/>
    <x v="29"/>
    <s v="2010 &amp; 2024"/>
    <s v="BH"/>
    <n v="6"/>
    <s v="-"/>
    <s v="-"/>
    <n v="6"/>
    <n v="4"/>
    <s v="-"/>
    <n v="2"/>
    <n v="6"/>
    <n v="4"/>
    <n v="2"/>
    <n v="2"/>
    <n v="2"/>
    <n v="4"/>
    <x v="2"/>
    <s v="DAPUR"/>
    <m/>
    <m/>
    <b v="0"/>
  </r>
  <r>
    <n v="171"/>
    <x v="30"/>
    <n v="2015"/>
    <s v="BH"/>
    <n v="9"/>
    <s v="-"/>
    <s v="-"/>
    <n v="9"/>
    <n v="9"/>
    <s v="-"/>
    <s v="-"/>
    <n v="9"/>
    <n v="9"/>
    <s v="-"/>
    <n v="9"/>
    <n v="0"/>
    <n v="9"/>
    <x v="2"/>
    <s v="DAPUR"/>
    <m/>
    <m/>
    <b v="1"/>
  </r>
  <r>
    <n v="172"/>
    <x v="31"/>
    <n v="2010"/>
    <s v="BH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73"/>
    <x v="32"/>
    <n v="2010"/>
    <s v="BH"/>
    <n v="5"/>
    <s v="-"/>
    <s v="-"/>
    <n v="5"/>
    <n v="5"/>
    <s v="-"/>
    <s v="-"/>
    <n v="5"/>
    <n v="5"/>
    <s v="-"/>
    <n v="5"/>
    <n v="0"/>
    <n v="5"/>
    <x v="2"/>
    <s v="DAPUR"/>
    <m/>
    <m/>
    <b v="1"/>
  </r>
  <r>
    <n v="174"/>
    <x v="33"/>
    <n v="2010"/>
    <s v="BH"/>
    <n v="2"/>
    <s v="-"/>
    <s v="-"/>
    <n v="2"/>
    <n v="2"/>
    <s v="-"/>
    <s v="-"/>
    <n v="2"/>
    <n v="2"/>
    <s v="-"/>
    <n v="2"/>
    <n v="0"/>
    <n v="2"/>
    <x v="2"/>
    <s v="DAPUR"/>
    <m/>
    <m/>
    <b v="1"/>
  </r>
  <r>
    <n v="175"/>
    <x v="34"/>
    <n v="2010"/>
    <s v="BH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76"/>
    <x v="35"/>
    <n v="2010"/>
    <s v="BH"/>
    <n v="1"/>
    <s v="-"/>
    <s v="-"/>
    <n v="1"/>
    <n v="0"/>
    <s v="-"/>
    <n v="1"/>
    <n v="1"/>
    <n v="0"/>
    <n v="1"/>
    <n v="0"/>
    <n v="1"/>
    <n v="1"/>
    <x v="2"/>
    <s v="DAPUR"/>
    <s v="Peyot"/>
    <m/>
    <b v="1"/>
  </r>
  <r>
    <n v="177"/>
    <x v="36"/>
    <s v="2010 &amp; 2018"/>
    <s v="UNIT"/>
    <n v="2"/>
    <s v="-"/>
    <s v="-"/>
    <n v="2"/>
    <n v="3"/>
    <s v="-"/>
    <s v="-"/>
    <n v="3"/>
    <n v="3"/>
    <s v="-"/>
    <n v="3"/>
    <n v="0"/>
    <n v="3"/>
    <x v="2"/>
    <s v="DAPUR"/>
    <m/>
    <m/>
    <b v="1"/>
  </r>
  <r>
    <n v="178"/>
    <x v="37"/>
    <s v="2010 &amp; 2025"/>
    <s v="BH"/>
    <n v="1"/>
    <s v="-"/>
    <s v="-"/>
    <n v="1"/>
    <n v="2"/>
    <s v="-"/>
    <s v="-"/>
    <n v="2"/>
    <n v="2"/>
    <s v="-"/>
    <n v="2"/>
    <n v="0"/>
    <n v="2"/>
    <x v="2"/>
    <s v="DAPUR"/>
    <m/>
    <d v="2025-04-09T00:00:00"/>
    <b v="1"/>
  </r>
  <r>
    <n v="179"/>
    <x v="38"/>
    <n v="2010"/>
    <s v="BH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80"/>
    <x v="39"/>
    <n v="2010"/>
    <s v="TBG"/>
    <n v="5"/>
    <s v="-"/>
    <s v="-"/>
    <n v="5"/>
    <n v="5"/>
    <s v="-"/>
    <s v="-"/>
    <n v="5"/>
    <n v="5"/>
    <s v="-"/>
    <n v="5"/>
    <n v="0"/>
    <n v="5"/>
    <x v="2"/>
    <s v="DAPUR"/>
    <m/>
    <m/>
    <b v="1"/>
  </r>
  <r>
    <n v="181"/>
    <x v="40"/>
    <n v="2014"/>
    <s v="UNIT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82"/>
    <x v="41"/>
    <n v="2010"/>
    <s v="BH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83"/>
    <x v="42"/>
    <n v="2018"/>
    <s v="BH"/>
    <n v="10"/>
    <s v="-"/>
    <s v="-"/>
    <n v="10"/>
    <n v="0"/>
    <n v="10"/>
    <s v="-"/>
    <n v="10"/>
    <n v="0"/>
    <s v="-"/>
    <n v="0"/>
    <n v="10"/>
    <n v="10"/>
    <x v="2"/>
    <s v="DAPUR"/>
    <s v="Bocor"/>
    <m/>
    <b v="1"/>
  </r>
  <r>
    <n v="184"/>
    <x v="43"/>
    <n v="2010"/>
    <s v="BH"/>
    <n v="2"/>
    <s v="-"/>
    <s v="-"/>
    <n v="2"/>
    <n v="0"/>
    <s v="-"/>
    <n v="2"/>
    <n v="2"/>
    <n v="0"/>
    <n v="2"/>
    <n v="0"/>
    <n v="2"/>
    <n v="2"/>
    <x v="2"/>
    <s v="DAPUR"/>
    <s v="Keropos"/>
    <m/>
    <b v="1"/>
  </r>
  <r>
    <n v="185"/>
    <x v="44"/>
    <n v="2025"/>
    <s v="BH"/>
    <s v="-"/>
    <s v="-"/>
    <s v="-"/>
    <s v="-"/>
    <n v="1"/>
    <s v="-"/>
    <s v="-"/>
    <n v="1"/>
    <n v="1"/>
    <s v="-"/>
    <n v="1"/>
    <n v="0"/>
    <n v="1"/>
    <x v="2"/>
    <s v="DAPUR"/>
    <m/>
    <d v="2025-04-16T00:00:00"/>
    <b v="1"/>
  </r>
  <r>
    <n v="186"/>
    <x v="45"/>
    <n v="2010"/>
    <s v="UNIT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87"/>
    <x v="46"/>
    <n v="2018"/>
    <s v="UNIT"/>
    <n v="2"/>
    <s v="-"/>
    <s v="-"/>
    <n v="2"/>
    <n v="2"/>
    <s v="-"/>
    <s v="-"/>
    <n v="2"/>
    <n v="2"/>
    <s v="-"/>
    <n v="2"/>
    <n v="0"/>
    <n v="2"/>
    <x v="2"/>
    <s v="DAPUR"/>
    <m/>
    <m/>
    <b v="1"/>
  </r>
  <r>
    <n v="188"/>
    <x v="47"/>
    <s v="2010 &amp; 2025"/>
    <s v="BH"/>
    <n v="2"/>
    <s v="-"/>
    <s v="-"/>
    <n v="2"/>
    <n v="2"/>
    <s v="-"/>
    <n v="2"/>
    <n v="4"/>
    <n v="2"/>
    <n v="2"/>
    <n v="2"/>
    <n v="0"/>
    <n v="2"/>
    <x v="2"/>
    <s v="DAPUR"/>
    <m/>
    <d v="2025-04-25T00:00:00"/>
    <b v="1"/>
  </r>
  <r>
    <n v="189"/>
    <x v="48"/>
    <s v="2010 &amp; 2018"/>
    <s v="BH"/>
    <n v="62"/>
    <s v="-"/>
    <s v="-"/>
    <n v="62"/>
    <n v="62"/>
    <s v="-"/>
    <s v="-"/>
    <n v="62"/>
    <n v="62"/>
    <s v="-"/>
    <n v="62"/>
    <n v="0"/>
    <n v="62"/>
    <x v="2"/>
    <s v="DAPUR"/>
    <m/>
    <m/>
    <b v="1"/>
  </r>
  <r>
    <n v="190"/>
    <x v="49"/>
    <n v="2010"/>
    <s v="BH"/>
    <n v="2"/>
    <s v="-"/>
    <s v="-"/>
    <n v="2"/>
    <n v="2"/>
    <s v="-"/>
    <s v="-"/>
    <n v="2"/>
    <n v="2"/>
    <s v="-"/>
    <n v="1"/>
    <n v="1"/>
    <n v="2"/>
    <x v="2"/>
    <s v="DAPUR"/>
    <s v="Pecah"/>
    <m/>
    <b v="0"/>
  </r>
  <r>
    <n v="191"/>
    <x v="50"/>
    <n v="2010"/>
    <s v="BH"/>
    <n v="1"/>
    <s v="-"/>
    <s v="-"/>
    <n v="1"/>
    <n v="0"/>
    <s v="-"/>
    <n v="1"/>
    <n v="1"/>
    <n v="0"/>
    <n v="1"/>
    <n v="0"/>
    <n v="1"/>
    <n v="1"/>
    <x v="2"/>
    <s v="DAPUR"/>
    <s v="Pecah"/>
    <m/>
    <b v="1"/>
  </r>
  <r>
    <n v="192"/>
    <x v="51"/>
    <n v="2021"/>
    <s v="UNIT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93"/>
    <x v="52"/>
    <n v="2021"/>
    <s v="UNIT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94"/>
    <x v="53"/>
    <m/>
    <s v="BH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95"/>
    <x v="54"/>
    <n v="2024"/>
    <s v="UNIT"/>
    <n v="1"/>
    <s v="-"/>
    <s v="-"/>
    <n v="1"/>
    <n v="1"/>
    <s v="-"/>
    <s v="-"/>
    <n v="1"/>
    <n v="1"/>
    <s v="-"/>
    <n v="0"/>
    <n v="1"/>
    <n v="1"/>
    <x v="2"/>
    <s v="DAPUR"/>
    <s v="Rusak"/>
    <m/>
    <b v="0"/>
  </r>
  <r>
    <n v="196"/>
    <x v="55"/>
    <n v="2025"/>
    <s v="BH"/>
    <s v="-"/>
    <s v="-"/>
    <s v="-"/>
    <s v="-"/>
    <n v="2"/>
    <s v="-"/>
    <s v="-"/>
    <n v="2"/>
    <n v="2"/>
    <s v="-"/>
    <n v="2"/>
    <n v="0"/>
    <n v="2"/>
    <x v="2"/>
    <s v="DAPUR"/>
    <m/>
    <d v="2025-05-14T00:00:00"/>
    <b v="1"/>
  </r>
  <r>
    <n v="197"/>
    <x v="56"/>
    <n v="2025"/>
    <s v="BH"/>
    <s v="-"/>
    <s v="-"/>
    <s v="-"/>
    <s v="-"/>
    <n v="1"/>
    <s v="-"/>
    <s v="-"/>
    <n v="1"/>
    <n v="1"/>
    <s v="-"/>
    <n v="1"/>
    <n v="0"/>
    <n v="1"/>
    <x v="2"/>
    <s v="DAPUR"/>
    <m/>
    <d v="2025-08-18T00:00:00"/>
    <b v="1"/>
  </r>
  <r>
    <n v="198"/>
    <x v="57"/>
    <n v="2025"/>
    <s v="BH"/>
    <s v="-"/>
    <s v="-"/>
    <s v="-"/>
    <s v="-"/>
    <n v="1"/>
    <s v="-"/>
    <s v="-"/>
    <n v="1"/>
    <n v="1"/>
    <s v="-"/>
    <n v="1"/>
    <n v="0"/>
    <n v="1"/>
    <x v="2"/>
    <s v="DAPUR"/>
    <m/>
    <d v="2025-08-18T00:00:00"/>
    <b v="1"/>
  </r>
  <r>
    <n v="199"/>
    <x v="58"/>
    <n v="2021"/>
    <s v="UNIT"/>
    <n v="1"/>
    <s v="-"/>
    <s v="-"/>
    <n v="1"/>
    <n v="1"/>
    <s v="-"/>
    <s v="-"/>
    <n v="1"/>
    <n v="1"/>
    <s v="-"/>
    <n v="1"/>
    <n v="0"/>
    <n v="1"/>
    <x v="3"/>
    <s v="LAUNDRY"/>
    <s v="Sudah Layak ganti"/>
    <m/>
    <b v="1"/>
  </r>
  <r>
    <n v="200"/>
    <x v="59"/>
    <n v="2010"/>
    <s v="BH"/>
    <n v="4"/>
    <s v="-"/>
    <n v="1"/>
    <n v="4"/>
    <n v="2"/>
    <s v="-"/>
    <n v="2"/>
    <n v="4"/>
    <n v="2"/>
    <n v="2"/>
    <n v="0"/>
    <n v="2"/>
    <n v="2"/>
    <x v="3"/>
    <s v="LAUNDRY"/>
    <s v="Bocor"/>
    <m/>
    <b v="0"/>
  </r>
  <r>
    <n v="201"/>
    <x v="60"/>
    <n v="2024"/>
    <s v="BH"/>
    <n v="15"/>
    <s v="-"/>
    <s v="-"/>
    <n v="15"/>
    <n v="15"/>
    <s v="-"/>
    <s v="-"/>
    <n v="15"/>
    <n v="15"/>
    <s v="-"/>
    <n v="15"/>
    <n v="0"/>
    <n v="15"/>
    <x v="3"/>
    <s v="LAUNDRY"/>
    <m/>
    <m/>
    <b v="1"/>
  </r>
  <r>
    <n v="202"/>
    <x v="61"/>
    <n v="2010"/>
    <s v="BH"/>
    <n v="4"/>
    <s v="-"/>
    <s v="-"/>
    <n v="4"/>
    <n v="4"/>
    <s v="-"/>
    <s v="-"/>
    <n v="4"/>
    <n v="4"/>
    <s v="-"/>
    <n v="0"/>
    <n v="4"/>
    <n v="4"/>
    <x v="3"/>
    <s v="LAUNDRY"/>
    <m/>
    <m/>
    <b v="0"/>
  </r>
  <r>
    <n v="203"/>
    <x v="62"/>
    <n v="2024"/>
    <s v="UNIT"/>
    <n v="2"/>
    <s v="-"/>
    <s v="-"/>
    <n v="2"/>
    <n v="2"/>
    <s v="-"/>
    <s v="-"/>
    <n v="2"/>
    <n v="2"/>
    <s v="-"/>
    <n v="2"/>
    <n v="0"/>
    <n v="2"/>
    <x v="3"/>
    <s v="LAUNDRY"/>
    <m/>
    <m/>
    <b v="1"/>
  </r>
  <r>
    <n v="204"/>
    <x v="3"/>
    <n v="2018"/>
    <s v="HELAI"/>
    <n v="29"/>
    <s v="-"/>
    <s v="-"/>
    <n v="29"/>
    <n v="56"/>
    <s v="-"/>
    <n v="10"/>
    <n v="66"/>
    <n v="56"/>
    <n v="10"/>
    <n v="56"/>
    <n v="10"/>
    <n v="66"/>
    <x v="3"/>
    <s v="LEMARI EXECUTIVE"/>
    <m/>
    <m/>
    <b v="1"/>
  </r>
  <r>
    <n v="205"/>
    <x v="63"/>
    <n v="2016"/>
    <s v="HELAI"/>
    <m/>
    <m/>
    <m/>
    <m/>
    <n v="6"/>
    <s v="-"/>
    <s v="-"/>
    <n v="6"/>
    <n v="6"/>
    <s v="-"/>
    <n v="6"/>
    <n v="0"/>
    <n v="6"/>
    <x v="3"/>
    <s v="LEMARI EXECUTIVE"/>
    <m/>
    <m/>
    <b v="1"/>
  </r>
  <r>
    <n v="206"/>
    <x v="64"/>
    <n v="2010"/>
    <s v="HELAI"/>
    <m/>
    <m/>
    <m/>
    <m/>
    <n v="18"/>
    <s v="-"/>
    <s v="-"/>
    <n v="18"/>
    <n v="18"/>
    <s v="-"/>
    <n v="18"/>
    <n v="0"/>
    <n v="18"/>
    <x v="3"/>
    <s v="LEMARI EXECUTIVE"/>
    <m/>
    <m/>
    <b v="1"/>
  </r>
  <r>
    <n v="207"/>
    <x v="18"/>
    <n v="2010"/>
    <s v="BH"/>
    <n v="30"/>
    <s v="-"/>
    <s v="-"/>
    <n v="30"/>
    <n v="33"/>
    <s v="-"/>
    <s v="-"/>
    <n v="33"/>
    <n v="33"/>
    <s v="-"/>
    <n v="33"/>
    <n v="0"/>
    <n v="33"/>
    <x v="4"/>
    <s v="EXECUTIVE RUANG TAMU DAN MAKAN"/>
    <m/>
    <m/>
    <b v="1"/>
  </r>
  <r>
    <n v="208"/>
    <x v="65"/>
    <n v="2010"/>
    <s v="BH"/>
    <n v="4"/>
    <s v="-"/>
    <s v="-"/>
    <n v="4"/>
    <n v="4"/>
    <s v="-"/>
    <s v="-"/>
    <n v="4"/>
    <n v="4"/>
    <s v="-"/>
    <n v="4"/>
    <n v="0"/>
    <n v="4"/>
    <x v="4"/>
    <s v="EXECUTIVE RUANG TAMU DAN MAKAN"/>
    <m/>
    <m/>
    <b v="1"/>
  </r>
  <r>
    <n v="209"/>
    <x v="66"/>
    <n v="2018"/>
    <s v="HELAI"/>
    <n v="4"/>
    <s v="-"/>
    <s v="-"/>
    <n v="4"/>
    <n v="4"/>
    <s v="-"/>
    <s v="-"/>
    <n v="4"/>
    <n v="4"/>
    <s v="-"/>
    <n v="4"/>
    <n v="0"/>
    <n v="4"/>
    <x v="4"/>
    <s v="EXECUTIVE RUANG TAMU DAN MAKAN"/>
    <m/>
    <m/>
    <b v="1"/>
  </r>
  <r>
    <n v="210"/>
    <x v="67"/>
    <n v="2018"/>
    <s v="HELAI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11"/>
    <x v="68"/>
    <n v="2010"/>
    <s v="BH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12"/>
    <x v="69"/>
    <n v="2010"/>
    <s v="SET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13"/>
    <x v="70"/>
    <n v="2010"/>
    <s v="SET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14"/>
    <x v="71"/>
    <m/>
    <s v="BH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15"/>
    <x v="72"/>
    <n v="2010"/>
    <s v="UNIT"/>
    <n v="3"/>
    <s v="-"/>
    <s v="-"/>
    <n v="3"/>
    <n v="3"/>
    <s v="-"/>
    <s v="-"/>
    <n v="3"/>
    <n v="3"/>
    <s v="-"/>
    <n v="3"/>
    <n v="0"/>
    <n v="3"/>
    <x v="4"/>
    <s v="EXECUTIVE RUANG TAMU DAN MAKAN"/>
    <m/>
    <m/>
    <b v="1"/>
  </r>
  <r>
    <n v="216"/>
    <x v="73"/>
    <n v="2010"/>
    <s v="BH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17"/>
    <x v="7"/>
    <n v="2010"/>
    <s v="SET"/>
    <n v="3"/>
    <s v="-"/>
    <s v="-"/>
    <n v="3"/>
    <n v="3"/>
    <s v="-"/>
    <s v="-"/>
    <n v="3"/>
    <n v="3"/>
    <s v="-"/>
    <n v="3"/>
    <n v="0"/>
    <n v="3"/>
    <x v="4"/>
    <s v="EXECUTIVE RUANG TAMU DAN MAKAN"/>
    <m/>
    <m/>
    <b v="1"/>
  </r>
  <r>
    <n v="218"/>
    <x v="74"/>
    <n v="2010"/>
    <s v="UNIT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19"/>
    <x v="53"/>
    <m/>
    <s v="UNIT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20"/>
    <x v="45"/>
    <n v="2010"/>
    <s v="UNIT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21"/>
    <x v="75"/>
    <n v="2018"/>
    <s v="UNIT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22"/>
    <x v="11"/>
    <n v="2010"/>
    <s v="BH"/>
    <n v="2"/>
    <s v="-"/>
    <s v="-"/>
    <n v="2"/>
    <n v="2"/>
    <s v="-"/>
    <s v="-"/>
    <n v="2"/>
    <n v="2"/>
    <s v="-"/>
    <n v="2"/>
    <n v="0"/>
    <n v="2"/>
    <x v="4"/>
    <s v="EXECUTIVE RUANG TAMU DAN MAKAN"/>
    <m/>
    <m/>
    <b v="1"/>
  </r>
  <r>
    <n v="223"/>
    <x v="12"/>
    <n v="2010"/>
    <s v="BH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24"/>
    <x v="76"/>
    <n v="2010"/>
    <s v="UNIT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25"/>
    <x v="77"/>
    <n v="2015"/>
    <s v="UNIT"/>
    <n v="2"/>
    <s v="-"/>
    <s v="-"/>
    <n v="2"/>
    <n v="2"/>
    <s v="-"/>
    <s v="-"/>
    <n v="2"/>
    <n v="2"/>
    <s v="-"/>
    <n v="2"/>
    <n v="0"/>
    <n v="2"/>
    <x v="4"/>
    <s v="KAMAR EXECUTIVE 1"/>
    <m/>
    <m/>
    <b v="1"/>
  </r>
  <r>
    <n v="226"/>
    <x v="2"/>
    <n v="2010"/>
    <s v="HELAI"/>
    <n v="2"/>
    <s v="-"/>
    <s v="-"/>
    <n v="2"/>
    <n v="2"/>
    <s v="-"/>
    <s v="-"/>
    <n v="2"/>
    <n v="2"/>
    <s v="-"/>
    <n v="2"/>
    <n v="0"/>
    <n v="2"/>
    <x v="4"/>
    <s v="KAMAR EXECUTIVE 1"/>
    <m/>
    <m/>
    <b v="1"/>
  </r>
  <r>
    <n v="227"/>
    <x v="4"/>
    <n v="2010"/>
    <s v="BH"/>
    <n v="2"/>
    <s v="-"/>
    <s v="-"/>
    <n v="2"/>
    <n v="2"/>
    <s v="-"/>
    <s v="-"/>
    <n v="2"/>
    <n v="2"/>
    <s v="-"/>
    <n v="2"/>
    <n v="0"/>
    <n v="2"/>
    <x v="4"/>
    <s v="KAMAR EXECUTIVE 1"/>
    <m/>
    <m/>
    <b v="1"/>
  </r>
  <r>
    <n v="228"/>
    <x v="64"/>
    <n v="2010"/>
    <s v="HELAI"/>
    <n v="2"/>
    <s v="-"/>
    <s v="-"/>
    <n v="2"/>
    <n v="2"/>
    <s v="-"/>
    <s v="-"/>
    <n v="2"/>
    <n v="2"/>
    <s v="-"/>
    <n v="2"/>
    <n v="0"/>
    <n v="2"/>
    <x v="4"/>
    <s v="KAMAR EXECUTIVE 1"/>
    <m/>
    <m/>
    <b v="1"/>
  </r>
  <r>
    <n v="229"/>
    <x v="78"/>
    <n v="2010"/>
    <s v="UNIT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0"/>
    <x v="79"/>
    <n v="2010"/>
    <s v="UNIT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1"/>
    <x v="10"/>
    <n v="2018"/>
    <s v="BH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2"/>
    <x v="80"/>
    <n v="2010"/>
    <s v="UNIT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3"/>
    <x v="9"/>
    <n v="2010"/>
    <s v="HELAI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4"/>
    <x v="8"/>
    <n v="2010"/>
    <s v="BH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5"/>
    <x v="72"/>
    <n v="2010"/>
    <s v="UNIT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6"/>
    <x v="7"/>
    <n v="2010"/>
    <s v="SET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7"/>
    <x v="73"/>
    <n v="2010"/>
    <s v="BH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8"/>
    <x v="11"/>
    <n v="2010"/>
    <s v="BH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9"/>
    <x v="12"/>
    <n v="2010"/>
    <s v="BH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40"/>
    <x v="76"/>
    <n v="2010"/>
    <s v="UNIT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41"/>
    <x v="81"/>
    <n v="2010"/>
    <s v="UNIT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42"/>
    <x v="2"/>
    <n v="2016"/>
    <s v="HELAI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43"/>
    <x v="82"/>
    <n v="2010"/>
    <s v="BH"/>
    <n v="3"/>
    <s v="-"/>
    <s v="-"/>
    <n v="3"/>
    <n v="3"/>
    <s v="-"/>
    <s v="-"/>
    <n v="3"/>
    <n v="3"/>
    <s v="-"/>
    <n v="3"/>
    <n v="0"/>
    <n v="3"/>
    <x v="4"/>
    <s v="KAMAR EXECUTIVE 2"/>
    <m/>
    <m/>
    <b v="1"/>
  </r>
  <r>
    <n v="244"/>
    <x v="83"/>
    <n v="2010"/>
    <s v="HELAI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45"/>
    <x v="78"/>
    <n v="2010"/>
    <s v="UNIT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46"/>
    <x v="79"/>
    <n v="2010"/>
    <s v="UNIT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47"/>
    <x v="10"/>
    <n v="2018"/>
    <s v="BH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48"/>
    <x v="80"/>
    <n v="2010"/>
    <s v="UNIT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49"/>
    <x v="9"/>
    <n v="2010"/>
    <s v="HELAI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50"/>
    <x v="8"/>
    <n v="2010"/>
    <s v="BH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51"/>
    <x v="72"/>
    <n v="2010"/>
    <s v="UNIT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52"/>
    <x v="7"/>
    <n v="2010"/>
    <s v="SET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53"/>
    <x v="73"/>
    <n v="2010"/>
    <s v="BH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54"/>
    <x v="11"/>
    <n v="2010"/>
    <s v="BH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55"/>
    <x v="12"/>
    <n v="2010"/>
    <s v="BH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56"/>
    <x v="84"/>
    <n v="2010"/>
    <s v="BH"/>
    <n v="1"/>
    <s v="-"/>
    <s v="-"/>
    <n v="1"/>
    <n v="0"/>
    <s v="-"/>
    <s v="-"/>
    <n v="0"/>
    <n v="0"/>
    <s v="-"/>
    <n v="0"/>
    <n v="0"/>
    <n v="0"/>
    <x v="4"/>
    <s v="KAMAR EXECUTIVE 2"/>
    <m/>
    <m/>
    <b v="1"/>
  </r>
  <r>
    <n v="257"/>
    <x v="85"/>
    <m/>
    <s v="UNIT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58"/>
    <x v="86"/>
    <n v="2024"/>
    <s v="UNIT"/>
    <n v="1"/>
    <s v="-"/>
    <s v="-"/>
    <n v="1"/>
    <n v="1"/>
    <s v="-"/>
    <s v="-"/>
    <n v="1"/>
    <n v="1"/>
    <s v="-"/>
    <n v="1"/>
    <n v="0"/>
    <n v="1"/>
    <x v="4"/>
    <s v="DALAM LEMARI EXECUTIVE"/>
    <m/>
    <m/>
    <b v="1"/>
  </r>
  <r>
    <n v="259"/>
    <x v="76"/>
    <n v="2010"/>
    <s v="UNIT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60"/>
    <x v="81"/>
    <n v="2010"/>
    <s v="UNIT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61"/>
    <x v="2"/>
    <n v="2016"/>
    <s v="HELAI"/>
    <n v="1"/>
    <s v="-"/>
    <s v="-"/>
    <n v="1"/>
    <n v="0"/>
    <s v="-"/>
    <n v="1"/>
    <n v="1"/>
    <n v="0"/>
    <n v="1"/>
    <n v="0"/>
    <n v="1"/>
    <n v="1"/>
    <x v="4"/>
    <s v="KAMAR EXECUTIVE 3"/>
    <s v="Robek"/>
    <m/>
    <b v="1"/>
  </r>
  <r>
    <n v="262"/>
    <x v="82"/>
    <n v="2010"/>
    <s v="BH"/>
    <n v="3"/>
    <s v="-"/>
    <s v="-"/>
    <n v="3"/>
    <n v="3"/>
    <s v="-"/>
    <s v="-"/>
    <n v="3"/>
    <n v="3"/>
    <s v="-"/>
    <n v="3"/>
    <n v="0"/>
    <n v="3"/>
    <x v="4"/>
    <s v="KAMAR EXECUTIVE 3"/>
    <m/>
    <m/>
    <b v="1"/>
  </r>
  <r>
    <n v="263"/>
    <x v="83"/>
    <n v="2010"/>
    <s v="HELAI"/>
    <n v="1"/>
    <s v="-"/>
    <s v="-"/>
    <n v="1"/>
    <n v="0"/>
    <s v="-"/>
    <n v="1"/>
    <n v="1"/>
    <n v="0"/>
    <n v="1"/>
    <n v="0"/>
    <n v="1"/>
    <n v="1"/>
    <x v="4"/>
    <s v="KAMAR EXECUTIVE 3"/>
    <s v="Robek"/>
    <m/>
    <b v="1"/>
  </r>
  <r>
    <n v="264"/>
    <x v="78"/>
    <n v="2010"/>
    <s v="UNIT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65"/>
    <x v="79"/>
    <n v="2010"/>
    <s v="UNIT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66"/>
    <x v="10"/>
    <n v="2018"/>
    <s v="BH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67"/>
    <x v="80"/>
    <n v="2010"/>
    <s v="UNIT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68"/>
    <x v="9"/>
    <n v="2010"/>
    <s v="HELAI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69"/>
    <x v="8"/>
    <n v="2010"/>
    <s v="BH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70"/>
    <x v="72"/>
    <n v="2010"/>
    <s v="UNIT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71"/>
    <x v="7"/>
    <n v="2010"/>
    <s v="SET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72"/>
    <x v="73"/>
    <n v="2010"/>
    <s v="BH"/>
    <n v="1"/>
    <s v="-"/>
    <s v="-"/>
    <n v="1"/>
    <n v="0"/>
    <s v="-"/>
    <s v="-"/>
    <n v="0"/>
    <n v="0"/>
    <s v="-"/>
    <n v="0"/>
    <n v="0"/>
    <n v="0"/>
    <x v="4"/>
    <s v="KAMAR EXECUTIVE 3"/>
    <s v="Sudah Di pindahkan ke Depan Executive"/>
    <m/>
    <b v="1"/>
  </r>
  <r>
    <n v="273"/>
    <x v="11"/>
    <n v="2010"/>
    <s v="BH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74"/>
    <x v="12"/>
    <n v="2010"/>
    <s v="BH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75"/>
    <x v="87"/>
    <n v="2010"/>
    <s v="BH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76"/>
    <x v="88"/>
    <n v="2010"/>
    <s v="BH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77"/>
    <x v="85"/>
    <m/>
    <s v="UNIT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78"/>
    <x v="89"/>
    <m/>
    <s v="BH"/>
    <n v="1"/>
    <s v="-"/>
    <s v="-"/>
    <n v="1"/>
    <n v="0"/>
    <s v="-"/>
    <s v="-"/>
    <n v="0"/>
    <n v="0"/>
    <s v="-"/>
    <n v="0"/>
    <n v="0"/>
    <n v="0"/>
    <x v="4"/>
    <s v="KAMAR EXECUTIVE 3"/>
    <m/>
    <m/>
    <b v="1"/>
  </r>
  <r>
    <n v="279"/>
    <x v="90"/>
    <m/>
    <s v="UNIT"/>
    <n v="6"/>
    <s v="-"/>
    <s v="-"/>
    <n v="6"/>
    <n v="6"/>
    <s v="-"/>
    <s v="-"/>
    <n v="6"/>
    <n v="6"/>
    <s v="-"/>
    <n v="5"/>
    <n v="1"/>
    <n v="6"/>
    <x v="5"/>
    <s v="PANTRY"/>
    <s v="Pecah"/>
    <m/>
    <b v="0"/>
  </r>
  <r>
    <n v="280"/>
    <x v="91"/>
    <m/>
    <s v="BH"/>
    <n v="10"/>
    <s v="-"/>
    <s v="-"/>
    <n v="10"/>
    <n v="9"/>
    <s v="-"/>
    <n v="1"/>
    <n v="10"/>
    <n v="9"/>
    <n v="1"/>
    <n v="9"/>
    <n v="0"/>
    <n v="9"/>
    <x v="5"/>
    <s v="PANTRY"/>
    <s v="Pecah"/>
    <m/>
    <b v="1"/>
  </r>
  <r>
    <n v="281"/>
    <x v="92"/>
    <n v="2025"/>
    <s v="BH"/>
    <s v="-"/>
    <s v="-"/>
    <s v="-"/>
    <n v="0"/>
    <n v="30"/>
    <s v="-"/>
    <s v="-"/>
    <n v="30"/>
    <n v="30"/>
    <s v="-"/>
    <n v="30"/>
    <n v="0"/>
    <n v="30"/>
    <x v="5"/>
    <s v="PANTRY"/>
    <m/>
    <d v="2025-05-09T00:00:00"/>
    <b v="1"/>
  </r>
  <r>
    <n v="282"/>
    <x v="93"/>
    <m/>
    <s v="BH"/>
    <n v="2"/>
    <s v="-"/>
    <s v="-"/>
    <n v="2"/>
    <n v="1"/>
    <n v="1"/>
    <s v="-"/>
    <n v="2"/>
    <n v="1"/>
    <s v="-"/>
    <n v="0"/>
    <n v="2"/>
    <n v="2"/>
    <x v="5"/>
    <s v="PANTRY"/>
    <m/>
    <m/>
    <b v="0"/>
  </r>
  <r>
    <n v="283"/>
    <x v="94"/>
    <m/>
    <s v="SET"/>
    <n v="2"/>
    <s v="-"/>
    <s v="-"/>
    <n v="2"/>
    <n v="2"/>
    <s v="-"/>
    <s v="-"/>
    <n v="2"/>
    <n v="2"/>
    <s v="-"/>
    <n v="2"/>
    <n v="0"/>
    <n v="2"/>
    <x v="5"/>
    <s v="PANTRY"/>
    <m/>
    <m/>
    <b v="1"/>
  </r>
  <r>
    <n v="284"/>
    <x v="26"/>
    <n v="2016"/>
    <s v="BH"/>
    <n v="20"/>
    <s v="-"/>
    <s v="-"/>
    <n v="20"/>
    <n v="20"/>
    <s v="-"/>
    <s v="-"/>
    <n v="20"/>
    <n v="20"/>
    <s v="-"/>
    <n v="20"/>
    <n v="0"/>
    <n v="20"/>
    <x v="5"/>
    <s v="PANTRY"/>
    <m/>
    <m/>
    <b v="1"/>
  </r>
  <r>
    <n v="285"/>
    <x v="95"/>
    <n v="2018"/>
    <s v="BH"/>
    <n v="23"/>
    <s v="-"/>
    <s v="-"/>
    <n v="23"/>
    <n v="23"/>
    <s v="-"/>
    <s v="-"/>
    <n v="23"/>
    <n v="23"/>
    <s v="-"/>
    <n v="23"/>
    <n v="0"/>
    <n v="23"/>
    <x v="5"/>
    <s v="PANTRY"/>
    <m/>
    <m/>
    <b v="1"/>
  </r>
  <r>
    <n v="286"/>
    <x v="96"/>
    <n v="2010"/>
    <s v="BH"/>
    <n v="12"/>
    <s v="-"/>
    <s v="-"/>
    <n v="12"/>
    <n v="12"/>
    <s v="-"/>
    <s v="-"/>
    <n v="12"/>
    <n v="12"/>
    <s v="-"/>
    <n v="4"/>
    <n v="8"/>
    <n v="12"/>
    <x v="5"/>
    <s v="PANTRY"/>
    <s v="Pecah"/>
    <m/>
    <b v="0"/>
  </r>
  <r>
    <n v="287"/>
    <x v="97"/>
    <m/>
    <s v="UNIT"/>
    <n v="1"/>
    <s v="-"/>
    <s v="-"/>
    <n v="1"/>
    <n v="1"/>
    <s v="-"/>
    <s v="-"/>
    <n v="1"/>
    <n v="1"/>
    <s v="-"/>
    <n v="1"/>
    <n v="0"/>
    <n v="1"/>
    <x v="5"/>
    <s v="PANTRY"/>
    <m/>
    <m/>
    <b v="1"/>
  </r>
  <r>
    <n v="288"/>
    <x v="98"/>
    <n v="2024"/>
    <s v="UNIT"/>
    <n v="1"/>
    <s v="-"/>
    <s v="-"/>
    <n v="1"/>
    <n v="1"/>
    <s v="-"/>
    <s v="-"/>
    <n v="1"/>
    <n v="1"/>
    <s v="-"/>
    <n v="1"/>
    <n v="0"/>
    <n v="1"/>
    <x v="5"/>
    <s v="PANTRY"/>
    <m/>
    <m/>
    <b v="1"/>
  </r>
  <r>
    <n v="289"/>
    <x v="99"/>
    <n v="2018"/>
    <s v="BH"/>
    <n v="12"/>
    <s v="-"/>
    <n v="1"/>
    <n v="13"/>
    <n v="9"/>
    <s v="-"/>
    <s v="-"/>
    <n v="9"/>
    <n v="9"/>
    <s v="-"/>
    <n v="9"/>
    <n v="0"/>
    <n v="9"/>
    <x v="5"/>
    <s v="PANTRY"/>
    <m/>
    <m/>
    <b v="1"/>
  </r>
  <r>
    <n v="290"/>
    <x v="100"/>
    <m/>
    <s v="BH"/>
    <s v="-"/>
    <s v="-"/>
    <s v="-"/>
    <n v="0"/>
    <n v="36"/>
    <s v="-"/>
    <s v="-"/>
    <n v="36"/>
    <n v="36"/>
    <s v="-"/>
    <n v="36"/>
    <n v="0"/>
    <n v="36"/>
    <x v="5"/>
    <s v="PANTRY"/>
    <m/>
    <m/>
    <b v="1"/>
  </r>
  <r>
    <n v="291"/>
    <x v="101"/>
    <n v="2024"/>
    <s v="BH"/>
    <s v="-"/>
    <s v="-"/>
    <s v="-"/>
    <n v="0"/>
    <n v="49"/>
    <s v="-"/>
    <s v="-"/>
    <n v="49"/>
    <n v="49"/>
    <s v="-"/>
    <n v="49"/>
    <n v="0"/>
    <n v="49"/>
    <x v="5"/>
    <s v="PANTRY"/>
    <m/>
    <m/>
    <b v="1"/>
  </r>
  <r>
    <n v="292"/>
    <x v="102"/>
    <n v="2017"/>
    <s v="BH"/>
    <n v="11"/>
    <s v="-"/>
    <s v="-"/>
    <n v="11"/>
    <n v="11"/>
    <s v="-"/>
    <s v="-"/>
    <n v="11"/>
    <n v="11"/>
    <s v="-"/>
    <n v="11"/>
    <n v="0"/>
    <n v="11"/>
    <x v="5"/>
    <s v="PANTRY"/>
    <m/>
    <m/>
    <b v="1"/>
  </r>
  <r>
    <n v="293"/>
    <x v="25"/>
    <n v="2023"/>
    <s v="UNIT"/>
    <n v="20"/>
    <s v="-"/>
    <s v="-"/>
    <n v="20"/>
    <n v="33"/>
    <s v="-"/>
    <s v="-"/>
    <n v="33"/>
    <n v="33"/>
    <s v="-"/>
    <n v="33"/>
    <n v="0"/>
    <n v="33"/>
    <x v="5"/>
    <s v="PANTRY"/>
    <m/>
    <m/>
    <b v="1"/>
  </r>
  <r>
    <n v="294"/>
    <x v="103"/>
    <n v="2010"/>
    <s v="BH"/>
    <n v="20"/>
    <s v="-"/>
    <s v="-"/>
    <n v="20"/>
    <n v="20"/>
    <s v="-"/>
    <s v="-"/>
    <n v="20"/>
    <n v="20"/>
    <s v="-"/>
    <n v="14"/>
    <n v="6"/>
    <n v="20"/>
    <x v="5"/>
    <s v="PANTRY"/>
    <m/>
    <m/>
    <b v="0"/>
  </r>
  <r>
    <n v="295"/>
    <x v="73"/>
    <n v="2010"/>
    <s v="BH"/>
    <n v="1"/>
    <s v="-"/>
    <s v="-"/>
    <n v="1"/>
    <n v="1"/>
    <s v="-"/>
    <s v="-"/>
    <n v="1"/>
    <n v="1"/>
    <s v="-"/>
    <n v="1"/>
    <n v="0"/>
    <n v="1"/>
    <x v="5"/>
    <s v="PANTRY"/>
    <m/>
    <m/>
    <b v="1"/>
  </r>
  <r>
    <n v="296"/>
    <x v="104"/>
    <n v="2010"/>
    <s v="BH"/>
    <n v="2"/>
    <s v="-"/>
    <s v="-"/>
    <n v="2"/>
    <n v="2"/>
    <s v="-"/>
    <s v="-"/>
    <n v="2"/>
    <n v="2"/>
    <s v="-"/>
    <n v="2"/>
    <n v="0"/>
    <n v="2"/>
    <x v="5"/>
    <s v="PANTRY"/>
    <m/>
    <m/>
    <b v="1"/>
  </r>
  <r>
    <n v="297"/>
    <x v="105"/>
    <m/>
    <s v="BH"/>
    <n v="1"/>
    <s v="-"/>
    <s v="-"/>
    <n v="1"/>
    <n v="1"/>
    <s v="-"/>
    <s v="-"/>
    <n v="1"/>
    <n v="1"/>
    <s v="-"/>
    <n v="1"/>
    <n v="0"/>
    <n v="1"/>
    <x v="5"/>
    <s v="PANTRY"/>
    <m/>
    <m/>
    <b v="1"/>
  </r>
  <r>
    <n v="298"/>
    <x v="106"/>
    <n v="2025"/>
    <s v="BH"/>
    <s v="-"/>
    <s v="-"/>
    <s v="-"/>
    <n v="0"/>
    <n v="3"/>
    <s v="-"/>
    <s v="-"/>
    <n v="3"/>
    <n v="3"/>
    <s v="-"/>
    <n v="3"/>
    <n v="0"/>
    <n v="3"/>
    <x v="5"/>
    <s v="PANTRY"/>
    <m/>
    <d v="2025-04-25T00:00:00"/>
    <b v="1"/>
  </r>
  <r>
    <n v="299"/>
    <x v="55"/>
    <n v="2025"/>
    <s v="BH"/>
    <s v="-"/>
    <s v="-"/>
    <s v="-"/>
    <n v="0"/>
    <n v="2"/>
    <s v="-"/>
    <s v="-"/>
    <n v="2"/>
    <n v="2"/>
    <s v="-"/>
    <n v="2"/>
    <n v="0"/>
    <n v="2"/>
    <x v="5"/>
    <s v="PANTRY"/>
    <m/>
    <d v="2025-05-14T00:00:00"/>
    <b v="1"/>
  </r>
  <r>
    <n v="300"/>
    <x v="107"/>
    <n v="2025"/>
    <s v="BH"/>
    <s v="-"/>
    <s v="-"/>
    <s v="-"/>
    <n v="0"/>
    <n v="12"/>
    <s v="-"/>
    <s v="-"/>
    <n v="12"/>
    <n v="12"/>
    <s v="-"/>
    <n v="12"/>
    <n v="0"/>
    <n v="12"/>
    <x v="5"/>
    <s v="PANTRY"/>
    <m/>
    <d v="2025-08-18T00:00:00"/>
    <b v="1"/>
  </r>
  <r>
    <n v="301"/>
    <x v="108"/>
    <n v="2025"/>
    <s v="BH"/>
    <s v="-"/>
    <s v="-"/>
    <s v="-"/>
    <n v="0"/>
    <n v="6"/>
    <s v="-"/>
    <s v="-"/>
    <n v="6"/>
    <n v="6"/>
    <s v="-"/>
    <n v="6"/>
    <n v="0"/>
    <n v="6"/>
    <x v="5"/>
    <s v="PANTRY"/>
    <m/>
    <m/>
    <b v="1"/>
  </r>
  <r>
    <n v="302"/>
    <x v="109"/>
    <n v="2025"/>
    <s v="BH"/>
    <s v="-"/>
    <s v="-"/>
    <s v="-"/>
    <n v="0"/>
    <n v="3"/>
    <s v="-"/>
    <s v="-"/>
    <n v="3"/>
    <n v="3"/>
    <s v="-"/>
    <n v="3"/>
    <n v="0"/>
    <n v="3"/>
    <x v="6"/>
    <s v="GUDANG MES"/>
    <m/>
    <d v="2025-04-16T00:00:00"/>
    <b v="1"/>
  </r>
  <r>
    <n v="303"/>
    <x v="110"/>
    <n v="2025"/>
    <s v="BH"/>
    <s v="-"/>
    <s v="-"/>
    <s v="-"/>
    <n v="0"/>
    <n v="2"/>
    <s v="-"/>
    <s v="-"/>
    <n v="2"/>
    <n v="2"/>
    <s v="-"/>
    <n v="2"/>
    <n v="0"/>
    <n v="2"/>
    <x v="6"/>
    <s v="GUDANG MES"/>
    <m/>
    <d v="2025-04-16T00:00:00"/>
    <b v="1"/>
  </r>
  <r>
    <n v="304"/>
    <x v="111"/>
    <n v="2025"/>
    <s v="BH"/>
    <s v="-"/>
    <s v="-"/>
    <s v="-"/>
    <n v="0"/>
    <n v="3"/>
    <s v="-"/>
    <s v="-"/>
    <n v="3"/>
    <n v="3"/>
    <s v="-"/>
    <n v="3"/>
    <n v="0"/>
    <n v="3"/>
    <x v="6"/>
    <s v="GUDANG MES"/>
    <m/>
    <d v="2025-04-16T00:00:00"/>
    <b v="1"/>
  </r>
  <r>
    <n v="305"/>
    <x v="112"/>
    <n v="2025"/>
    <s v="BH"/>
    <s v="-"/>
    <s v="-"/>
    <s v="-"/>
    <n v="0"/>
    <n v="2"/>
    <s v="-"/>
    <s v="-"/>
    <n v="2"/>
    <n v="2"/>
    <s v="-"/>
    <n v="1"/>
    <n v="0"/>
    <n v="1"/>
    <x v="6"/>
    <s v="GUDANG MES"/>
    <m/>
    <d v="2025-04-16T00:00:00"/>
    <b v="0"/>
  </r>
  <r>
    <n v="306"/>
    <x v="113"/>
    <n v="2025"/>
    <s v="BH"/>
    <s v="-"/>
    <s v="-"/>
    <s v="-"/>
    <n v="0"/>
    <n v="3"/>
    <s v="-"/>
    <s v="-"/>
    <n v="3"/>
    <n v="3"/>
    <s v="-"/>
    <n v="2"/>
    <n v="0"/>
    <n v="2"/>
    <x v="6"/>
    <s v="GUDANG MES"/>
    <m/>
    <d v="2025-04-25T00:00:00"/>
    <b v="0"/>
  </r>
  <r>
    <n v="307"/>
    <x v="114"/>
    <n v="2025"/>
    <s v="BH"/>
    <s v="-"/>
    <s v="-"/>
    <s v="-"/>
    <n v="0"/>
    <n v="3"/>
    <s v="-"/>
    <s v="-"/>
    <n v="3"/>
    <n v="3"/>
    <s v="-"/>
    <n v="3"/>
    <n v="0"/>
    <n v="3"/>
    <x v="6"/>
    <s v="GUDANG MES"/>
    <m/>
    <d v="2025-08-18T00:00:00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rowHeaderCaption="KATEGORI">
  <location ref="A3:D137" firstHeaderRow="0" firstDataRow="1" firstDataCol="2"/>
  <pivotFields count="22">
    <pivotField showAll="0"/>
    <pivotField axis="axisRow" showAll="0">
      <items count="117">
        <item x="72"/>
        <item x="109"/>
        <item x="55"/>
        <item x="4"/>
        <item x="82"/>
        <item x="42"/>
        <item x="83"/>
        <item x="51"/>
        <item x="92"/>
        <item x="90"/>
        <item x="91"/>
        <item x="10"/>
        <item x="56"/>
        <item x="93"/>
        <item x="94"/>
        <item x="44"/>
        <item x="43"/>
        <item x="75"/>
        <item x="54"/>
        <item x="46"/>
        <item x="0"/>
        <item x="81"/>
        <item x="59"/>
        <item x="52"/>
        <item x="26"/>
        <item x="8"/>
        <item x="28"/>
        <item x="95"/>
        <item x="27"/>
        <item x="96"/>
        <item x="7"/>
        <item x="63"/>
        <item x="97"/>
        <item x="1"/>
        <item x="110"/>
        <item x="60"/>
        <item x="61"/>
        <item x="13"/>
        <item x="9"/>
        <item x="106"/>
        <item x="14"/>
        <item x="6"/>
        <item x="36"/>
        <item x="53"/>
        <item x="33"/>
        <item x="35"/>
        <item x="34"/>
        <item x="45"/>
        <item x="79"/>
        <item x="18"/>
        <item x="15"/>
        <item x="12"/>
        <item x="86"/>
        <item x="11"/>
        <item x="76"/>
        <item x="5"/>
        <item x="74"/>
        <item x="70"/>
        <item x="48"/>
        <item x="98"/>
        <item x="31"/>
        <item x="32"/>
        <item x="87"/>
        <item x="84"/>
        <item x="78"/>
        <item x="17"/>
        <item x="16"/>
        <item x="65"/>
        <item x="68"/>
        <item x="58"/>
        <item x="21"/>
        <item x="99"/>
        <item x="100"/>
        <item x="101"/>
        <item x="22"/>
        <item x="23"/>
        <item x="24"/>
        <item x="41"/>
        <item x="30"/>
        <item x="80"/>
        <item x="47"/>
        <item x="40"/>
        <item x="113"/>
        <item x="112"/>
        <item x="3"/>
        <item x="114"/>
        <item x="64"/>
        <item x="37"/>
        <item x="38"/>
        <item x="102"/>
        <item x="25"/>
        <item x="103"/>
        <item x="2"/>
        <item x="62"/>
        <item x="89"/>
        <item x="77"/>
        <item x="88"/>
        <item x="69"/>
        <item x="39"/>
        <item x="66"/>
        <item x="67"/>
        <item x="19"/>
        <item x="57"/>
        <item x="29"/>
        <item x="49"/>
        <item x="108"/>
        <item x="50"/>
        <item x="73"/>
        <item x="104"/>
        <item x="20"/>
        <item x="107"/>
        <item x="71"/>
        <item x="105"/>
        <item x="85"/>
        <item x="111"/>
        <item m="1" x="1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outline="0" showAll="0" defaultSubtotal="0">
      <items count="7">
        <item x="2"/>
        <item x="4"/>
        <item x="0"/>
        <item x="3"/>
        <item x="6"/>
        <item x="5"/>
        <item x="1"/>
      </items>
    </pivotField>
    <pivotField showAll="0"/>
    <pivotField showAll="0"/>
    <pivotField showAll="0"/>
    <pivotField showAll="0"/>
  </pivotFields>
  <rowFields count="2">
    <field x="17"/>
    <field x="1"/>
  </rowFields>
  <rowItems count="134">
    <i>
      <x/>
      <x v="2"/>
    </i>
    <i r="1">
      <x v="5"/>
    </i>
    <i r="1">
      <x v="7"/>
    </i>
    <i r="1">
      <x v="12"/>
    </i>
    <i r="1">
      <x v="15"/>
    </i>
    <i r="1">
      <x v="16"/>
    </i>
    <i r="1">
      <x v="18"/>
    </i>
    <i r="1">
      <x v="19"/>
    </i>
    <i r="1">
      <x v="23"/>
    </i>
    <i r="1">
      <x v="24"/>
    </i>
    <i r="1">
      <x v="26"/>
    </i>
    <i r="1">
      <x v="28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8"/>
    </i>
    <i r="1">
      <x v="60"/>
    </i>
    <i r="1">
      <x v="61"/>
    </i>
    <i r="1">
      <x v="65"/>
    </i>
    <i r="1">
      <x v="66"/>
    </i>
    <i r="1">
      <x v="70"/>
    </i>
    <i r="1">
      <x v="74"/>
    </i>
    <i r="1">
      <x v="75"/>
    </i>
    <i r="1">
      <x v="76"/>
    </i>
    <i r="1">
      <x v="77"/>
    </i>
    <i r="1">
      <x v="78"/>
    </i>
    <i r="1">
      <x v="80"/>
    </i>
    <i r="1">
      <x v="81"/>
    </i>
    <i r="1">
      <x v="87"/>
    </i>
    <i r="1">
      <x v="88"/>
    </i>
    <i r="1">
      <x v="90"/>
    </i>
    <i r="1">
      <x v="98"/>
    </i>
    <i r="1">
      <x v="101"/>
    </i>
    <i r="1">
      <x v="102"/>
    </i>
    <i r="1">
      <x v="103"/>
    </i>
    <i r="1">
      <x v="104"/>
    </i>
    <i r="1">
      <x v="106"/>
    </i>
    <i r="1">
      <x v="109"/>
    </i>
    <i>
      <x v="1"/>
      <x/>
    </i>
    <i r="1">
      <x v="3"/>
    </i>
    <i r="1">
      <x v="4"/>
    </i>
    <i r="1">
      <x v="6"/>
    </i>
    <i r="1">
      <x v="11"/>
    </i>
    <i r="1">
      <x v="17"/>
    </i>
    <i r="1">
      <x v="21"/>
    </i>
    <i r="1">
      <x v="25"/>
    </i>
    <i r="1">
      <x v="30"/>
    </i>
    <i r="1">
      <x v="38"/>
    </i>
    <i r="1">
      <x v="43"/>
    </i>
    <i r="1">
      <x v="47"/>
    </i>
    <i r="1">
      <x v="48"/>
    </i>
    <i r="1">
      <x v="49"/>
    </i>
    <i r="1">
      <x v="51"/>
    </i>
    <i r="1">
      <x v="52"/>
    </i>
    <i r="1">
      <x v="53"/>
    </i>
    <i r="1">
      <x v="54"/>
    </i>
    <i r="1">
      <x v="56"/>
    </i>
    <i r="1">
      <x v="57"/>
    </i>
    <i r="1">
      <x v="62"/>
    </i>
    <i r="1">
      <x v="63"/>
    </i>
    <i r="1">
      <x v="64"/>
    </i>
    <i r="1">
      <x v="67"/>
    </i>
    <i r="1">
      <x v="68"/>
    </i>
    <i r="1">
      <x v="79"/>
    </i>
    <i r="1">
      <x v="86"/>
    </i>
    <i r="1">
      <x v="92"/>
    </i>
    <i r="1">
      <x v="94"/>
    </i>
    <i r="1">
      <x v="95"/>
    </i>
    <i r="1">
      <x v="96"/>
    </i>
    <i r="1">
      <x v="97"/>
    </i>
    <i r="1">
      <x v="99"/>
    </i>
    <i r="1">
      <x v="100"/>
    </i>
    <i r="1">
      <x v="107"/>
    </i>
    <i r="1">
      <x v="111"/>
    </i>
    <i r="1">
      <x v="113"/>
    </i>
    <i>
      <x v="2"/>
      <x v="3"/>
    </i>
    <i r="1">
      <x v="11"/>
    </i>
    <i r="1">
      <x v="20"/>
    </i>
    <i r="1">
      <x v="25"/>
    </i>
    <i r="1">
      <x v="30"/>
    </i>
    <i r="1">
      <x v="33"/>
    </i>
    <i r="1">
      <x v="37"/>
    </i>
    <i r="1">
      <x v="38"/>
    </i>
    <i r="1">
      <x v="40"/>
    </i>
    <i r="1">
      <x v="41"/>
    </i>
    <i r="1">
      <x v="51"/>
    </i>
    <i r="1">
      <x v="53"/>
    </i>
    <i r="1">
      <x v="55"/>
    </i>
    <i r="1">
      <x v="84"/>
    </i>
    <i r="1">
      <x v="92"/>
    </i>
    <i>
      <x v="3"/>
      <x v="22"/>
    </i>
    <i r="1">
      <x v="31"/>
    </i>
    <i r="1">
      <x v="35"/>
    </i>
    <i r="1">
      <x v="36"/>
    </i>
    <i r="1">
      <x v="69"/>
    </i>
    <i r="1">
      <x v="84"/>
    </i>
    <i r="1">
      <x v="86"/>
    </i>
    <i r="1">
      <x v="93"/>
    </i>
    <i>
      <x v="4"/>
      <x v="1"/>
    </i>
    <i r="1">
      <x v="34"/>
    </i>
    <i r="1">
      <x v="82"/>
    </i>
    <i r="1">
      <x v="83"/>
    </i>
    <i r="1">
      <x v="85"/>
    </i>
    <i r="1">
      <x v="114"/>
    </i>
    <i>
      <x v="5"/>
      <x v="2"/>
    </i>
    <i r="1">
      <x v="8"/>
    </i>
    <i r="1">
      <x v="9"/>
    </i>
    <i r="1">
      <x v="10"/>
    </i>
    <i r="1">
      <x v="13"/>
    </i>
    <i r="1">
      <x v="14"/>
    </i>
    <i r="1">
      <x v="24"/>
    </i>
    <i r="1">
      <x v="27"/>
    </i>
    <i r="1">
      <x v="29"/>
    </i>
    <i r="1">
      <x v="32"/>
    </i>
    <i r="1">
      <x v="39"/>
    </i>
    <i r="1">
      <x v="59"/>
    </i>
    <i r="1">
      <x v="71"/>
    </i>
    <i r="1">
      <x v="72"/>
    </i>
    <i r="1">
      <x v="73"/>
    </i>
    <i r="1">
      <x v="89"/>
    </i>
    <i r="1">
      <x v="90"/>
    </i>
    <i r="1">
      <x v="91"/>
    </i>
    <i r="1">
      <x v="105"/>
    </i>
    <i r="1">
      <x v="107"/>
    </i>
    <i r="1">
      <x v="108"/>
    </i>
    <i r="1">
      <x v="110"/>
    </i>
    <i r="1">
      <x v="112"/>
    </i>
    <i>
      <x v="6"/>
      <x v="5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KONDISI BAIK" fld="14" baseField="1" baseItem="0"/>
    <dataField name="Sum of RUSAK" fld="15" baseField="1" baseItem="0"/>
  </dataFields>
  <formats count="4">
    <format dxfId="9">
      <pivotArea outline="0" collapsedLevelsAreSubtotals="1" fieldPosition="0"/>
    </format>
    <format dxfId="8">
      <pivotArea field="17" type="button" dataOnly="0" labelOnly="1" outline="0" fieldPosition="0"/>
    </format>
    <format dxfId="7">
      <pivotArea field="1" type="button" dataOnly="0" labelOnly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B1:W310"/>
  <sheetViews>
    <sheetView showGridLines="0" zoomScale="86" zoomScaleNormal="86" workbookViewId="0">
      <pane xSplit="3" ySplit="3" topLeftCell="D274" activePane="bottomRight" state="frozen"/>
      <selection pane="topRight"/>
      <selection pane="bottomLeft"/>
      <selection pane="bottomRight" activeCell="P3" sqref="P1:R1048576"/>
    </sheetView>
  </sheetViews>
  <sheetFormatPr defaultColWidth="9" defaultRowHeight="14.4"/>
  <cols>
    <col min="1" max="1" width="2" customWidth="1"/>
    <col min="2" max="2" width="5.109375" style="67" customWidth="1"/>
    <col min="3" max="3" width="32.6640625" style="67" customWidth="1"/>
    <col min="4" max="4" width="12.44140625" style="68" customWidth="1"/>
    <col min="5" max="5" width="9.33203125" style="67" customWidth="1"/>
    <col min="6" max="8" width="11.5546875" style="67" hidden="1" customWidth="1"/>
    <col min="9" max="9" width="13.6640625" style="67" hidden="1" customWidth="1"/>
    <col min="10" max="11" width="12.6640625" style="69" customWidth="1"/>
    <col min="12" max="12" width="13" style="69" customWidth="1"/>
    <col min="13" max="13" width="11.5546875" style="69" customWidth="1"/>
    <col min="14" max="14" width="15.5546875" style="70" customWidth="1"/>
    <col min="15" max="15" width="15.5546875" style="69" customWidth="1"/>
    <col min="16" max="16" width="11.33203125" style="69" customWidth="1"/>
    <col min="17" max="17" width="9.6640625" style="69" customWidth="1"/>
    <col min="18" max="18" width="11.5546875" style="69" customWidth="1"/>
    <col min="19" max="20" width="17.44140625" style="67" customWidth="1"/>
    <col min="21" max="21" width="27.6640625" style="68" customWidth="1"/>
    <col min="22" max="22" width="20.88671875" style="67" customWidth="1"/>
  </cols>
  <sheetData>
    <row r="1" spans="2:23" ht="55.5" customHeight="1">
      <c r="B1" s="221" t="s">
        <v>29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/>
    </row>
    <row r="2" spans="2:23" ht="24.75" customHeight="1">
      <c r="B2" s="71"/>
      <c r="C2" s="71"/>
      <c r="D2" s="71"/>
      <c r="E2" s="71"/>
      <c r="F2" s="71"/>
      <c r="G2" s="71"/>
      <c r="H2" s="71"/>
      <c r="I2" s="71"/>
      <c r="J2" s="222" t="s">
        <v>30</v>
      </c>
      <c r="K2" s="222"/>
      <c r="L2" s="222"/>
      <c r="M2" s="222"/>
      <c r="N2" s="222"/>
      <c r="O2" s="222"/>
      <c r="P2" s="223" t="s">
        <v>31</v>
      </c>
      <c r="Q2" s="223"/>
      <c r="R2" s="223"/>
      <c r="S2" s="71"/>
      <c r="T2" s="71"/>
      <c r="U2" s="71"/>
      <c r="V2" s="71"/>
    </row>
    <row r="3" spans="2:23" s="69" customFormat="1" ht="76.5" customHeight="1">
      <c r="B3" s="194" t="s">
        <v>32</v>
      </c>
      <c r="C3" s="195" t="s">
        <v>33</v>
      </c>
      <c r="D3" s="195" t="s">
        <v>34</v>
      </c>
      <c r="E3" s="195" t="s">
        <v>35</v>
      </c>
      <c r="F3" s="196" t="s">
        <v>36</v>
      </c>
      <c r="G3" s="196" t="s">
        <v>37</v>
      </c>
      <c r="H3" s="196" t="s">
        <v>38</v>
      </c>
      <c r="I3" s="199" t="s">
        <v>39</v>
      </c>
      <c r="J3" s="196" t="s">
        <v>40</v>
      </c>
      <c r="K3" s="196" t="s">
        <v>41</v>
      </c>
      <c r="L3" s="196" t="s">
        <v>42</v>
      </c>
      <c r="M3" s="196" t="s">
        <v>43</v>
      </c>
      <c r="N3" s="196" t="s">
        <v>44</v>
      </c>
      <c r="O3" s="196" t="s">
        <v>45</v>
      </c>
      <c r="P3" s="200" t="s">
        <v>46</v>
      </c>
      <c r="Q3" s="200" t="s">
        <v>47</v>
      </c>
      <c r="R3" s="200" t="s">
        <v>48</v>
      </c>
      <c r="S3" s="195" t="s">
        <v>49</v>
      </c>
      <c r="T3" s="195" t="s">
        <v>50</v>
      </c>
      <c r="U3" s="195" t="s">
        <v>51</v>
      </c>
      <c r="V3" s="195" t="s">
        <v>52</v>
      </c>
      <c r="W3" s="200" t="s">
        <v>53</v>
      </c>
    </row>
    <row r="4" spans="2:23" s="65" customFormat="1" ht="12.9" customHeight="1">
      <c r="B4" s="8">
        <f>SUBTOTAL(3,C4:$C$4)</f>
        <v>1</v>
      </c>
      <c r="C4" s="197" t="s">
        <v>54</v>
      </c>
      <c r="D4" s="144">
        <v>2010</v>
      </c>
      <c r="E4" s="144" t="s">
        <v>55</v>
      </c>
      <c r="F4" s="144">
        <v>8</v>
      </c>
      <c r="G4" s="144" t="s">
        <v>56</v>
      </c>
      <c r="H4" s="144" t="s">
        <v>56</v>
      </c>
      <c r="I4" s="199">
        <f t="shared" ref="I4:I67" si="0">F4</f>
        <v>8</v>
      </c>
      <c r="J4" s="144">
        <v>8</v>
      </c>
      <c r="K4" s="144" t="s">
        <v>56</v>
      </c>
      <c r="L4" s="144" t="s">
        <v>56</v>
      </c>
      <c r="M4" s="144">
        <f t="shared" ref="M4:M67" si="1">SUM(J4:L4)</f>
        <v>8</v>
      </c>
      <c r="N4" s="150">
        <f t="shared" ref="N4:N67" si="2">J4</f>
        <v>8</v>
      </c>
      <c r="O4" s="201" t="str">
        <f t="shared" ref="O4:O67" si="3">L4</f>
        <v>-</v>
      </c>
      <c r="P4" s="202">
        <v>8</v>
      </c>
      <c r="Q4" s="201">
        <v>0</v>
      </c>
      <c r="R4" s="203">
        <f>P4+Q4</f>
        <v>8</v>
      </c>
      <c r="S4" s="144" t="s">
        <v>57</v>
      </c>
      <c r="T4" s="144" t="s">
        <v>58</v>
      </c>
      <c r="U4" s="144"/>
      <c r="V4" s="144"/>
      <c r="W4" s="94" t="b">
        <f>N4=P4</f>
        <v>1</v>
      </c>
    </row>
    <row r="5" spans="2:23" s="65" customFormat="1" ht="12.9" customHeight="1">
      <c r="B5" s="8">
        <f>SUBTOTAL(3,C$4:$C5)</f>
        <v>2</v>
      </c>
      <c r="C5" s="197" t="s">
        <v>59</v>
      </c>
      <c r="D5" s="144">
        <v>2015</v>
      </c>
      <c r="E5" s="144" t="s">
        <v>60</v>
      </c>
      <c r="F5" s="144">
        <v>8</v>
      </c>
      <c r="G5" s="144" t="s">
        <v>56</v>
      </c>
      <c r="H5" s="144" t="s">
        <v>56</v>
      </c>
      <c r="I5" s="199">
        <f t="shared" si="0"/>
        <v>8</v>
      </c>
      <c r="J5" s="144">
        <v>8</v>
      </c>
      <c r="K5" s="144" t="s">
        <v>56</v>
      </c>
      <c r="L5" s="144" t="s">
        <v>56</v>
      </c>
      <c r="M5" s="144">
        <f t="shared" si="1"/>
        <v>8</v>
      </c>
      <c r="N5" s="150">
        <f t="shared" si="2"/>
        <v>8</v>
      </c>
      <c r="O5" s="201" t="str">
        <f t="shared" si="3"/>
        <v>-</v>
      </c>
      <c r="P5" s="202">
        <v>8</v>
      </c>
      <c r="Q5" s="201">
        <v>0</v>
      </c>
      <c r="R5" s="203">
        <f t="shared" ref="R5:R68" si="4">P5+Q5</f>
        <v>8</v>
      </c>
      <c r="S5" s="144" t="s">
        <v>57</v>
      </c>
      <c r="T5" s="144" t="s">
        <v>58</v>
      </c>
      <c r="U5" s="144"/>
      <c r="V5" s="144"/>
      <c r="W5" s="94" t="b">
        <f t="shared" ref="W5:W68" si="5">N5=P5</f>
        <v>1</v>
      </c>
    </row>
    <row r="6" spans="2:23" s="65" customFormat="1" ht="12.9" customHeight="1">
      <c r="B6" s="8">
        <f>SUBTOTAL(3,C$4:$C6)</f>
        <v>3</v>
      </c>
      <c r="C6" s="197" t="s">
        <v>61</v>
      </c>
      <c r="D6" s="198" t="s">
        <v>62</v>
      </c>
      <c r="E6" s="144" t="s">
        <v>63</v>
      </c>
      <c r="F6" s="144">
        <v>8</v>
      </c>
      <c r="G6" s="144" t="s">
        <v>56</v>
      </c>
      <c r="H6" s="144" t="s">
        <v>56</v>
      </c>
      <c r="I6" s="199">
        <f t="shared" si="0"/>
        <v>8</v>
      </c>
      <c r="J6" s="144">
        <v>8</v>
      </c>
      <c r="K6" s="144" t="s">
        <v>56</v>
      </c>
      <c r="L6" s="144" t="s">
        <v>56</v>
      </c>
      <c r="M6" s="144">
        <f t="shared" si="1"/>
        <v>8</v>
      </c>
      <c r="N6" s="150">
        <f t="shared" si="2"/>
        <v>8</v>
      </c>
      <c r="O6" s="201" t="str">
        <f t="shared" si="3"/>
        <v>-</v>
      </c>
      <c r="P6" s="202">
        <v>8</v>
      </c>
      <c r="Q6" s="201">
        <v>0</v>
      </c>
      <c r="R6" s="203">
        <f t="shared" si="4"/>
        <v>8</v>
      </c>
      <c r="S6" s="144" t="s">
        <v>57</v>
      </c>
      <c r="T6" s="144" t="s">
        <v>58</v>
      </c>
      <c r="U6" s="144"/>
      <c r="V6" s="144"/>
      <c r="W6" s="94" t="b">
        <f t="shared" si="5"/>
        <v>1</v>
      </c>
    </row>
    <row r="7" spans="2:23" s="65" customFormat="1" ht="12.9" customHeight="1">
      <c r="B7" s="8">
        <f>SUBTOTAL(3,C$4:$C7)</f>
        <v>4</v>
      </c>
      <c r="C7" s="197" t="s">
        <v>64</v>
      </c>
      <c r="D7" s="198" t="s">
        <v>62</v>
      </c>
      <c r="E7" s="144" t="s">
        <v>63</v>
      </c>
      <c r="F7" s="144">
        <v>8</v>
      </c>
      <c r="G7" s="144" t="s">
        <v>56</v>
      </c>
      <c r="H7" s="144" t="s">
        <v>56</v>
      </c>
      <c r="I7" s="199">
        <f t="shared" si="0"/>
        <v>8</v>
      </c>
      <c r="J7" s="144">
        <v>8</v>
      </c>
      <c r="K7" s="144" t="s">
        <v>56</v>
      </c>
      <c r="L7" s="144" t="s">
        <v>56</v>
      </c>
      <c r="M7" s="144">
        <f t="shared" si="1"/>
        <v>8</v>
      </c>
      <c r="N7" s="150">
        <f t="shared" si="2"/>
        <v>8</v>
      </c>
      <c r="O7" s="201" t="str">
        <f t="shared" si="3"/>
        <v>-</v>
      </c>
      <c r="P7" s="202">
        <v>8</v>
      </c>
      <c r="Q7" s="201">
        <v>0</v>
      </c>
      <c r="R7" s="203">
        <f t="shared" si="4"/>
        <v>8</v>
      </c>
      <c r="S7" s="144" t="s">
        <v>57</v>
      </c>
      <c r="T7" s="144" t="s">
        <v>58</v>
      </c>
      <c r="U7" s="144"/>
      <c r="V7" s="144"/>
      <c r="W7" s="94" t="b">
        <f t="shared" si="5"/>
        <v>1</v>
      </c>
    </row>
    <row r="8" spans="2:23" s="65" customFormat="1" ht="12.9" customHeight="1">
      <c r="B8" s="8">
        <f>SUBTOTAL(3,C$4:$C8)</f>
        <v>5</v>
      </c>
      <c r="C8" s="197" t="s">
        <v>65</v>
      </c>
      <c r="D8" s="144" t="s">
        <v>66</v>
      </c>
      <c r="E8" s="144" t="s">
        <v>67</v>
      </c>
      <c r="F8" s="144">
        <v>8</v>
      </c>
      <c r="G8" s="144" t="s">
        <v>56</v>
      </c>
      <c r="H8" s="144" t="s">
        <v>56</v>
      </c>
      <c r="I8" s="199">
        <f t="shared" si="0"/>
        <v>8</v>
      </c>
      <c r="J8" s="144">
        <v>8</v>
      </c>
      <c r="K8" s="144" t="s">
        <v>56</v>
      </c>
      <c r="L8" s="144" t="s">
        <v>56</v>
      </c>
      <c r="M8" s="144">
        <f t="shared" si="1"/>
        <v>8</v>
      </c>
      <c r="N8" s="150">
        <f t="shared" si="2"/>
        <v>8</v>
      </c>
      <c r="O8" s="201" t="str">
        <f t="shared" si="3"/>
        <v>-</v>
      </c>
      <c r="P8" s="202">
        <v>8</v>
      </c>
      <c r="Q8" s="201">
        <v>0</v>
      </c>
      <c r="R8" s="203">
        <f t="shared" si="4"/>
        <v>8</v>
      </c>
      <c r="S8" s="144" t="s">
        <v>57</v>
      </c>
      <c r="T8" s="144" t="s">
        <v>58</v>
      </c>
      <c r="U8" s="144"/>
      <c r="V8" s="144"/>
      <c r="W8" s="94" t="b">
        <f t="shared" si="5"/>
        <v>1</v>
      </c>
    </row>
    <row r="9" spans="2:23" s="65" customFormat="1" ht="12.9" customHeight="1">
      <c r="B9" s="8">
        <f>SUBTOTAL(3,C$4:$C9)</f>
        <v>6</v>
      </c>
      <c r="C9" s="197" t="s">
        <v>68</v>
      </c>
      <c r="D9" s="144">
        <v>2010</v>
      </c>
      <c r="E9" s="144" t="s">
        <v>55</v>
      </c>
      <c r="F9" s="144">
        <v>4</v>
      </c>
      <c r="G9" s="144" t="s">
        <v>56</v>
      </c>
      <c r="H9" s="144" t="s">
        <v>56</v>
      </c>
      <c r="I9" s="199">
        <f t="shared" si="0"/>
        <v>4</v>
      </c>
      <c r="J9" s="144">
        <v>4</v>
      </c>
      <c r="K9" s="144" t="s">
        <v>56</v>
      </c>
      <c r="L9" s="144" t="s">
        <v>56</v>
      </c>
      <c r="M9" s="144">
        <f t="shared" si="1"/>
        <v>4</v>
      </c>
      <c r="N9" s="150">
        <f t="shared" si="2"/>
        <v>4</v>
      </c>
      <c r="O9" s="201" t="str">
        <f t="shared" si="3"/>
        <v>-</v>
      </c>
      <c r="P9" s="202">
        <v>4</v>
      </c>
      <c r="Q9" s="201">
        <v>0</v>
      </c>
      <c r="R9" s="203">
        <f t="shared" si="4"/>
        <v>4</v>
      </c>
      <c r="S9" s="144" t="s">
        <v>57</v>
      </c>
      <c r="T9" s="144" t="s">
        <v>58</v>
      </c>
      <c r="U9" s="144"/>
      <c r="V9" s="144"/>
      <c r="W9" s="94" t="b">
        <f t="shared" si="5"/>
        <v>1</v>
      </c>
    </row>
    <row r="10" spans="2:23" s="65" customFormat="1" ht="12.9" customHeight="1">
      <c r="B10" s="8">
        <f>SUBTOTAL(3,C$4:$C10)</f>
        <v>7</v>
      </c>
      <c r="C10" s="197" t="s">
        <v>69</v>
      </c>
      <c r="D10" s="144">
        <v>2015</v>
      </c>
      <c r="E10" s="144" t="s">
        <v>55</v>
      </c>
      <c r="F10" s="144">
        <v>4</v>
      </c>
      <c r="G10" s="144" t="s">
        <v>56</v>
      </c>
      <c r="H10" s="144" t="s">
        <v>56</v>
      </c>
      <c r="I10" s="199">
        <f t="shared" si="0"/>
        <v>4</v>
      </c>
      <c r="J10" s="144">
        <v>4</v>
      </c>
      <c r="K10" s="144" t="s">
        <v>56</v>
      </c>
      <c r="L10" s="144" t="s">
        <v>56</v>
      </c>
      <c r="M10" s="144">
        <f t="shared" si="1"/>
        <v>4</v>
      </c>
      <c r="N10" s="150">
        <f t="shared" si="2"/>
        <v>4</v>
      </c>
      <c r="O10" s="201" t="str">
        <f t="shared" si="3"/>
        <v>-</v>
      </c>
      <c r="P10" s="202">
        <v>4</v>
      </c>
      <c r="Q10" s="201">
        <v>0</v>
      </c>
      <c r="R10" s="203">
        <f t="shared" si="4"/>
        <v>4</v>
      </c>
      <c r="S10" s="144" t="s">
        <v>57</v>
      </c>
      <c r="T10" s="144" t="s">
        <v>58</v>
      </c>
      <c r="U10" s="144"/>
      <c r="V10" s="144"/>
      <c r="W10" s="94" t="b">
        <f t="shared" si="5"/>
        <v>1</v>
      </c>
    </row>
    <row r="11" spans="2:23" s="65" customFormat="1" ht="12.9" customHeight="1">
      <c r="B11" s="8">
        <f>SUBTOTAL(3,C$4:$C11)</f>
        <v>8</v>
      </c>
      <c r="C11" s="197" t="s">
        <v>70</v>
      </c>
      <c r="D11" s="144">
        <v>2010</v>
      </c>
      <c r="E11" s="144" t="s">
        <v>71</v>
      </c>
      <c r="F11" s="144">
        <v>4</v>
      </c>
      <c r="G11" s="144" t="s">
        <v>56</v>
      </c>
      <c r="H11" s="144" t="s">
        <v>56</v>
      </c>
      <c r="I11" s="199">
        <f t="shared" si="0"/>
        <v>4</v>
      </c>
      <c r="J11" s="144">
        <v>4</v>
      </c>
      <c r="K11" s="144" t="s">
        <v>56</v>
      </c>
      <c r="L11" s="144" t="s">
        <v>56</v>
      </c>
      <c r="M11" s="144">
        <f t="shared" si="1"/>
        <v>4</v>
      </c>
      <c r="N11" s="150">
        <f t="shared" si="2"/>
        <v>4</v>
      </c>
      <c r="O11" s="201" t="str">
        <f t="shared" si="3"/>
        <v>-</v>
      </c>
      <c r="P11" s="202">
        <v>4</v>
      </c>
      <c r="Q11" s="201">
        <v>0</v>
      </c>
      <c r="R11" s="203">
        <f t="shared" si="4"/>
        <v>4</v>
      </c>
      <c r="S11" s="144" t="s">
        <v>57</v>
      </c>
      <c r="T11" s="144" t="s">
        <v>58</v>
      </c>
      <c r="U11" s="144"/>
      <c r="V11" s="144"/>
      <c r="W11" s="94" t="b">
        <f t="shared" si="5"/>
        <v>1</v>
      </c>
    </row>
    <row r="12" spans="2:23" s="65" customFormat="1" ht="12.9" customHeight="1">
      <c r="B12" s="8">
        <f>SUBTOTAL(3,C$4:$C12)</f>
        <v>9</v>
      </c>
      <c r="C12" s="197" t="s">
        <v>72</v>
      </c>
      <c r="D12" s="144">
        <v>2010</v>
      </c>
      <c r="E12" s="144" t="s">
        <v>67</v>
      </c>
      <c r="F12" s="144">
        <v>2</v>
      </c>
      <c r="G12" s="144" t="s">
        <v>56</v>
      </c>
      <c r="H12" s="144" t="s">
        <v>56</v>
      </c>
      <c r="I12" s="199">
        <f t="shared" si="0"/>
        <v>2</v>
      </c>
      <c r="J12" s="144">
        <v>2</v>
      </c>
      <c r="K12" s="144" t="s">
        <v>56</v>
      </c>
      <c r="L12" s="144" t="s">
        <v>56</v>
      </c>
      <c r="M12" s="144">
        <f t="shared" si="1"/>
        <v>2</v>
      </c>
      <c r="N12" s="150">
        <f t="shared" si="2"/>
        <v>2</v>
      </c>
      <c r="O12" s="201" t="str">
        <f t="shared" si="3"/>
        <v>-</v>
      </c>
      <c r="P12" s="202">
        <v>2</v>
      </c>
      <c r="Q12" s="201">
        <v>0</v>
      </c>
      <c r="R12" s="203">
        <f t="shared" si="4"/>
        <v>2</v>
      </c>
      <c r="S12" s="144" t="s">
        <v>57</v>
      </c>
      <c r="T12" s="144" t="s">
        <v>58</v>
      </c>
      <c r="U12" s="144"/>
      <c r="V12" s="144"/>
      <c r="W12" s="94" t="b">
        <f t="shared" si="5"/>
        <v>1</v>
      </c>
    </row>
    <row r="13" spans="2:23" s="65" customFormat="1" ht="12.9" customHeight="1">
      <c r="B13" s="8">
        <f>SUBTOTAL(3,C$4:$C13)</f>
        <v>10</v>
      </c>
      <c r="C13" s="197" t="s">
        <v>73</v>
      </c>
      <c r="D13" s="144">
        <v>2010</v>
      </c>
      <c r="E13" s="144" t="s">
        <v>63</v>
      </c>
      <c r="F13" s="144">
        <v>1</v>
      </c>
      <c r="G13" s="144" t="s">
        <v>56</v>
      </c>
      <c r="H13" s="144" t="s">
        <v>56</v>
      </c>
      <c r="I13" s="199">
        <f t="shared" si="0"/>
        <v>1</v>
      </c>
      <c r="J13" s="144">
        <v>2</v>
      </c>
      <c r="K13" s="144" t="s">
        <v>56</v>
      </c>
      <c r="L13" s="144" t="s">
        <v>56</v>
      </c>
      <c r="M13" s="144">
        <f t="shared" si="1"/>
        <v>2</v>
      </c>
      <c r="N13" s="150">
        <f t="shared" si="2"/>
        <v>2</v>
      </c>
      <c r="O13" s="201" t="str">
        <f t="shared" si="3"/>
        <v>-</v>
      </c>
      <c r="P13" s="202">
        <v>2</v>
      </c>
      <c r="Q13" s="201">
        <v>0</v>
      </c>
      <c r="R13" s="203">
        <f t="shared" si="4"/>
        <v>2</v>
      </c>
      <c r="S13" s="144" t="s">
        <v>57</v>
      </c>
      <c r="T13" s="144" t="s">
        <v>58</v>
      </c>
      <c r="U13" s="144"/>
      <c r="V13" s="144"/>
      <c r="W13" s="94" t="b">
        <f t="shared" si="5"/>
        <v>1</v>
      </c>
    </row>
    <row r="14" spans="2:23" s="65" customFormat="1" ht="12.9" customHeight="1">
      <c r="B14" s="8">
        <f>SUBTOTAL(3,C$4:$C14)</f>
        <v>11</v>
      </c>
      <c r="C14" s="197" t="s">
        <v>74</v>
      </c>
      <c r="D14" s="144">
        <v>2018</v>
      </c>
      <c r="E14" s="144" t="s">
        <v>60</v>
      </c>
      <c r="F14" s="144">
        <v>4</v>
      </c>
      <c r="G14" s="144" t="s">
        <v>56</v>
      </c>
      <c r="H14" s="144" t="s">
        <v>56</v>
      </c>
      <c r="I14" s="199">
        <f t="shared" si="0"/>
        <v>4</v>
      </c>
      <c r="J14" s="144">
        <v>4</v>
      </c>
      <c r="K14" s="144" t="s">
        <v>56</v>
      </c>
      <c r="L14" s="144" t="s">
        <v>56</v>
      </c>
      <c r="M14" s="144">
        <f t="shared" si="1"/>
        <v>4</v>
      </c>
      <c r="N14" s="150">
        <f t="shared" si="2"/>
        <v>4</v>
      </c>
      <c r="O14" s="201" t="str">
        <f t="shared" si="3"/>
        <v>-</v>
      </c>
      <c r="P14" s="202">
        <v>4</v>
      </c>
      <c r="Q14" s="201">
        <v>0</v>
      </c>
      <c r="R14" s="203">
        <f t="shared" si="4"/>
        <v>4</v>
      </c>
      <c r="S14" s="144" t="s">
        <v>57</v>
      </c>
      <c r="T14" s="144" t="s">
        <v>58</v>
      </c>
      <c r="U14" s="144"/>
      <c r="V14" s="144"/>
      <c r="W14" s="94" t="b">
        <f t="shared" si="5"/>
        <v>1</v>
      </c>
    </row>
    <row r="15" spans="2:23" s="65" customFormat="1" ht="12.9" customHeight="1">
      <c r="B15" s="8">
        <f>SUBTOTAL(3,C$4:$C15)</f>
        <v>12</v>
      </c>
      <c r="C15" s="197" t="s">
        <v>75</v>
      </c>
      <c r="D15" s="144">
        <v>2010</v>
      </c>
      <c r="E15" s="144" t="s">
        <v>60</v>
      </c>
      <c r="F15" s="144">
        <v>4</v>
      </c>
      <c r="G15" s="144" t="s">
        <v>56</v>
      </c>
      <c r="H15" s="144" t="s">
        <v>56</v>
      </c>
      <c r="I15" s="199">
        <f t="shared" si="0"/>
        <v>4</v>
      </c>
      <c r="J15" s="144">
        <v>4</v>
      </c>
      <c r="K15" s="144" t="s">
        <v>56</v>
      </c>
      <c r="L15" s="144" t="s">
        <v>56</v>
      </c>
      <c r="M15" s="144">
        <f t="shared" si="1"/>
        <v>4</v>
      </c>
      <c r="N15" s="150">
        <f t="shared" si="2"/>
        <v>4</v>
      </c>
      <c r="O15" s="201" t="str">
        <f t="shared" si="3"/>
        <v>-</v>
      </c>
      <c r="P15" s="202">
        <v>4</v>
      </c>
      <c r="Q15" s="201">
        <v>0</v>
      </c>
      <c r="R15" s="203">
        <f t="shared" si="4"/>
        <v>4</v>
      </c>
      <c r="S15" s="144" t="s">
        <v>57</v>
      </c>
      <c r="T15" s="144" t="s">
        <v>58</v>
      </c>
      <c r="U15" s="144"/>
      <c r="V15" s="144"/>
      <c r="W15" s="94" t="b">
        <f t="shared" si="5"/>
        <v>1</v>
      </c>
    </row>
    <row r="16" spans="2:23" s="65" customFormat="1" ht="12.9" customHeight="1">
      <c r="B16" s="8">
        <f>SUBTOTAL(3,C$4:$C16)</f>
        <v>13</v>
      </c>
      <c r="C16" s="197" t="s">
        <v>76</v>
      </c>
      <c r="D16" s="144">
        <v>2010</v>
      </c>
      <c r="E16" s="144" t="s">
        <v>60</v>
      </c>
      <c r="F16" s="144">
        <v>5</v>
      </c>
      <c r="G16" s="144" t="s">
        <v>56</v>
      </c>
      <c r="H16" s="144" t="s">
        <v>56</v>
      </c>
      <c r="I16" s="199">
        <f t="shared" si="0"/>
        <v>5</v>
      </c>
      <c r="J16" s="144">
        <v>5</v>
      </c>
      <c r="K16" s="144" t="s">
        <v>56</v>
      </c>
      <c r="L16" s="144" t="s">
        <v>56</v>
      </c>
      <c r="M16" s="144">
        <f t="shared" si="1"/>
        <v>5</v>
      </c>
      <c r="N16" s="150">
        <f t="shared" si="2"/>
        <v>5</v>
      </c>
      <c r="O16" s="201" t="str">
        <f t="shared" si="3"/>
        <v>-</v>
      </c>
      <c r="P16" s="202">
        <v>5</v>
      </c>
      <c r="Q16" s="201">
        <v>0</v>
      </c>
      <c r="R16" s="203">
        <f t="shared" si="4"/>
        <v>5</v>
      </c>
      <c r="S16" s="144" t="s">
        <v>57</v>
      </c>
      <c r="T16" s="144" t="s">
        <v>58</v>
      </c>
      <c r="U16" s="144"/>
      <c r="V16" s="144"/>
      <c r="W16" s="94" t="b">
        <f t="shared" si="5"/>
        <v>1</v>
      </c>
    </row>
    <row r="17" spans="2:23" s="65" customFormat="1" ht="12.9" customHeight="1">
      <c r="B17" s="8">
        <f>SUBTOTAL(3,C$4:$C17)</f>
        <v>14</v>
      </c>
      <c r="C17" s="197" t="s">
        <v>77</v>
      </c>
      <c r="D17" s="144">
        <v>2025</v>
      </c>
      <c r="E17" s="144" t="s">
        <v>60</v>
      </c>
      <c r="F17" s="144" t="s">
        <v>56</v>
      </c>
      <c r="G17" s="144" t="s">
        <v>56</v>
      </c>
      <c r="H17" s="144" t="s">
        <v>56</v>
      </c>
      <c r="I17" s="199" t="str">
        <f t="shared" si="0"/>
        <v>-</v>
      </c>
      <c r="J17" s="144">
        <v>1</v>
      </c>
      <c r="K17" s="144" t="s">
        <v>56</v>
      </c>
      <c r="L17" s="144" t="s">
        <v>56</v>
      </c>
      <c r="M17" s="144">
        <f t="shared" si="1"/>
        <v>1</v>
      </c>
      <c r="N17" s="150">
        <f t="shared" si="2"/>
        <v>1</v>
      </c>
      <c r="O17" s="201" t="str">
        <f t="shared" si="3"/>
        <v>-</v>
      </c>
      <c r="P17" s="202">
        <v>1</v>
      </c>
      <c r="Q17" s="201">
        <v>0</v>
      </c>
      <c r="R17" s="203">
        <f t="shared" si="4"/>
        <v>1</v>
      </c>
      <c r="S17" s="144" t="s">
        <v>57</v>
      </c>
      <c r="T17" s="144" t="s">
        <v>58</v>
      </c>
      <c r="U17" s="144"/>
      <c r="V17" s="204">
        <v>45763</v>
      </c>
      <c r="W17" s="94" t="b">
        <f t="shared" si="5"/>
        <v>1</v>
      </c>
    </row>
    <row r="18" spans="2:23" ht="12.9" customHeight="1">
      <c r="B18" s="8">
        <f>SUBTOTAL(3,C$4:$C18)</f>
        <v>15</v>
      </c>
      <c r="C18" s="197" t="s">
        <v>54</v>
      </c>
      <c r="D18" s="144">
        <v>2010</v>
      </c>
      <c r="E18" s="144" t="s">
        <v>55</v>
      </c>
      <c r="F18" s="144">
        <v>8</v>
      </c>
      <c r="G18" s="144" t="s">
        <v>56</v>
      </c>
      <c r="H18" s="144" t="s">
        <v>56</v>
      </c>
      <c r="I18" s="199">
        <f t="shared" si="0"/>
        <v>8</v>
      </c>
      <c r="J18" s="144">
        <v>8</v>
      </c>
      <c r="K18" s="144" t="s">
        <v>56</v>
      </c>
      <c r="L18" s="144" t="s">
        <v>56</v>
      </c>
      <c r="M18" s="144">
        <f t="shared" si="1"/>
        <v>8</v>
      </c>
      <c r="N18" s="150">
        <f t="shared" si="2"/>
        <v>8</v>
      </c>
      <c r="O18" s="201" t="str">
        <f t="shared" si="3"/>
        <v>-</v>
      </c>
      <c r="P18" s="202">
        <v>8</v>
      </c>
      <c r="Q18" s="201">
        <v>0</v>
      </c>
      <c r="R18" s="203">
        <f t="shared" si="4"/>
        <v>8</v>
      </c>
      <c r="S18" s="144" t="s">
        <v>57</v>
      </c>
      <c r="T18" s="144" t="s">
        <v>78</v>
      </c>
      <c r="U18" s="144"/>
      <c r="V18" s="144"/>
      <c r="W18" s="94" t="b">
        <f t="shared" si="5"/>
        <v>1</v>
      </c>
    </row>
    <row r="19" spans="2:23" ht="12.9" customHeight="1">
      <c r="B19" s="8">
        <f>SUBTOTAL(3,C$4:$C19)</f>
        <v>16</v>
      </c>
      <c r="C19" s="197" t="s">
        <v>59</v>
      </c>
      <c r="D19" s="144">
        <v>2015</v>
      </c>
      <c r="E19" s="144" t="s">
        <v>60</v>
      </c>
      <c r="F19" s="144">
        <v>8</v>
      </c>
      <c r="G19" s="144" t="s">
        <v>56</v>
      </c>
      <c r="H19" s="144" t="s">
        <v>56</v>
      </c>
      <c r="I19" s="199">
        <f t="shared" si="0"/>
        <v>8</v>
      </c>
      <c r="J19" s="144">
        <v>8</v>
      </c>
      <c r="K19" s="144" t="s">
        <v>56</v>
      </c>
      <c r="L19" s="144" t="s">
        <v>56</v>
      </c>
      <c r="M19" s="144">
        <f t="shared" si="1"/>
        <v>8</v>
      </c>
      <c r="N19" s="150">
        <f t="shared" si="2"/>
        <v>8</v>
      </c>
      <c r="O19" s="201" t="str">
        <f t="shared" si="3"/>
        <v>-</v>
      </c>
      <c r="P19" s="202">
        <v>8</v>
      </c>
      <c r="Q19" s="201">
        <v>0</v>
      </c>
      <c r="R19" s="203">
        <f t="shared" si="4"/>
        <v>8</v>
      </c>
      <c r="S19" s="144" t="s">
        <v>57</v>
      </c>
      <c r="T19" s="144" t="s">
        <v>78</v>
      </c>
      <c r="U19" s="144"/>
      <c r="V19" s="144"/>
      <c r="W19" s="94" t="b">
        <f t="shared" si="5"/>
        <v>1</v>
      </c>
    </row>
    <row r="20" spans="2:23" ht="12.9" customHeight="1">
      <c r="B20" s="8">
        <f>SUBTOTAL(3,C$4:$C20)</f>
        <v>17</v>
      </c>
      <c r="C20" s="197" t="s">
        <v>61</v>
      </c>
      <c r="D20" s="198" t="s">
        <v>62</v>
      </c>
      <c r="E20" s="144" t="s">
        <v>63</v>
      </c>
      <c r="F20" s="144">
        <v>8</v>
      </c>
      <c r="G20" s="144" t="s">
        <v>56</v>
      </c>
      <c r="H20" s="144" t="s">
        <v>56</v>
      </c>
      <c r="I20" s="199">
        <f t="shared" si="0"/>
        <v>8</v>
      </c>
      <c r="J20" s="144">
        <v>8</v>
      </c>
      <c r="K20" s="144" t="s">
        <v>56</v>
      </c>
      <c r="L20" s="144" t="s">
        <v>56</v>
      </c>
      <c r="M20" s="144">
        <f t="shared" si="1"/>
        <v>8</v>
      </c>
      <c r="N20" s="150">
        <f t="shared" si="2"/>
        <v>8</v>
      </c>
      <c r="O20" s="201" t="str">
        <f t="shared" si="3"/>
        <v>-</v>
      </c>
      <c r="P20" s="202">
        <v>8</v>
      </c>
      <c r="Q20" s="201">
        <v>0</v>
      </c>
      <c r="R20" s="203">
        <f t="shared" si="4"/>
        <v>8</v>
      </c>
      <c r="S20" s="144" t="s">
        <v>57</v>
      </c>
      <c r="T20" s="144" t="s">
        <v>78</v>
      </c>
      <c r="U20" s="144"/>
      <c r="V20" s="144"/>
      <c r="W20" s="94" t="b">
        <f t="shared" si="5"/>
        <v>1</v>
      </c>
    </row>
    <row r="21" spans="2:23" ht="12.9" customHeight="1">
      <c r="B21" s="8">
        <f>SUBTOTAL(3,C$4:$C21)</f>
        <v>18</v>
      </c>
      <c r="C21" s="197" t="s">
        <v>64</v>
      </c>
      <c r="D21" s="198" t="s">
        <v>62</v>
      </c>
      <c r="E21" s="144" t="s">
        <v>63</v>
      </c>
      <c r="F21" s="144">
        <v>8</v>
      </c>
      <c r="G21" s="144" t="s">
        <v>56</v>
      </c>
      <c r="H21" s="144" t="s">
        <v>56</v>
      </c>
      <c r="I21" s="199">
        <f t="shared" si="0"/>
        <v>8</v>
      </c>
      <c r="J21" s="144">
        <v>8</v>
      </c>
      <c r="K21" s="144" t="s">
        <v>56</v>
      </c>
      <c r="L21" s="144" t="s">
        <v>56</v>
      </c>
      <c r="M21" s="144">
        <f t="shared" si="1"/>
        <v>8</v>
      </c>
      <c r="N21" s="150">
        <f t="shared" si="2"/>
        <v>8</v>
      </c>
      <c r="O21" s="201" t="str">
        <f t="shared" si="3"/>
        <v>-</v>
      </c>
      <c r="P21" s="202">
        <v>8</v>
      </c>
      <c r="Q21" s="201">
        <v>0</v>
      </c>
      <c r="R21" s="203">
        <f t="shared" si="4"/>
        <v>8</v>
      </c>
      <c r="S21" s="144" t="s">
        <v>57</v>
      </c>
      <c r="T21" s="144" t="s">
        <v>78</v>
      </c>
      <c r="U21" s="144"/>
      <c r="V21" s="144"/>
      <c r="W21" s="94" t="b">
        <f t="shared" si="5"/>
        <v>1</v>
      </c>
    </row>
    <row r="22" spans="2:23" ht="12.9" customHeight="1">
      <c r="B22" s="8">
        <f>SUBTOTAL(3,C$4:$C22)</f>
        <v>19</v>
      </c>
      <c r="C22" s="197" t="s">
        <v>65</v>
      </c>
      <c r="D22" s="144" t="s">
        <v>66</v>
      </c>
      <c r="E22" s="144" t="s">
        <v>67</v>
      </c>
      <c r="F22" s="144">
        <v>8</v>
      </c>
      <c r="G22" s="144" t="s">
        <v>56</v>
      </c>
      <c r="H22" s="144" t="s">
        <v>56</v>
      </c>
      <c r="I22" s="199">
        <f t="shared" si="0"/>
        <v>8</v>
      </c>
      <c r="J22" s="144">
        <v>8</v>
      </c>
      <c r="K22" s="144" t="s">
        <v>56</v>
      </c>
      <c r="L22" s="144" t="s">
        <v>56</v>
      </c>
      <c r="M22" s="144">
        <f t="shared" si="1"/>
        <v>8</v>
      </c>
      <c r="N22" s="150">
        <f t="shared" si="2"/>
        <v>8</v>
      </c>
      <c r="O22" s="201" t="str">
        <f t="shared" si="3"/>
        <v>-</v>
      </c>
      <c r="P22" s="202">
        <v>8</v>
      </c>
      <c r="Q22" s="201">
        <v>0</v>
      </c>
      <c r="R22" s="203">
        <f t="shared" si="4"/>
        <v>8</v>
      </c>
      <c r="S22" s="144" t="s">
        <v>57</v>
      </c>
      <c r="T22" s="144" t="s">
        <v>78</v>
      </c>
      <c r="U22" s="144"/>
      <c r="V22" s="144"/>
      <c r="W22" s="94" t="b">
        <f t="shared" si="5"/>
        <v>1</v>
      </c>
    </row>
    <row r="23" spans="2:23" ht="12.9" customHeight="1">
      <c r="B23" s="8">
        <f>SUBTOTAL(3,C$4:$C23)</f>
        <v>20</v>
      </c>
      <c r="C23" s="197" t="s">
        <v>68</v>
      </c>
      <c r="D23" s="144">
        <v>2010</v>
      </c>
      <c r="E23" s="144" t="s">
        <v>55</v>
      </c>
      <c r="F23" s="144">
        <v>4</v>
      </c>
      <c r="G23" s="144" t="s">
        <v>56</v>
      </c>
      <c r="H23" s="144" t="s">
        <v>56</v>
      </c>
      <c r="I23" s="199">
        <f t="shared" si="0"/>
        <v>4</v>
      </c>
      <c r="J23" s="144">
        <v>4</v>
      </c>
      <c r="K23" s="144" t="s">
        <v>56</v>
      </c>
      <c r="L23" s="144" t="s">
        <v>56</v>
      </c>
      <c r="M23" s="144">
        <f t="shared" si="1"/>
        <v>4</v>
      </c>
      <c r="N23" s="150">
        <f t="shared" si="2"/>
        <v>4</v>
      </c>
      <c r="O23" s="201" t="str">
        <f t="shared" si="3"/>
        <v>-</v>
      </c>
      <c r="P23" s="202">
        <v>4</v>
      </c>
      <c r="Q23" s="201">
        <v>0</v>
      </c>
      <c r="R23" s="203">
        <f t="shared" si="4"/>
        <v>4</v>
      </c>
      <c r="S23" s="144" t="s">
        <v>57</v>
      </c>
      <c r="T23" s="144" t="s">
        <v>78</v>
      </c>
      <c r="U23" s="144"/>
      <c r="V23" s="144"/>
      <c r="W23" s="94" t="b">
        <f t="shared" si="5"/>
        <v>1</v>
      </c>
    </row>
    <row r="24" spans="2:23" ht="12.9" customHeight="1">
      <c r="B24" s="8">
        <f>SUBTOTAL(3,C$4:$C24)</f>
        <v>21</v>
      </c>
      <c r="C24" s="197" t="s">
        <v>79</v>
      </c>
      <c r="D24" s="144">
        <v>2015</v>
      </c>
      <c r="E24" s="144" t="s">
        <v>55</v>
      </c>
      <c r="F24" s="144">
        <v>4</v>
      </c>
      <c r="G24" s="144" t="s">
        <v>56</v>
      </c>
      <c r="H24" s="144">
        <v>1</v>
      </c>
      <c r="I24" s="199">
        <f t="shared" si="0"/>
        <v>4</v>
      </c>
      <c r="J24" s="144">
        <v>4</v>
      </c>
      <c r="K24" s="144" t="s">
        <v>56</v>
      </c>
      <c r="L24" s="144">
        <v>1</v>
      </c>
      <c r="M24" s="144">
        <f t="shared" si="1"/>
        <v>5</v>
      </c>
      <c r="N24" s="150">
        <f t="shared" si="2"/>
        <v>4</v>
      </c>
      <c r="O24" s="201">
        <f t="shared" si="3"/>
        <v>1</v>
      </c>
      <c r="P24" s="202">
        <v>4</v>
      </c>
      <c r="Q24" s="202">
        <v>1</v>
      </c>
      <c r="R24" s="203">
        <f t="shared" si="4"/>
        <v>5</v>
      </c>
      <c r="S24" s="144" t="s">
        <v>57</v>
      </c>
      <c r="T24" s="144" t="s">
        <v>78</v>
      </c>
      <c r="U24" s="144" t="s">
        <v>80</v>
      </c>
      <c r="V24" s="144"/>
      <c r="W24" s="94" t="b">
        <f t="shared" si="5"/>
        <v>1</v>
      </c>
    </row>
    <row r="25" spans="2:23" ht="12.9" customHeight="1">
      <c r="B25" s="8">
        <f>SUBTOTAL(3,C$4:$C25)</f>
        <v>22</v>
      </c>
      <c r="C25" s="197" t="s">
        <v>70</v>
      </c>
      <c r="D25" s="144">
        <v>2010</v>
      </c>
      <c r="E25" s="144" t="s">
        <v>71</v>
      </c>
      <c r="F25" s="144">
        <v>4</v>
      </c>
      <c r="G25" s="144" t="s">
        <v>56</v>
      </c>
      <c r="H25" s="144" t="s">
        <v>56</v>
      </c>
      <c r="I25" s="199">
        <f t="shared" si="0"/>
        <v>4</v>
      </c>
      <c r="J25" s="144">
        <v>4</v>
      </c>
      <c r="K25" s="144" t="s">
        <v>56</v>
      </c>
      <c r="L25" s="144" t="s">
        <v>56</v>
      </c>
      <c r="M25" s="144">
        <f t="shared" si="1"/>
        <v>4</v>
      </c>
      <c r="N25" s="150">
        <f t="shared" si="2"/>
        <v>4</v>
      </c>
      <c r="O25" s="201" t="str">
        <f t="shared" si="3"/>
        <v>-</v>
      </c>
      <c r="P25" s="202">
        <v>4</v>
      </c>
      <c r="Q25" s="201">
        <v>0</v>
      </c>
      <c r="R25" s="203">
        <f t="shared" si="4"/>
        <v>4</v>
      </c>
      <c r="S25" s="144" t="s">
        <v>57</v>
      </c>
      <c r="T25" s="144" t="s">
        <v>78</v>
      </c>
      <c r="U25" s="144"/>
      <c r="V25" s="144"/>
      <c r="W25" s="94" t="b">
        <f t="shared" si="5"/>
        <v>1</v>
      </c>
    </row>
    <row r="26" spans="2:23" ht="12.9" customHeight="1">
      <c r="B26" s="8">
        <f>SUBTOTAL(3,C$4:$C26)</f>
        <v>23</v>
      </c>
      <c r="C26" s="197" t="s">
        <v>72</v>
      </c>
      <c r="D26" s="144">
        <v>2010</v>
      </c>
      <c r="E26" s="144" t="s">
        <v>67</v>
      </c>
      <c r="F26" s="144">
        <v>2</v>
      </c>
      <c r="G26" s="144" t="s">
        <v>56</v>
      </c>
      <c r="H26" s="144" t="s">
        <v>56</v>
      </c>
      <c r="I26" s="199">
        <f t="shared" si="0"/>
        <v>2</v>
      </c>
      <c r="J26" s="144">
        <v>2</v>
      </c>
      <c r="K26" s="144" t="s">
        <v>56</v>
      </c>
      <c r="L26" s="144" t="s">
        <v>56</v>
      </c>
      <c r="M26" s="144">
        <f t="shared" si="1"/>
        <v>2</v>
      </c>
      <c r="N26" s="150">
        <f t="shared" si="2"/>
        <v>2</v>
      </c>
      <c r="O26" s="201" t="str">
        <f t="shared" si="3"/>
        <v>-</v>
      </c>
      <c r="P26" s="202">
        <v>2</v>
      </c>
      <c r="Q26" s="201">
        <v>0</v>
      </c>
      <c r="R26" s="203">
        <f t="shared" si="4"/>
        <v>2</v>
      </c>
      <c r="S26" s="144" t="s">
        <v>57</v>
      </c>
      <c r="T26" s="144" t="s">
        <v>78</v>
      </c>
      <c r="U26" s="144"/>
      <c r="V26" s="144"/>
      <c r="W26" s="94" t="b">
        <f t="shared" si="5"/>
        <v>1</v>
      </c>
    </row>
    <row r="27" spans="2:23" ht="12.9" customHeight="1">
      <c r="B27" s="8">
        <f>SUBTOTAL(3,C$4:$C27)</f>
        <v>24</v>
      </c>
      <c r="C27" s="197" t="s">
        <v>73</v>
      </c>
      <c r="D27" s="144">
        <v>2010</v>
      </c>
      <c r="E27" s="144" t="s">
        <v>63</v>
      </c>
      <c r="F27" s="144">
        <v>1</v>
      </c>
      <c r="G27" s="144" t="s">
        <v>56</v>
      </c>
      <c r="H27" s="144" t="s">
        <v>56</v>
      </c>
      <c r="I27" s="199">
        <f t="shared" si="0"/>
        <v>1</v>
      </c>
      <c r="J27" s="144">
        <v>2</v>
      </c>
      <c r="K27" s="144" t="s">
        <v>56</v>
      </c>
      <c r="L27" s="144" t="s">
        <v>56</v>
      </c>
      <c r="M27" s="144">
        <f t="shared" si="1"/>
        <v>2</v>
      </c>
      <c r="N27" s="150">
        <f t="shared" si="2"/>
        <v>2</v>
      </c>
      <c r="O27" s="201" t="str">
        <f t="shared" si="3"/>
        <v>-</v>
      </c>
      <c r="P27" s="202">
        <v>2</v>
      </c>
      <c r="Q27" s="201">
        <v>0</v>
      </c>
      <c r="R27" s="203">
        <f t="shared" si="4"/>
        <v>2</v>
      </c>
      <c r="S27" s="144" t="s">
        <v>57</v>
      </c>
      <c r="T27" s="144" t="s">
        <v>78</v>
      </c>
      <c r="U27" s="144"/>
      <c r="V27" s="144"/>
      <c r="W27" s="94" t="b">
        <f t="shared" si="5"/>
        <v>1</v>
      </c>
    </row>
    <row r="28" spans="2:23" ht="12.9" customHeight="1">
      <c r="B28" s="8">
        <f>SUBTOTAL(3,C$4:$C28)</f>
        <v>25</v>
      </c>
      <c r="C28" s="197" t="s">
        <v>74</v>
      </c>
      <c r="D28" s="144">
        <v>2018</v>
      </c>
      <c r="E28" s="144" t="s">
        <v>60</v>
      </c>
      <c r="F28" s="144">
        <v>4</v>
      </c>
      <c r="G28" s="144" t="s">
        <v>56</v>
      </c>
      <c r="H28" s="144" t="s">
        <v>56</v>
      </c>
      <c r="I28" s="199">
        <f t="shared" si="0"/>
        <v>4</v>
      </c>
      <c r="J28" s="144">
        <v>4</v>
      </c>
      <c r="K28" s="144" t="s">
        <v>56</v>
      </c>
      <c r="L28" s="144" t="s">
        <v>56</v>
      </c>
      <c r="M28" s="144">
        <f t="shared" si="1"/>
        <v>4</v>
      </c>
      <c r="N28" s="150">
        <f t="shared" si="2"/>
        <v>4</v>
      </c>
      <c r="O28" s="201" t="str">
        <f t="shared" si="3"/>
        <v>-</v>
      </c>
      <c r="P28" s="202">
        <v>4</v>
      </c>
      <c r="Q28" s="201">
        <v>0</v>
      </c>
      <c r="R28" s="203">
        <f t="shared" si="4"/>
        <v>4</v>
      </c>
      <c r="S28" s="144" t="s">
        <v>57</v>
      </c>
      <c r="T28" s="144" t="s">
        <v>78</v>
      </c>
      <c r="U28" s="144"/>
      <c r="V28" s="144"/>
      <c r="W28" s="94" t="b">
        <f t="shared" si="5"/>
        <v>1</v>
      </c>
    </row>
    <row r="29" spans="2:23" ht="12.9" customHeight="1">
      <c r="B29" s="8">
        <f>SUBTOTAL(3,C$4:$C29)</f>
        <v>26</v>
      </c>
      <c r="C29" s="197" t="s">
        <v>75</v>
      </c>
      <c r="D29" s="144">
        <v>2010</v>
      </c>
      <c r="E29" s="144" t="s">
        <v>60</v>
      </c>
      <c r="F29" s="144">
        <v>4</v>
      </c>
      <c r="G29" s="144" t="s">
        <v>56</v>
      </c>
      <c r="H29" s="144" t="s">
        <v>56</v>
      </c>
      <c r="I29" s="199">
        <f t="shared" si="0"/>
        <v>4</v>
      </c>
      <c r="J29" s="144">
        <v>4</v>
      </c>
      <c r="K29" s="144" t="s">
        <v>56</v>
      </c>
      <c r="L29" s="144" t="s">
        <v>56</v>
      </c>
      <c r="M29" s="144">
        <f t="shared" si="1"/>
        <v>4</v>
      </c>
      <c r="N29" s="150">
        <f t="shared" si="2"/>
        <v>4</v>
      </c>
      <c r="O29" s="201" t="str">
        <f t="shared" si="3"/>
        <v>-</v>
      </c>
      <c r="P29" s="202">
        <v>4</v>
      </c>
      <c r="Q29" s="201">
        <v>0</v>
      </c>
      <c r="R29" s="203">
        <f t="shared" si="4"/>
        <v>4</v>
      </c>
      <c r="S29" s="144" t="s">
        <v>57</v>
      </c>
      <c r="T29" s="144" t="s">
        <v>78</v>
      </c>
      <c r="U29" s="144"/>
      <c r="V29" s="144"/>
      <c r="W29" s="94" t="b">
        <f t="shared" si="5"/>
        <v>1</v>
      </c>
    </row>
    <row r="30" spans="2:23" ht="12.9" customHeight="1">
      <c r="B30" s="8">
        <f>SUBTOTAL(3,C$4:$C30)</f>
        <v>27</v>
      </c>
      <c r="C30" s="197" t="s">
        <v>76</v>
      </c>
      <c r="D30" s="144">
        <v>2010</v>
      </c>
      <c r="E30" s="144" t="s">
        <v>60</v>
      </c>
      <c r="F30" s="144">
        <v>5</v>
      </c>
      <c r="G30" s="144" t="s">
        <v>56</v>
      </c>
      <c r="H30" s="144" t="s">
        <v>56</v>
      </c>
      <c r="I30" s="199">
        <f t="shared" si="0"/>
        <v>5</v>
      </c>
      <c r="J30" s="144">
        <v>5</v>
      </c>
      <c r="K30" s="144" t="s">
        <v>56</v>
      </c>
      <c r="L30" s="144" t="s">
        <v>56</v>
      </c>
      <c r="M30" s="144">
        <f t="shared" si="1"/>
        <v>5</v>
      </c>
      <c r="N30" s="150">
        <f t="shared" si="2"/>
        <v>5</v>
      </c>
      <c r="O30" s="201" t="str">
        <f t="shared" si="3"/>
        <v>-</v>
      </c>
      <c r="P30" s="202">
        <v>5</v>
      </c>
      <c r="Q30" s="201">
        <v>0</v>
      </c>
      <c r="R30" s="203">
        <f t="shared" si="4"/>
        <v>5</v>
      </c>
      <c r="S30" s="144" t="s">
        <v>57</v>
      </c>
      <c r="T30" s="144" t="s">
        <v>78</v>
      </c>
      <c r="U30" s="144"/>
      <c r="V30" s="144"/>
      <c r="W30" s="94" t="b">
        <f t="shared" si="5"/>
        <v>1</v>
      </c>
    </row>
    <row r="31" spans="2:23" ht="12.9" customHeight="1">
      <c r="B31" s="8">
        <f>SUBTOTAL(3,C$4:$C31)</f>
        <v>28</v>
      </c>
      <c r="C31" s="197" t="s">
        <v>77</v>
      </c>
      <c r="D31" s="144">
        <v>2025</v>
      </c>
      <c r="E31" s="144" t="s">
        <v>60</v>
      </c>
      <c r="F31" s="144" t="s">
        <v>56</v>
      </c>
      <c r="G31" s="144" t="s">
        <v>56</v>
      </c>
      <c r="H31" s="144" t="s">
        <v>56</v>
      </c>
      <c r="I31" s="199" t="str">
        <f t="shared" si="0"/>
        <v>-</v>
      </c>
      <c r="J31" s="144">
        <v>1</v>
      </c>
      <c r="K31" s="144" t="s">
        <v>56</v>
      </c>
      <c r="L31" s="144" t="s">
        <v>56</v>
      </c>
      <c r="M31" s="144">
        <f t="shared" si="1"/>
        <v>1</v>
      </c>
      <c r="N31" s="150">
        <f t="shared" si="2"/>
        <v>1</v>
      </c>
      <c r="O31" s="201" t="str">
        <f t="shared" si="3"/>
        <v>-</v>
      </c>
      <c r="P31" s="202">
        <v>1</v>
      </c>
      <c r="Q31" s="201">
        <v>0</v>
      </c>
      <c r="R31" s="203">
        <f t="shared" si="4"/>
        <v>1</v>
      </c>
      <c r="S31" s="144" t="s">
        <v>57</v>
      </c>
      <c r="T31" s="144" t="s">
        <v>78</v>
      </c>
      <c r="U31" s="144"/>
      <c r="V31" s="204">
        <v>45763</v>
      </c>
      <c r="W31" s="94" t="b">
        <f t="shared" si="5"/>
        <v>1</v>
      </c>
    </row>
    <row r="32" spans="2:23" s="65" customFormat="1" ht="12.9" customHeight="1">
      <c r="B32" s="8">
        <f>SUBTOTAL(3,C$4:$C32)</f>
        <v>29</v>
      </c>
      <c r="C32" s="197" t="s">
        <v>54</v>
      </c>
      <c r="D32" s="144">
        <v>2010</v>
      </c>
      <c r="E32" s="144" t="s">
        <v>55</v>
      </c>
      <c r="F32" s="144">
        <v>8</v>
      </c>
      <c r="G32" s="144" t="s">
        <v>56</v>
      </c>
      <c r="H32" s="144" t="s">
        <v>56</v>
      </c>
      <c r="I32" s="199">
        <f t="shared" si="0"/>
        <v>8</v>
      </c>
      <c r="J32" s="144">
        <v>8</v>
      </c>
      <c r="K32" s="144" t="s">
        <v>56</v>
      </c>
      <c r="L32" s="144" t="s">
        <v>56</v>
      </c>
      <c r="M32" s="144">
        <f t="shared" si="1"/>
        <v>8</v>
      </c>
      <c r="N32" s="150">
        <f t="shared" si="2"/>
        <v>8</v>
      </c>
      <c r="O32" s="201" t="str">
        <f t="shared" si="3"/>
        <v>-</v>
      </c>
      <c r="P32" s="202">
        <v>8</v>
      </c>
      <c r="Q32" s="201">
        <v>0</v>
      </c>
      <c r="R32" s="203">
        <f t="shared" si="4"/>
        <v>8</v>
      </c>
      <c r="S32" s="144" t="s">
        <v>57</v>
      </c>
      <c r="T32" s="144" t="s">
        <v>81</v>
      </c>
      <c r="U32" s="144"/>
      <c r="V32" s="144"/>
      <c r="W32" s="94" t="b">
        <f t="shared" si="5"/>
        <v>1</v>
      </c>
    </row>
    <row r="33" spans="2:23" s="65" customFormat="1" ht="12.9" customHeight="1">
      <c r="B33" s="8">
        <f>SUBTOTAL(3,C$4:$C33)</f>
        <v>30</v>
      </c>
      <c r="C33" s="197" t="s">
        <v>59</v>
      </c>
      <c r="D33" s="144">
        <v>2015</v>
      </c>
      <c r="E33" s="144" t="s">
        <v>60</v>
      </c>
      <c r="F33" s="144">
        <v>8</v>
      </c>
      <c r="G33" s="144" t="s">
        <v>56</v>
      </c>
      <c r="H33" s="144" t="s">
        <v>56</v>
      </c>
      <c r="I33" s="199">
        <f t="shared" si="0"/>
        <v>8</v>
      </c>
      <c r="J33" s="144">
        <v>8</v>
      </c>
      <c r="K33" s="144" t="s">
        <v>56</v>
      </c>
      <c r="L33" s="144" t="s">
        <v>56</v>
      </c>
      <c r="M33" s="144">
        <f t="shared" si="1"/>
        <v>8</v>
      </c>
      <c r="N33" s="150">
        <f t="shared" si="2"/>
        <v>8</v>
      </c>
      <c r="O33" s="201" t="str">
        <f t="shared" si="3"/>
        <v>-</v>
      </c>
      <c r="P33" s="202">
        <v>8</v>
      </c>
      <c r="Q33" s="201">
        <v>0</v>
      </c>
      <c r="R33" s="203">
        <f t="shared" si="4"/>
        <v>8</v>
      </c>
      <c r="S33" s="144" t="s">
        <v>57</v>
      </c>
      <c r="T33" s="144" t="s">
        <v>81</v>
      </c>
      <c r="U33" s="144"/>
      <c r="V33" s="144"/>
      <c r="W33" s="94" t="b">
        <f t="shared" si="5"/>
        <v>1</v>
      </c>
    </row>
    <row r="34" spans="2:23" s="65" customFormat="1" ht="12.9" customHeight="1">
      <c r="B34" s="8">
        <f>SUBTOTAL(3,C$4:$C34)</f>
        <v>31</v>
      </c>
      <c r="C34" s="197" t="s">
        <v>61</v>
      </c>
      <c r="D34" s="198" t="s">
        <v>62</v>
      </c>
      <c r="E34" s="144" t="s">
        <v>63</v>
      </c>
      <c r="F34" s="144">
        <v>8</v>
      </c>
      <c r="G34" s="144" t="s">
        <v>56</v>
      </c>
      <c r="H34" s="144" t="s">
        <v>56</v>
      </c>
      <c r="I34" s="199">
        <f t="shared" si="0"/>
        <v>8</v>
      </c>
      <c r="J34" s="144">
        <v>8</v>
      </c>
      <c r="K34" s="144" t="s">
        <v>56</v>
      </c>
      <c r="L34" s="144" t="s">
        <v>56</v>
      </c>
      <c r="M34" s="144">
        <f t="shared" si="1"/>
        <v>8</v>
      </c>
      <c r="N34" s="150">
        <f t="shared" si="2"/>
        <v>8</v>
      </c>
      <c r="O34" s="201" t="str">
        <f t="shared" si="3"/>
        <v>-</v>
      </c>
      <c r="P34" s="202">
        <v>8</v>
      </c>
      <c r="Q34" s="201">
        <v>0</v>
      </c>
      <c r="R34" s="203">
        <f t="shared" si="4"/>
        <v>8</v>
      </c>
      <c r="S34" s="144" t="s">
        <v>57</v>
      </c>
      <c r="T34" s="144" t="s">
        <v>81</v>
      </c>
      <c r="U34" s="144"/>
      <c r="V34" s="144"/>
      <c r="W34" s="94" t="b">
        <f t="shared" si="5"/>
        <v>1</v>
      </c>
    </row>
    <row r="35" spans="2:23" s="65" customFormat="1" ht="12.9" customHeight="1">
      <c r="B35" s="8">
        <f>SUBTOTAL(3,C$4:$C35)</f>
        <v>32</v>
      </c>
      <c r="C35" s="197" t="s">
        <v>64</v>
      </c>
      <c r="D35" s="198" t="s">
        <v>62</v>
      </c>
      <c r="E35" s="144" t="s">
        <v>63</v>
      </c>
      <c r="F35" s="144">
        <v>8</v>
      </c>
      <c r="G35" s="144" t="s">
        <v>56</v>
      </c>
      <c r="H35" s="144" t="s">
        <v>56</v>
      </c>
      <c r="I35" s="199">
        <f t="shared" si="0"/>
        <v>8</v>
      </c>
      <c r="J35" s="144">
        <v>8</v>
      </c>
      <c r="K35" s="144" t="s">
        <v>56</v>
      </c>
      <c r="L35" s="144" t="s">
        <v>56</v>
      </c>
      <c r="M35" s="144">
        <f t="shared" si="1"/>
        <v>8</v>
      </c>
      <c r="N35" s="150">
        <f t="shared" si="2"/>
        <v>8</v>
      </c>
      <c r="O35" s="201" t="str">
        <f t="shared" si="3"/>
        <v>-</v>
      </c>
      <c r="P35" s="202">
        <v>8</v>
      </c>
      <c r="Q35" s="201">
        <v>0</v>
      </c>
      <c r="R35" s="203">
        <f t="shared" si="4"/>
        <v>8</v>
      </c>
      <c r="S35" s="144" t="s">
        <v>57</v>
      </c>
      <c r="T35" s="144" t="s">
        <v>81</v>
      </c>
      <c r="U35" s="144"/>
      <c r="V35" s="144"/>
      <c r="W35" s="94" t="b">
        <f t="shared" si="5"/>
        <v>1</v>
      </c>
    </row>
    <row r="36" spans="2:23" s="65" customFormat="1" ht="12.9" customHeight="1">
      <c r="B36" s="8">
        <f>SUBTOTAL(3,C$4:$C36)</f>
        <v>33</v>
      </c>
      <c r="C36" s="197" t="s">
        <v>65</v>
      </c>
      <c r="D36" s="144" t="s">
        <v>66</v>
      </c>
      <c r="E36" s="144" t="s">
        <v>67</v>
      </c>
      <c r="F36" s="144">
        <v>8</v>
      </c>
      <c r="G36" s="144" t="s">
        <v>56</v>
      </c>
      <c r="H36" s="144" t="s">
        <v>56</v>
      </c>
      <c r="I36" s="199">
        <f t="shared" si="0"/>
        <v>8</v>
      </c>
      <c r="J36" s="144">
        <v>8</v>
      </c>
      <c r="K36" s="144" t="s">
        <v>56</v>
      </c>
      <c r="L36" s="144" t="s">
        <v>56</v>
      </c>
      <c r="M36" s="144">
        <f t="shared" si="1"/>
        <v>8</v>
      </c>
      <c r="N36" s="150">
        <f t="shared" si="2"/>
        <v>8</v>
      </c>
      <c r="O36" s="201" t="str">
        <f t="shared" si="3"/>
        <v>-</v>
      </c>
      <c r="P36" s="202">
        <v>8</v>
      </c>
      <c r="Q36" s="201">
        <v>0</v>
      </c>
      <c r="R36" s="203">
        <f t="shared" si="4"/>
        <v>8</v>
      </c>
      <c r="S36" s="144" t="s">
        <v>57</v>
      </c>
      <c r="T36" s="144" t="s">
        <v>81</v>
      </c>
      <c r="U36" s="144"/>
      <c r="V36" s="144"/>
      <c r="W36" s="94" t="b">
        <f t="shared" si="5"/>
        <v>1</v>
      </c>
    </row>
    <row r="37" spans="2:23" s="65" customFormat="1" ht="12.9" customHeight="1">
      <c r="B37" s="8">
        <f>SUBTOTAL(3,C$4:$C37)</f>
        <v>34</v>
      </c>
      <c r="C37" s="197" t="s">
        <v>68</v>
      </c>
      <c r="D37" s="144">
        <v>2010</v>
      </c>
      <c r="E37" s="144" t="s">
        <v>55</v>
      </c>
      <c r="F37" s="144">
        <v>4</v>
      </c>
      <c r="G37" s="144" t="s">
        <v>56</v>
      </c>
      <c r="H37" s="144" t="s">
        <v>56</v>
      </c>
      <c r="I37" s="199">
        <f t="shared" si="0"/>
        <v>4</v>
      </c>
      <c r="J37" s="144">
        <v>4</v>
      </c>
      <c r="K37" s="144" t="s">
        <v>56</v>
      </c>
      <c r="L37" s="144" t="s">
        <v>56</v>
      </c>
      <c r="M37" s="144">
        <f t="shared" si="1"/>
        <v>4</v>
      </c>
      <c r="N37" s="150">
        <f t="shared" si="2"/>
        <v>4</v>
      </c>
      <c r="O37" s="201" t="str">
        <f t="shared" si="3"/>
        <v>-</v>
      </c>
      <c r="P37" s="202">
        <v>4</v>
      </c>
      <c r="Q37" s="201">
        <v>0</v>
      </c>
      <c r="R37" s="203">
        <f t="shared" si="4"/>
        <v>4</v>
      </c>
      <c r="S37" s="144" t="s">
        <v>57</v>
      </c>
      <c r="T37" s="144" t="s">
        <v>81</v>
      </c>
      <c r="U37" s="144"/>
      <c r="V37" s="144"/>
      <c r="W37" s="94" t="b">
        <f t="shared" si="5"/>
        <v>1</v>
      </c>
    </row>
    <row r="38" spans="2:23" s="65" customFormat="1" ht="12.9" customHeight="1">
      <c r="B38" s="8">
        <f>SUBTOTAL(3,C$4:$C38)</f>
        <v>35</v>
      </c>
      <c r="C38" s="197" t="s">
        <v>79</v>
      </c>
      <c r="D38" s="144">
        <v>2015</v>
      </c>
      <c r="E38" s="144" t="s">
        <v>55</v>
      </c>
      <c r="F38" s="144">
        <v>4</v>
      </c>
      <c r="G38" s="144" t="s">
        <v>56</v>
      </c>
      <c r="H38" s="144" t="s">
        <v>56</v>
      </c>
      <c r="I38" s="199">
        <f t="shared" si="0"/>
        <v>4</v>
      </c>
      <c r="J38" s="144">
        <v>4</v>
      </c>
      <c r="K38" s="144" t="s">
        <v>56</v>
      </c>
      <c r="L38" s="144" t="s">
        <v>56</v>
      </c>
      <c r="M38" s="144">
        <f t="shared" si="1"/>
        <v>4</v>
      </c>
      <c r="N38" s="150">
        <f t="shared" si="2"/>
        <v>4</v>
      </c>
      <c r="O38" s="201" t="str">
        <f t="shared" si="3"/>
        <v>-</v>
      </c>
      <c r="P38" s="202">
        <v>4</v>
      </c>
      <c r="Q38" s="201">
        <v>0</v>
      </c>
      <c r="R38" s="203">
        <f t="shared" si="4"/>
        <v>4</v>
      </c>
      <c r="S38" s="144" t="s">
        <v>57</v>
      </c>
      <c r="T38" s="144" t="s">
        <v>81</v>
      </c>
      <c r="U38" s="144"/>
      <c r="V38" s="144"/>
      <c r="W38" s="94" t="b">
        <f t="shared" si="5"/>
        <v>1</v>
      </c>
    </row>
    <row r="39" spans="2:23" s="65" customFormat="1" ht="12.9" customHeight="1">
      <c r="B39" s="8">
        <f>SUBTOTAL(3,C$4:$C39)</f>
        <v>36</v>
      </c>
      <c r="C39" s="197" t="s">
        <v>70</v>
      </c>
      <c r="D39" s="144">
        <v>2010</v>
      </c>
      <c r="E39" s="144" t="s">
        <v>71</v>
      </c>
      <c r="F39" s="144">
        <v>4</v>
      </c>
      <c r="G39" s="144" t="s">
        <v>56</v>
      </c>
      <c r="H39" s="144" t="s">
        <v>56</v>
      </c>
      <c r="I39" s="199">
        <f t="shared" si="0"/>
        <v>4</v>
      </c>
      <c r="J39" s="144">
        <v>4</v>
      </c>
      <c r="K39" s="144" t="s">
        <v>56</v>
      </c>
      <c r="L39" s="144" t="s">
        <v>56</v>
      </c>
      <c r="M39" s="144">
        <f t="shared" si="1"/>
        <v>4</v>
      </c>
      <c r="N39" s="150">
        <f t="shared" si="2"/>
        <v>4</v>
      </c>
      <c r="O39" s="201" t="str">
        <f t="shared" si="3"/>
        <v>-</v>
      </c>
      <c r="P39" s="202">
        <v>4</v>
      </c>
      <c r="Q39" s="201">
        <v>0</v>
      </c>
      <c r="R39" s="203">
        <f t="shared" si="4"/>
        <v>4</v>
      </c>
      <c r="S39" s="144" t="s">
        <v>57</v>
      </c>
      <c r="T39" s="144" t="s">
        <v>81</v>
      </c>
      <c r="U39" s="144"/>
      <c r="V39" s="144"/>
      <c r="W39" s="94" t="b">
        <f t="shared" si="5"/>
        <v>1</v>
      </c>
    </row>
    <row r="40" spans="2:23" s="65" customFormat="1" ht="12.9" customHeight="1">
      <c r="B40" s="8">
        <f>SUBTOTAL(3,C$4:$C40)</f>
        <v>37</v>
      </c>
      <c r="C40" s="197" t="s">
        <v>72</v>
      </c>
      <c r="D40" s="144">
        <v>2010</v>
      </c>
      <c r="E40" s="144" t="s">
        <v>67</v>
      </c>
      <c r="F40" s="144">
        <v>2</v>
      </c>
      <c r="G40" s="144" t="s">
        <v>56</v>
      </c>
      <c r="H40" s="144" t="s">
        <v>56</v>
      </c>
      <c r="I40" s="199">
        <f t="shared" si="0"/>
        <v>2</v>
      </c>
      <c r="J40" s="144">
        <v>2</v>
      </c>
      <c r="K40" s="144" t="s">
        <v>56</v>
      </c>
      <c r="L40" s="144" t="s">
        <v>56</v>
      </c>
      <c r="M40" s="144">
        <f t="shared" si="1"/>
        <v>2</v>
      </c>
      <c r="N40" s="150">
        <f t="shared" si="2"/>
        <v>2</v>
      </c>
      <c r="O40" s="201" t="str">
        <f t="shared" si="3"/>
        <v>-</v>
      </c>
      <c r="P40" s="202">
        <v>2</v>
      </c>
      <c r="Q40" s="201">
        <v>0</v>
      </c>
      <c r="R40" s="203">
        <f t="shared" si="4"/>
        <v>2</v>
      </c>
      <c r="S40" s="144" t="s">
        <v>57</v>
      </c>
      <c r="T40" s="144" t="s">
        <v>81</v>
      </c>
      <c r="U40" s="144"/>
      <c r="V40" s="144"/>
      <c r="W40" s="94" t="b">
        <f t="shared" si="5"/>
        <v>1</v>
      </c>
    </row>
    <row r="41" spans="2:23" s="65" customFormat="1" ht="12.9" customHeight="1">
      <c r="B41" s="8">
        <f>SUBTOTAL(3,C$4:$C41)</f>
        <v>38</v>
      </c>
      <c r="C41" s="197" t="s">
        <v>73</v>
      </c>
      <c r="D41" s="144">
        <v>2010</v>
      </c>
      <c r="E41" s="144" t="s">
        <v>63</v>
      </c>
      <c r="F41" s="144">
        <v>1</v>
      </c>
      <c r="G41" s="144" t="s">
        <v>56</v>
      </c>
      <c r="H41" s="144" t="s">
        <v>56</v>
      </c>
      <c r="I41" s="199">
        <f t="shared" si="0"/>
        <v>1</v>
      </c>
      <c r="J41" s="144">
        <v>2</v>
      </c>
      <c r="K41" s="144" t="s">
        <v>56</v>
      </c>
      <c r="L41" s="144" t="s">
        <v>56</v>
      </c>
      <c r="M41" s="144">
        <f t="shared" si="1"/>
        <v>2</v>
      </c>
      <c r="N41" s="150">
        <f t="shared" si="2"/>
        <v>2</v>
      </c>
      <c r="O41" s="201" t="str">
        <f t="shared" si="3"/>
        <v>-</v>
      </c>
      <c r="P41" s="202">
        <v>2</v>
      </c>
      <c r="Q41" s="201">
        <v>0</v>
      </c>
      <c r="R41" s="203">
        <f t="shared" si="4"/>
        <v>2</v>
      </c>
      <c r="S41" s="144" t="s">
        <v>57</v>
      </c>
      <c r="T41" s="144" t="s">
        <v>81</v>
      </c>
      <c r="U41" s="144"/>
      <c r="V41" s="144"/>
      <c r="W41" s="94" t="b">
        <f t="shared" si="5"/>
        <v>1</v>
      </c>
    </row>
    <row r="42" spans="2:23" s="65" customFormat="1" ht="12.9" customHeight="1">
      <c r="B42" s="8">
        <f>SUBTOTAL(3,C$4:$C42)</f>
        <v>39</v>
      </c>
      <c r="C42" s="197" t="s">
        <v>74</v>
      </c>
      <c r="D42" s="144">
        <v>2018</v>
      </c>
      <c r="E42" s="144" t="s">
        <v>60</v>
      </c>
      <c r="F42" s="144">
        <v>4</v>
      </c>
      <c r="G42" s="144" t="s">
        <v>56</v>
      </c>
      <c r="H42" s="144" t="s">
        <v>56</v>
      </c>
      <c r="I42" s="199">
        <f t="shared" si="0"/>
        <v>4</v>
      </c>
      <c r="J42" s="144">
        <v>4</v>
      </c>
      <c r="K42" s="144" t="s">
        <v>56</v>
      </c>
      <c r="L42" s="144" t="s">
        <v>56</v>
      </c>
      <c r="M42" s="144">
        <f t="shared" si="1"/>
        <v>4</v>
      </c>
      <c r="N42" s="150">
        <f t="shared" si="2"/>
        <v>4</v>
      </c>
      <c r="O42" s="201" t="str">
        <f t="shared" si="3"/>
        <v>-</v>
      </c>
      <c r="P42" s="202">
        <v>4</v>
      </c>
      <c r="Q42" s="201">
        <v>0</v>
      </c>
      <c r="R42" s="203">
        <f t="shared" si="4"/>
        <v>4</v>
      </c>
      <c r="S42" s="144" t="s">
        <v>57</v>
      </c>
      <c r="T42" s="144" t="s">
        <v>81</v>
      </c>
      <c r="U42" s="144"/>
      <c r="V42" s="144"/>
      <c r="W42" s="94" t="b">
        <f t="shared" si="5"/>
        <v>1</v>
      </c>
    </row>
    <row r="43" spans="2:23" s="65" customFormat="1" ht="12.9" customHeight="1">
      <c r="B43" s="8">
        <f>SUBTOTAL(3,C$4:$C43)</f>
        <v>40</v>
      </c>
      <c r="C43" s="197" t="s">
        <v>75</v>
      </c>
      <c r="D43" s="144">
        <v>2010</v>
      </c>
      <c r="E43" s="144" t="s">
        <v>60</v>
      </c>
      <c r="F43" s="144">
        <v>4</v>
      </c>
      <c r="G43" s="144" t="s">
        <v>56</v>
      </c>
      <c r="H43" s="144" t="s">
        <v>56</v>
      </c>
      <c r="I43" s="199">
        <f t="shared" si="0"/>
        <v>4</v>
      </c>
      <c r="J43" s="144">
        <v>4</v>
      </c>
      <c r="K43" s="144" t="s">
        <v>56</v>
      </c>
      <c r="L43" s="144" t="s">
        <v>56</v>
      </c>
      <c r="M43" s="144">
        <f t="shared" si="1"/>
        <v>4</v>
      </c>
      <c r="N43" s="150">
        <f t="shared" si="2"/>
        <v>4</v>
      </c>
      <c r="O43" s="201" t="str">
        <f t="shared" si="3"/>
        <v>-</v>
      </c>
      <c r="P43" s="202">
        <v>4</v>
      </c>
      <c r="Q43" s="201">
        <v>0</v>
      </c>
      <c r="R43" s="203">
        <f t="shared" si="4"/>
        <v>4</v>
      </c>
      <c r="S43" s="144" t="s">
        <v>57</v>
      </c>
      <c r="T43" s="144" t="s">
        <v>81</v>
      </c>
      <c r="U43" s="144"/>
      <c r="V43" s="144"/>
      <c r="W43" s="94" t="b">
        <f t="shared" si="5"/>
        <v>1</v>
      </c>
    </row>
    <row r="44" spans="2:23" s="65" customFormat="1" ht="12.9" customHeight="1">
      <c r="B44" s="8">
        <f>SUBTOTAL(3,C$4:$C44)</f>
        <v>41</v>
      </c>
      <c r="C44" s="197" t="s">
        <v>76</v>
      </c>
      <c r="D44" s="144">
        <v>2010</v>
      </c>
      <c r="E44" s="144" t="s">
        <v>60</v>
      </c>
      <c r="F44" s="144">
        <v>5</v>
      </c>
      <c r="G44" s="144" t="s">
        <v>56</v>
      </c>
      <c r="H44" s="144" t="s">
        <v>56</v>
      </c>
      <c r="I44" s="199">
        <f t="shared" si="0"/>
        <v>5</v>
      </c>
      <c r="J44" s="144">
        <v>5</v>
      </c>
      <c r="K44" s="144" t="s">
        <v>56</v>
      </c>
      <c r="L44" s="144" t="s">
        <v>56</v>
      </c>
      <c r="M44" s="144">
        <f t="shared" si="1"/>
        <v>5</v>
      </c>
      <c r="N44" s="150">
        <f t="shared" si="2"/>
        <v>5</v>
      </c>
      <c r="O44" s="201" t="str">
        <f t="shared" si="3"/>
        <v>-</v>
      </c>
      <c r="P44" s="202">
        <v>5</v>
      </c>
      <c r="Q44" s="201">
        <v>0</v>
      </c>
      <c r="R44" s="203">
        <f t="shared" si="4"/>
        <v>5</v>
      </c>
      <c r="S44" s="144" t="s">
        <v>57</v>
      </c>
      <c r="T44" s="144" t="s">
        <v>81</v>
      </c>
      <c r="U44" s="144"/>
      <c r="V44" s="144"/>
      <c r="W44" s="94" t="b">
        <f t="shared" si="5"/>
        <v>1</v>
      </c>
    </row>
    <row r="45" spans="2:23" s="65" customFormat="1" ht="12.9" customHeight="1">
      <c r="B45" s="8">
        <f>SUBTOTAL(3,C$4:$C45)</f>
        <v>42</v>
      </c>
      <c r="C45" s="197" t="s">
        <v>77</v>
      </c>
      <c r="D45" s="144">
        <v>2025</v>
      </c>
      <c r="E45" s="144" t="s">
        <v>60</v>
      </c>
      <c r="F45" s="144" t="s">
        <v>56</v>
      </c>
      <c r="G45" s="144" t="s">
        <v>56</v>
      </c>
      <c r="H45" s="144" t="s">
        <v>56</v>
      </c>
      <c r="I45" s="199" t="str">
        <f t="shared" si="0"/>
        <v>-</v>
      </c>
      <c r="J45" s="144">
        <v>1</v>
      </c>
      <c r="K45" s="144" t="s">
        <v>56</v>
      </c>
      <c r="L45" s="144" t="s">
        <v>56</v>
      </c>
      <c r="M45" s="144">
        <f t="shared" si="1"/>
        <v>1</v>
      </c>
      <c r="N45" s="150">
        <f t="shared" si="2"/>
        <v>1</v>
      </c>
      <c r="O45" s="201" t="str">
        <f t="shared" si="3"/>
        <v>-</v>
      </c>
      <c r="P45" s="202">
        <v>1</v>
      </c>
      <c r="Q45" s="201">
        <v>0</v>
      </c>
      <c r="R45" s="203">
        <f t="shared" si="4"/>
        <v>1</v>
      </c>
      <c r="S45" s="144" t="s">
        <v>57</v>
      </c>
      <c r="T45" s="144" t="s">
        <v>81</v>
      </c>
      <c r="U45" s="144"/>
      <c r="V45" s="204">
        <v>45763</v>
      </c>
      <c r="W45" s="94" t="b">
        <f t="shared" si="5"/>
        <v>1</v>
      </c>
    </row>
    <row r="46" spans="2:23" s="66" customFormat="1" ht="12.9" customHeight="1">
      <c r="B46" s="8">
        <f>SUBTOTAL(3,C$4:$C46)</f>
        <v>43</v>
      </c>
      <c r="C46" s="197" t="s">
        <v>54</v>
      </c>
      <c r="D46" s="144">
        <v>2010</v>
      </c>
      <c r="E46" s="144" t="s">
        <v>55</v>
      </c>
      <c r="F46" s="144">
        <v>8</v>
      </c>
      <c r="G46" s="144" t="s">
        <v>56</v>
      </c>
      <c r="H46" s="144" t="s">
        <v>56</v>
      </c>
      <c r="I46" s="199">
        <f t="shared" si="0"/>
        <v>8</v>
      </c>
      <c r="J46" s="144">
        <v>8</v>
      </c>
      <c r="K46" s="144" t="s">
        <v>56</v>
      </c>
      <c r="L46" s="144" t="s">
        <v>56</v>
      </c>
      <c r="M46" s="144">
        <f t="shared" si="1"/>
        <v>8</v>
      </c>
      <c r="N46" s="150">
        <f t="shared" si="2"/>
        <v>8</v>
      </c>
      <c r="O46" s="201" t="str">
        <f t="shared" si="3"/>
        <v>-</v>
      </c>
      <c r="P46" s="202">
        <v>8</v>
      </c>
      <c r="Q46" s="201">
        <v>0</v>
      </c>
      <c r="R46" s="203">
        <f t="shared" si="4"/>
        <v>8</v>
      </c>
      <c r="S46" s="144" t="s">
        <v>57</v>
      </c>
      <c r="T46" s="144" t="s">
        <v>82</v>
      </c>
      <c r="U46" s="144"/>
      <c r="V46" s="144"/>
      <c r="W46" s="94" t="b">
        <f t="shared" si="5"/>
        <v>1</v>
      </c>
    </row>
    <row r="47" spans="2:23" s="66" customFormat="1" ht="12.9" customHeight="1">
      <c r="B47" s="8">
        <f>SUBTOTAL(3,C$4:$C47)</f>
        <v>44</v>
      </c>
      <c r="C47" s="197" t="s">
        <v>59</v>
      </c>
      <c r="D47" s="144">
        <v>2015</v>
      </c>
      <c r="E47" s="144" t="s">
        <v>60</v>
      </c>
      <c r="F47" s="144">
        <v>8</v>
      </c>
      <c r="G47" s="144" t="s">
        <v>56</v>
      </c>
      <c r="H47" s="144" t="s">
        <v>56</v>
      </c>
      <c r="I47" s="199">
        <f t="shared" si="0"/>
        <v>8</v>
      </c>
      <c r="J47" s="144">
        <v>8</v>
      </c>
      <c r="K47" s="144" t="s">
        <v>56</v>
      </c>
      <c r="L47" s="144" t="s">
        <v>56</v>
      </c>
      <c r="M47" s="144">
        <f t="shared" si="1"/>
        <v>8</v>
      </c>
      <c r="N47" s="150">
        <f t="shared" si="2"/>
        <v>8</v>
      </c>
      <c r="O47" s="201" t="str">
        <f t="shared" si="3"/>
        <v>-</v>
      </c>
      <c r="P47" s="202">
        <v>8</v>
      </c>
      <c r="Q47" s="201">
        <v>0</v>
      </c>
      <c r="R47" s="203">
        <f t="shared" si="4"/>
        <v>8</v>
      </c>
      <c r="S47" s="144" t="s">
        <v>57</v>
      </c>
      <c r="T47" s="144" t="s">
        <v>82</v>
      </c>
      <c r="U47" s="144"/>
      <c r="V47" s="144"/>
      <c r="W47" s="94" t="b">
        <f t="shared" si="5"/>
        <v>1</v>
      </c>
    </row>
    <row r="48" spans="2:23" s="66" customFormat="1" ht="12.9" customHeight="1">
      <c r="B48" s="8">
        <f>SUBTOTAL(3,C$4:$C48)</f>
        <v>45</v>
      </c>
      <c r="C48" s="197" t="s">
        <v>61</v>
      </c>
      <c r="D48" s="198" t="s">
        <v>62</v>
      </c>
      <c r="E48" s="144" t="s">
        <v>63</v>
      </c>
      <c r="F48" s="144">
        <v>8</v>
      </c>
      <c r="G48" s="144" t="s">
        <v>56</v>
      </c>
      <c r="H48" s="144" t="s">
        <v>56</v>
      </c>
      <c r="I48" s="199">
        <f t="shared" si="0"/>
        <v>8</v>
      </c>
      <c r="J48" s="144">
        <v>8</v>
      </c>
      <c r="K48" s="144" t="s">
        <v>56</v>
      </c>
      <c r="L48" s="144" t="s">
        <v>56</v>
      </c>
      <c r="M48" s="144">
        <f t="shared" si="1"/>
        <v>8</v>
      </c>
      <c r="N48" s="150">
        <f t="shared" si="2"/>
        <v>8</v>
      </c>
      <c r="O48" s="201" t="str">
        <f t="shared" si="3"/>
        <v>-</v>
      </c>
      <c r="P48" s="202">
        <v>8</v>
      </c>
      <c r="Q48" s="201">
        <v>0</v>
      </c>
      <c r="R48" s="203">
        <f t="shared" si="4"/>
        <v>8</v>
      </c>
      <c r="S48" s="144" t="s">
        <v>57</v>
      </c>
      <c r="T48" s="144" t="s">
        <v>82</v>
      </c>
      <c r="U48" s="144"/>
      <c r="V48" s="144"/>
      <c r="W48" s="94" t="b">
        <f t="shared" si="5"/>
        <v>1</v>
      </c>
    </row>
    <row r="49" spans="2:23" s="66" customFormat="1" ht="12.9" customHeight="1">
      <c r="B49" s="8">
        <f>SUBTOTAL(3,C$4:$C49)</f>
        <v>46</v>
      </c>
      <c r="C49" s="197" t="s">
        <v>64</v>
      </c>
      <c r="D49" s="198" t="s">
        <v>62</v>
      </c>
      <c r="E49" s="144" t="s">
        <v>63</v>
      </c>
      <c r="F49" s="144">
        <v>8</v>
      </c>
      <c r="G49" s="144" t="s">
        <v>56</v>
      </c>
      <c r="H49" s="144" t="s">
        <v>56</v>
      </c>
      <c r="I49" s="199">
        <f t="shared" si="0"/>
        <v>8</v>
      </c>
      <c r="J49" s="144">
        <v>8</v>
      </c>
      <c r="K49" s="144" t="s">
        <v>56</v>
      </c>
      <c r="L49" s="144" t="s">
        <v>56</v>
      </c>
      <c r="M49" s="144">
        <f t="shared" si="1"/>
        <v>8</v>
      </c>
      <c r="N49" s="150">
        <f t="shared" si="2"/>
        <v>8</v>
      </c>
      <c r="O49" s="201" t="str">
        <f t="shared" si="3"/>
        <v>-</v>
      </c>
      <c r="P49" s="202">
        <v>8</v>
      </c>
      <c r="Q49" s="201">
        <v>0</v>
      </c>
      <c r="R49" s="203">
        <f t="shared" si="4"/>
        <v>8</v>
      </c>
      <c r="S49" s="144" t="s">
        <v>57</v>
      </c>
      <c r="T49" s="144" t="s">
        <v>82</v>
      </c>
      <c r="U49" s="144"/>
      <c r="V49" s="144"/>
      <c r="W49" s="94" t="b">
        <f t="shared" si="5"/>
        <v>1</v>
      </c>
    </row>
    <row r="50" spans="2:23" s="66" customFormat="1" ht="12.9" customHeight="1">
      <c r="B50" s="8">
        <f>SUBTOTAL(3,C$4:$C50)</f>
        <v>47</v>
      </c>
      <c r="C50" s="197" t="s">
        <v>65</v>
      </c>
      <c r="D50" s="144" t="s">
        <v>66</v>
      </c>
      <c r="E50" s="144" t="s">
        <v>67</v>
      </c>
      <c r="F50" s="144">
        <v>8</v>
      </c>
      <c r="G50" s="144" t="s">
        <v>56</v>
      </c>
      <c r="H50" s="144" t="s">
        <v>56</v>
      </c>
      <c r="I50" s="199">
        <f t="shared" si="0"/>
        <v>8</v>
      </c>
      <c r="J50" s="144">
        <v>8</v>
      </c>
      <c r="K50" s="144" t="s">
        <v>56</v>
      </c>
      <c r="L50" s="144" t="s">
        <v>56</v>
      </c>
      <c r="M50" s="144">
        <f t="shared" si="1"/>
        <v>8</v>
      </c>
      <c r="N50" s="150">
        <f t="shared" si="2"/>
        <v>8</v>
      </c>
      <c r="O50" s="201" t="str">
        <f t="shared" si="3"/>
        <v>-</v>
      </c>
      <c r="P50" s="202">
        <v>8</v>
      </c>
      <c r="Q50" s="201">
        <v>0</v>
      </c>
      <c r="R50" s="203">
        <f t="shared" si="4"/>
        <v>8</v>
      </c>
      <c r="S50" s="144" t="s">
        <v>57</v>
      </c>
      <c r="T50" s="144" t="s">
        <v>82</v>
      </c>
      <c r="U50" s="144"/>
      <c r="V50" s="144"/>
      <c r="W50" s="94" t="b">
        <f t="shared" si="5"/>
        <v>1</v>
      </c>
    </row>
    <row r="51" spans="2:23" s="66" customFormat="1" ht="12.9" customHeight="1">
      <c r="B51" s="8">
        <f>SUBTOTAL(3,C$4:$C51)</f>
        <v>48</v>
      </c>
      <c r="C51" s="197" t="s">
        <v>68</v>
      </c>
      <c r="D51" s="144">
        <v>2010</v>
      </c>
      <c r="E51" s="144" t="s">
        <v>55</v>
      </c>
      <c r="F51" s="144">
        <v>4</v>
      </c>
      <c r="G51" s="144" t="s">
        <v>56</v>
      </c>
      <c r="H51" s="144" t="s">
        <v>56</v>
      </c>
      <c r="I51" s="199">
        <f t="shared" si="0"/>
        <v>4</v>
      </c>
      <c r="J51" s="144">
        <v>4</v>
      </c>
      <c r="K51" s="144" t="s">
        <v>56</v>
      </c>
      <c r="L51" s="144" t="s">
        <v>56</v>
      </c>
      <c r="M51" s="144">
        <f t="shared" si="1"/>
        <v>4</v>
      </c>
      <c r="N51" s="150">
        <f t="shared" si="2"/>
        <v>4</v>
      </c>
      <c r="O51" s="201" t="str">
        <f t="shared" si="3"/>
        <v>-</v>
      </c>
      <c r="P51" s="202">
        <v>4</v>
      </c>
      <c r="Q51" s="201">
        <v>0</v>
      </c>
      <c r="R51" s="203">
        <f t="shared" si="4"/>
        <v>4</v>
      </c>
      <c r="S51" s="144" t="s">
        <v>57</v>
      </c>
      <c r="T51" s="144" t="s">
        <v>82</v>
      </c>
      <c r="U51" s="144"/>
      <c r="V51" s="144"/>
      <c r="W51" s="94" t="b">
        <f t="shared" si="5"/>
        <v>1</v>
      </c>
    </row>
    <row r="52" spans="2:23" s="66" customFormat="1" ht="12.9" customHeight="1">
      <c r="B52" s="8">
        <f>SUBTOTAL(3,C$4:$C52)</f>
        <v>49</v>
      </c>
      <c r="C52" s="197" t="s">
        <v>79</v>
      </c>
      <c r="D52" s="144">
        <v>2015</v>
      </c>
      <c r="E52" s="144" t="s">
        <v>55</v>
      </c>
      <c r="F52" s="144">
        <v>4</v>
      </c>
      <c r="G52" s="144" t="s">
        <v>56</v>
      </c>
      <c r="H52" s="144" t="s">
        <v>56</v>
      </c>
      <c r="I52" s="199">
        <f t="shared" si="0"/>
        <v>4</v>
      </c>
      <c r="J52" s="144">
        <v>4</v>
      </c>
      <c r="K52" s="144" t="s">
        <v>56</v>
      </c>
      <c r="L52" s="144" t="s">
        <v>56</v>
      </c>
      <c r="M52" s="144">
        <f t="shared" si="1"/>
        <v>4</v>
      </c>
      <c r="N52" s="150">
        <f t="shared" si="2"/>
        <v>4</v>
      </c>
      <c r="O52" s="201" t="str">
        <f t="shared" si="3"/>
        <v>-</v>
      </c>
      <c r="P52" s="202">
        <v>4</v>
      </c>
      <c r="Q52" s="201">
        <v>0</v>
      </c>
      <c r="R52" s="203">
        <f t="shared" si="4"/>
        <v>4</v>
      </c>
      <c r="S52" s="144" t="s">
        <v>57</v>
      </c>
      <c r="T52" s="144" t="s">
        <v>82</v>
      </c>
      <c r="U52" s="144"/>
      <c r="V52" s="144"/>
      <c r="W52" s="94" t="b">
        <f t="shared" si="5"/>
        <v>1</v>
      </c>
    </row>
    <row r="53" spans="2:23" s="66" customFormat="1" ht="12.9" customHeight="1">
      <c r="B53" s="8">
        <f>SUBTOTAL(3,C$4:$C53)</f>
        <v>50</v>
      </c>
      <c r="C53" s="197" t="s">
        <v>70</v>
      </c>
      <c r="D53" s="144">
        <v>2010</v>
      </c>
      <c r="E53" s="144" t="s">
        <v>71</v>
      </c>
      <c r="F53" s="144">
        <v>4</v>
      </c>
      <c r="G53" s="144" t="s">
        <v>56</v>
      </c>
      <c r="H53" s="144" t="s">
        <v>56</v>
      </c>
      <c r="I53" s="199">
        <f t="shared" si="0"/>
        <v>4</v>
      </c>
      <c r="J53" s="144">
        <v>4</v>
      </c>
      <c r="K53" s="144" t="s">
        <v>56</v>
      </c>
      <c r="L53" s="144" t="s">
        <v>56</v>
      </c>
      <c r="M53" s="144">
        <f t="shared" si="1"/>
        <v>4</v>
      </c>
      <c r="N53" s="150">
        <f t="shared" si="2"/>
        <v>4</v>
      </c>
      <c r="O53" s="201" t="str">
        <f t="shared" si="3"/>
        <v>-</v>
      </c>
      <c r="P53" s="202">
        <v>4</v>
      </c>
      <c r="Q53" s="201">
        <v>0</v>
      </c>
      <c r="R53" s="203">
        <f t="shared" si="4"/>
        <v>4</v>
      </c>
      <c r="S53" s="144" t="s">
        <v>57</v>
      </c>
      <c r="T53" s="144" t="s">
        <v>82</v>
      </c>
      <c r="U53" s="144"/>
      <c r="V53" s="144"/>
      <c r="W53" s="94" t="b">
        <f t="shared" si="5"/>
        <v>1</v>
      </c>
    </row>
    <row r="54" spans="2:23" s="66" customFormat="1" ht="12.9" customHeight="1">
      <c r="B54" s="8">
        <f>SUBTOTAL(3,C$4:$C54)</f>
        <v>51</v>
      </c>
      <c r="C54" s="197" t="s">
        <v>72</v>
      </c>
      <c r="D54" s="144">
        <v>2010</v>
      </c>
      <c r="E54" s="144" t="s">
        <v>67</v>
      </c>
      <c r="F54" s="144">
        <v>2</v>
      </c>
      <c r="G54" s="144" t="s">
        <v>56</v>
      </c>
      <c r="H54" s="144" t="s">
        <v>56</v>
      </c>
      <c r="I54" s="199">
        <f t="shared" si="0"/>
        <v>2</v>
      </c>
      <c r="J54" s="144">
        <v>2</v>
      </c>
      <c r="K54" s="144" t="s">
        <v>56</v>
      </c>
      <c r="L54" s="144" t="s">
        <v>56</v>
      </c>
      <c r="M54" s="144">
        <f t="shared" si="1"/>
        <v>2</v>
      </c>
      <c r="N54" s="150">
        <f t="shared" si="2"/>
        <v>2</v>
      </c>
      <c r="O54" s="201" t="str">
        <f t="shared" si="3"/>
        <v>-</v>
      </c>
      <c r="P54" s="202">
        <v>2</v>
      </c>
      <c r="Q54" s="201">
        <v>0</v>
      </c>
      <c r="R54" s="203">
        <f t="shared" si="4"/>
        <v>2</v>
      </c>
      <c r="S54" s="144" t="s">
        <v>57</v>
      </c>
      <c r="T54" s="144" t="s">
        <v>82</v>
      </c>
      <c r="U54" s="144"/>
      <c r="V54" s="144"/>
      <c r="W54" s="94" t="b">
        <f t="shared" si="5"/>
        <v>1</v>
      </c>
    </row>
    <row r="55" spans="2:23" s="66" customFormat="1" ht="12.9" customHeight="1">
      <c r="B55" s="8">
        <f>SUBTOTAL(3,C$4:$C55)</f>
        <v>52</v>
      </c>
      <c r="C55" s="197" t="s">
        <v>73</v>
      </c>
      <c r="D55" s="144">
        <v>2010</v>
      </c>
      <c r="E55" s="144" t="s">
        <v>63</v>
      </c>
      <c r="F55" s="144" t="s">
        <v>56</v>
      </c>
      <c r="G55" s="144" t="s">
        <v>56</v>
      </c>
      <c r="H55" s="144" t="s">
        <v>56</v>
      </c>
      <c r="I55" s="199" t="str">
        <f t="shared" si="0"/>
        <v>-</v>
      </c>
      <c r="J55" s="144">
        <v>2</v>
      </c>
      <c r="K55" s="144" t="s">
        <v>56</v>
      </c>
      <c r="L55" s="144" t="s">
        <v>56</v>
      </c>
      <c r="M55" s="144">
        <f t="shared" si="1"/>
        <v>2</v>
      </c>
      <c r="N55" s="150">
        <f t="shared" si="2"/>
        <v>2</v>
      </c>
      <c r="O55" s="201" t="str">
        <f t="shared" si="3"/>
        <v>-</v>
      </c>
      <c r="P55" s="202">
        <v>2</v>
      </c>
      <c r="Q55" s="201">
        <v>0</v>
      </c>
      <c r="R55" s="203">
        <f t="shared" si="4"/>
        <v>2</v>
      </c>
      <c r="S55" s="144" t="s">
        <v>57</v>
      </c>
      <c r="T55" s="144" t="s">
        <v>82</v>
      </c>
      <c r="U55" s="144"/>
      <c r="V55" s="144"/>
      <c r="W55" s="94" t="b">
        <f t="shared" si="5"/>
        <v>1</v>
      </c>
    </row>
    <row r="56" spans="2:23" s="66" customFormat="1" ht="12.9" customHeight="1">
      <c r="B56" s="8">
        <f>SUBTOTAL(3,C$4:$C56)</f>
        <v>53</v>
      </c>
      <c r="C56" s="197" t="s">
        <v>74</v>
      </c>
      <c r="D56" s="144">
        <v>2018</v>
      </c>
      <c r="E56" s="144" t="s">
        <v>60</v>
      </c>
      <c r="F56" s="144">
        <v>4</v>
      </c>
      <c r="G56" s="144" t="s">
        <v>56</v>
      </c>
      <c r="H56" s="144" t="s">
        <v>56</v>
      </c>
      <c r="I56" s="199">
        <f t="shared" si="0"/>
        <v>4</v>
      </c>
      <c r="J56" s="144">
        <v>4</v>
      </c>
      <c r="K56" s="144" t="s">
        <v>56</v>
      </c>
      <c r="L56" s="144" t="s">
        <v>56</v>
      </c>
      <c r="M56" s="144">
        <f t="shared" si="1"/>
        <v>4</v>
      </c>
      <c r="N56" s="150">
        <f t="shared" si="2"/>
        <v>4</v>
      </c>
      <c r="O56" s="201" t="str">
        <f t="shared" si="3"/>
        <v>-</v>
      </c>
      <c r="P56" s="202">
        <v>4</v>
      </c>
      <c r="Q56" s="201">
        <v>0</v>
      </c>
      <c r="R56" s="203">
        <f t="shared" si="4"/>
        <v>4</v>
      </c>
      <c r="S56" s="144" t="s">
        <v>57</v>
      </c>
      <c r="T56" s="144" t="s">
        <v>82</v>
      </c>
      <c r="U56" s="144"/>
      <c r="V56" s="144"/>
      <c r="W56" s="94" t="b">
        <f t="shared" si="5"/>
        <v>1</v>
      </c>
    </row>
    <row r="57" spans="2:23" s="66" customFormat="1" ht="12.9" customHeight="1">
      <c r="B57" s="8">
        <f>SUBTOTAL(3,C$4:$C57)</f>
        <v>54</v>
      </c>
      <c r="C57" s="197" t="s">
        <v>75</v>
      </c>
      <c r="D57" s="144">
        <v>2010</v>
      </c>
      <c r="E57" s="144" t="s">
        <v>60</v>
      </c>
      <c r="F57" s="144">
        <v>4</v>
      </c>
      <c r="G57" s="144" t="s">
        <v>56</v>
      </c>
      <c r="H57" s="144" t="s">
        <v>56</v>
      </c>
      <c r="I57" s="199">
        <f t="shared" si="0"/>
        <v>4</v>
      </c>
      <c r="J57" s="144">
        <v>4</v>
      </c>
      <c r="K57" s="144" t="s">
        <v>56</v>
      </c>
      <c r="L57" s="144" t="s">
        <v>56</v>
      </c>
      <c r="M57" s="144">
        <f t="shared" si="1"/>
        <v>4</v>
      </c>
      <c r="N57" s="150">
        <f t="shared" si="2"/>
        <v>4</v>
      </c>
      <c r="O57" s="201" t="str">
        <f t="shared" si="3"/>
        <v>-</v>
      </c>
      <c r="P57" s="202">
        <v>4</v>
      </c>
      <c r="Q57" s="201">
        <v>0</v>
      </c>
      <c r="R57" s="203">
        <f t="shared" si="4"/>
        <v>4</v>
      </c>
      <c r="S57" s="144" t="s">
        <v>57</v>
      </c>
      <c r="T57" s="144" t="s">
        <v>82</v>
      </c>
      <c r="U57" s="144"/>
      <c r="V57" s="144"/>
      <c r="W57" s="94" t="b">
        <f t="shared" si="5"/>
        <v>1</v>
      </c>
    </row>
    <row r="58" spans="2:23" s="66" customFormat="1" ht="12.9" customHeight="1">
      <c r="B58" s="8">
        <f>SUBTOTAL(3,C$4:$C58)</f>
        <v>55</v>
      </c>
      <c r="C58" s="197" t="s">
        <v>76</v>
      </c>
      <c r="D58" s="144">
        <v>2010</v>
      </c>
      <c r="E58" s="144" t="s">
        <v>60</v>
      </c>
      <c r="F58" s="144">
        <v>5</v>
      </c>
      <c r="G58" s="144" t="s">
        <v>56</v>
      </c>
      <c r="H58" s="144" t="s">
        <v>56</v>
      </c>
      <c r="I58" s="199">
        <f t="shared" si="0"/>
        <v>5</v>
      </c>
      <c r="J58" s="144">
        <v>5</v>
      </c>
      <c r="K58" s="144" t="s">
        <v>56</v>
      </c>
      <c r="L58" s="144" t="s">
        <v>56</v>
      </c>
      <c r="M58" s="144">
        <f t="shared" si="1"/>
        <v>5</v>
      </c>
      <c r="N58" s="150">
        <f t="shared" si="2"/>
        <v>5</v>
      </c>
      <c r="O58" s="201" t="str">
        <f t="shared" si="3"/>
        <v>-</v>
      </c>
      <c r="P58" s="202">
        <v>5</v>
      </c>
      <c r="Q58" s="201">
        <v>0</v>
      </c>
      <c r="R58" s="203">
        <f t="shared" si="4"/>
        <v>5</v>
      </c>
      <c r="S58" s="144" t="s">
        <v>57</v>
      </c>
      <c r="T58" s="144" t="s">
        <v>82</v>
      </c>
      <c r="U58" s="144"/>
      <c r="V58" s="144"/>
      <c r="W58" s="94" t="b">
        <f t="shared" si="5"/>
        <v>1</v>
      </c>
    </row>
    <row r="59" spans="2:23" s="66" customFormat="1" ht="12.9" customHeight="1">
      <c r="B59" s="8">
        <f>SUBTOTAL(3,C$4:$C59)</f>
        <v>56</v>
      </c>
      <c r="C59" s="197" t="s">
        <v>77</v>
      </c>
      <c r="D59" s="144">
        <v>2025</v>
      </c>
      <c r="E59" s="144" t="s">
        <v>60</v>
      </c>
      <c r="F59" s="144" t="s">
        <v>56</v>
      </c>
      <c r="G59" s="144" t="s">
        <v>56</v>
      </c>
      <c r="H59" s="144" t="s">
        <v>56</v>
      </c>
      <c r="I59" s="199" t="str">
        <f t="shared" si="0"/>
        <v>-</v>
      </c>
      <c r="J59" s="144">
        <v>1</v>
      </c>
      <c r="K59" s="144" t="s">
        <v>56</v>
      </c>
      <c r="L59" s="144" t="s">
        <v>56</v>
      </c>
      <c r="M59" s="144">
        <f t="shared" si="1"/>
        <v>1</v>
      </c>
      <c r="N59" s="150">
        <f t="shared" si="2"/>
        <v>1</v>
      </c>
      <c r="O59" s="201" t="str">
        <f t="shared" si="3"/>
        <v>-</v>
      </c>
      <c r="P59" s="202">
        <v>1</v>
      </c>
      <c r="Q59" s="201">
        <v>0</v>
      </c>
      <c r="R59" s="203">
        <f t="shared" si="4"/>
        <v>1</v>
      </c>
      <c r="S59" s="144" t="s">
        <v>57</v>
      </c>
      <c r="T59" s="144" t="s">
        <v>82</v>
      </c>
      <c r="U59" s="144"/>
      <c r="V59" s="204">
        <v>45763</v>
      </c>
      <c r="W59" s="94" t="b">
        <f t="shared" si="5"/>
        <v>1</v>
      </c>
    </row>
    <row r="60" spans="2:23" ht="12.9" customHeight="1">
      <c r="B60" s="8">
        <f>SUBTOTAL(3,C$4:$C60)</f>
        <v>57</v>
      </c>
      <c r="C60" s="197" t="s">
        <v>54</v>
      </c>
      <c r="D60" s="144">
        <v>2010</v>
      </c>
      <c r="E60" s="144" t="s">
        <v>55</v>
      </c>
      <c r="F60" s="144">
        <v>8</v>
      </c>
      <c r="G60" s="144" t="s">
        <v>56</v>
      </c>
      <c r="H60" s="144" t="s">
        <v>56</v>
      </c>
      <c r="I60" s="199">
        <f t="shared" si="0"/>
        <v>8</v>
      </c>
      <c r="J60" s="144">
        <v>8</v>
      </c>
      <c r="K60" s="144" t="s">
        <v>56</v>
      </c>
      <c r="L60" s="144" t="s">
        <v>56</v>
      </c>
      <c r="M60" s="144">
        <f t="shared" si="1"/>
        <v>8</v>
      </c>
      <c r="N60" s="150">
        <f t="shared" si="2"/>
        <v>8</v>
      </c>
      <c r="O60" s="201" t="str">
        <f t="shared" si="3"/>
        <v>-</v>
      </c>
      <c r="P60" s="202">
        <v>8</v>
      </c>
      <c r="Q60" s="201">
        <v>0</v>
      </c>
      <c r="R60" s="203">
        <f t="shared" si="4"/>
        <v>8</v>
      </c>
      <c r="S60" s="144" t="s">
        <v>57</v>
      </c>
      <c r="T60" s="144" t="s">
        <v>83</v>
      </c>
      <c r="U60" s="144"/>
      <c r="V60" s="144"/>
      <c r="W60" s="94" t="b">
        <f t="shared" si="5"/>
        <v>1</v>
      </c>
    </row>
    <row r="61" spans="2:23" ht="12.9" customHeight="1">
      <c r="B61" s="8">
        <f>SUBTOTAL(3,C$4:$C61)</f>
        <v>58</v>
      </c>
      <c r="C61" s="197" t="s">
        <v>59</v>
      </c>
      <c r="D61" s="144">
        <v>2015</v>
      </c>
      <c r="E61" s="144" t="s">
        <v>60</v>
      </c>
      <c r="F61" s="144">
        <v>8</v>
      </c>
      <c r="G61" s="144" t="s">
        <v>56</v>
      </c>
      <c r="H61" s="144" t="s">
        <v>56</v>
      </c>
      <c r="I61" s="199">
        <f t="shared" si="0"/>
        <v>8</v>
      </c>
      <c r="J61" s="144">
        <v>8</v>
      </c>
      <c r="K61" s="144" t="s">
        <v>56</v>
      </c>
      <c r="L61" s="144" t="s">
        <v>56</v>
      </c>
      <c r="M61" s="144">
        <f t="shared" si="1"/>
        <v>8</v>
      </c>
      <c r="N61" s="150">
        <f t="shared" si="2"/>
        <v>8</v>
      </c>
      <c r="O61" s="201" t="str">
        <f t="shared" si="3"/>
        <v>-</v>
      </c>
      <c r="P61" s="202">
        <v>8</v>
      </c>
      <c r="Q61" s="201">
        <v>0</v>
      </c>
      <c r="R61" s="203">
        <f t="shared" si="4"/>
        <v>8</v>
      </c>
      <c r="S61" s="144" t="s">
        <v>57</v>
      </c>
      <c r="T61" s="144" t="s">
        <v>83</v>
      </c>
      <c r="U61" s="144"/>
      <c r="V61" s="144"/>
      <c r="W61" s="94" t="b">
        <f t="shared" si="5"/>
        <v>1</v>
      </c>
    </row>
    <row r="62" spans="2:23" ht="12.9" customHeight="1">
      <c r="B62" s="8">
        <f>SUBTOTAL(3,C$4:$C62)</f>
        <v>59</v>
      </c>
      <c r="C62" s="197" t="s">
        <v>61</v>
      </c>
      <c r="D62" s="198" t="s">
        <v>62</v>
      </c>
      <c r="E62" s="144" t="s">
        <v>63</v>
      </c>
      <c r="F62" s="144">
        <v>2</v>
      </c>
      <c r="G62" s="144" t="s">
        <v>56</v>
      </c>
      <c r="H62" s="144" t="s">
        <v>56</v>
      </c>
      <c r="I62" s="199">
        <f t="shared" si="0"/>
        <v>2</v>
      </c>
      <c r="J62" s="144">
        <v>8</v>
      </c>
      <c r="K62" s="144" t="s">
        <v>56</v>
      </c>
      <c r="L62" s="144" t="s">
        <v>56</v>
      </c>
      <c r="M62" s="144">
        <f t="shared" si="1"/>
        <v>8</v>
      </c>
      <c r="N62" s="150">
        <f t="shared" si="2"/>
        <v>8</v>
      </c>
      <c r="O62" s="201" t="str">
        <f t="shared" si="3"/>
        <v>-</v>
      </c>
      <c r="P62" s="202">
        <v>8</v>
      </c>
      <c r="Q62" s="201">
        <v>0</v>
      </c>
      <c r="R62" s="203">
        <f t="shared" si="4"/>
        <v>8</v>
      </c>
      <c r="S62" s="144" t="s">
        <v>57</v>
      </c>
      <c r="T62" s="144" t="s">
        <v>83</v>
      </c>
      <c r="U62" s="144"/>
      <c r="V62" s="144"/>
      <c r="W62" s="94" t="b">
        <f t="shared" si="5"/>
        <v>1</v>
      </c>
    </row>
    <row r="63" spans="2:23" ht="12.9" customHeight="1">
      <c r="B63" s="8">
        <f>SUBTOTAL(3,C$4:$C63)</f>
        <v>60</v>
      </c>
      <c r="C63" s="197" t="s">
        <v>64</v>
      </c>
      <c r="D63" s="198" t="s">
        <v>62</v>
      </c>
      <c r="E63" s="144" t="s">
        <v>63</v>
      </c>
      <c r="F63" s="144">
        <v>2</v>
      </c>
      <c r="G63" s="144" t="s">
        <v>56</v>
      </c>
      <c r="H63" s="144" t="s">
        <v>56</v>
      </c>
      <c r="I63" s="199">
        <f t="shared" si="0"/>
        <v>2</v>
      </c>
      <c r="J63" s="144">
        <v>8</v>
      </c>
      <c r="K63" s="144" t="s">
        <v>56</v>
      </c>
      <c r="L63" s="144" t="s">
        <v>56</v>
      </c>
      <c r="M63" s="144">
        <f t="shared" si="1"/>
        <v>8</v>
      </c>
      <c r="N63" s="150">
        <f t="shared" si="2"/>
        <v>8</v>
      </c>
      <c r="O63" s="201" t="str">
        <f t="shared" si="3"/>
        <v>-</v>
      </c>
      <c r="P63" s="202">
        <v>8</v>
      </c>
      <c r="Q63" s="201">
        <v>0</v>
      </c>
      <c r="R63" s="203">
        <f t="shared" si="4"/>
        <v>8</v>
      </c>
      <c r="S63" s="144" t="s">
        <v>57</v>
      </c>
      <c r="T63" s="144" t="s">
        <v>83</v>
      </c>
      <c r="U63" s="144"/>
      <c r="V63" s="144"/>
      <c r="W63" s="94" t="b">
        <f t="shared" si="5"/>
        <v>1</v>
      </c>
    </row>
    <row r="64" spans="2:23" ht="12.9" customHeight="1">
      <c r="B64" s="8">
        <f>SUBTOTAL(3,C$4:$C64)</f>
        <v>61</v>
      </c>
      <c r="C64" s="197" t="s">
        <v>65</v>
      </c>
      <c r="D64" s="144" t="s">
        <v>66</v>
      </c>
      <c r="E64" s="144" t="s">
        <v>67</v>
      </c>
      <c r="F64" s="144">
        <v>8</v>
      </c>
      <c r="G64" s="144" t="s">
        <v>56</v>
      </c>
      <c r="H64" s="144" t="s">
        <v>56</v>
      </c>
      <c r="I64" s="199">
        <f t="shared" si="0"/>
        <v>8</v>
      </c>
      <c r="J64" s="144">
        <v>8</v>
      </c>
      <c r="K64" s="144" t="s">
        <v>56</v>
      </c>
      <c r="L64" s="144" t="s">
        <v>56</v>
      </c>
      <c r="M64" s="144">
        <f t="shared" si="1"/>
        <v>8</v>
      </c>
      <c r="N64" s="150">
        <f t="shared" si="2"/>
        <v>8</v>
      </c>
      <c r="O64" s="201" t="str">
        <f t="shared" si="3"/>
        <v>-</v>
      </c>
      <c r="P64" s="202">
        <v>8</v>
      </c>
      <c r="Q64" s="201">
        <v>0</v>
      </c>
      <c r="R64" s="203">
        <f t="shared" si="4"/>
        <v>8</v>
      </c>
      <c r="S64" s="144" t="s">
        <v>57</v>
      </c>
      <c r="T64" s="144" t="s">
        <v>83</v>
      </c>
      <c r="U64" s="144"/>
      <c r="V64" s="144"/>
      <c r="W64" s="94" t="b">
        <f t="shared" si="5"/>
        <v>1</v>
      </c>
    </row>
    <row r="65" spans="2:23" ht="12.9" customHeight="1">
      <c r="B65" s="8">
        <f>SUBTOTAL(3,C$4:$C65)</f>
        <v>62</v>
      </c>
      <c r="C65" s="197" t="s">
        <v>68</v>
      </c>
      <c r="D65" s="144" t="s">
        <v>84</v>
      </c>
      <c r="E65" s="144" t="s">
        <v>55</v>
      </c>
      <c r="F65" s="144">
        <v>4</v>
      </c>
      <c r="G65" s="144" t="s">
        <v>56</v>
      </c>
      <c r="H65" s="144" t="s">
        <v>56</v>
      </c>
      <c r="I65" s="199">
        <f t="shared" si="0"/>
        <v>4</v>
      </c>
      <c r="J65" s="144">
        <v>4</v>
      </c>
      <c r="K65" s="144" t="s">
        <v>56</v>
      </c>
      <c r="L65" s="144" t="s">
        <v>56</v>
      </c>
      <c r="M65" s="144">
        <f t="shared" si="1"/>
        <v>4</v>
      </c>
      <c r="N65" s="150">
        <f t="shared" si="2"/>
        <v>4</v>
      </c>
      <c r="O65" s="201" t="str">
        <f t="shared" si="3"/>
        <v>-</v>
      </c>
      <c r="P65" s="202">
        <v>4</v>
      </c>
      <c r="Q65" s="201">
        <v>0</v>
      </c>
      <c r="R65" s="203">
        <f t="shared" si="4"/>
        <v>4</v>
      </c>
      <c r="S65" s="144" t="s">
        <v>57</v>
      </c>
      <c r="T65" s="144" t="s">
        <v>83</v>
      </c>
      <c r="U65" s="144"/>
      <c r="V65" s="144"/>
      <c r="W65" s="94" t="b">
        <f t="shared" si="5"/>
        <v>1</v>
      </c>
    </row>
    <row r="66" spans="2:23" ht="12.9" customHeight="1">
      <c r="B66" s="8">
        <f>SUBTOTAL(3,C$4:$C66)</f>
        <v>63</v>
      </c>
      <c r="C66" s="197" t="s">
        <v>69</v>
      </c>
      <c r="D66" s="144">
        <v>2015</v>
      </c>
      <c r="E66" s="144" t="s">
        <v>55</v>
      </c>
      <c r="F66" s="144">
        <v>4</v>
      </c>
      <c r="G66" s="144" t="s">
        <v>56</v>
      </c>
      <c r="H66" s="144" t="s">
        <v>56</v>
      </c>
      <c r="I66" s="199">
        <f t="shared" si="0"/>
        <v>4</v>
      </c>
      <c r="J66" s="144">
        <v>4</v>
      </c>
      <c r="K66" s="144" t="s">
        <v>56</v>
      </c>
      <c r="L66" s="144" t="s">
        <v>56</v>
      </c>
      <c r="M66" s="144">
        <f t="shared" si="1"/>
        <v>4</v>
      </c>
      <c r="N66" s="150">
        <f t="shared" si="2"/>
        <v>4</v>
      </c>
      <c r="O66" s="201" t="str">
        <f t="shared" si="3"/>
        <v>-</v>
      </c>
      <c r="P66" s="202">
        <v>4</v>
      </c>
      <c r="Q66" s="201">
        <v>0</v>
      </c>
      <c r="R66" s="203">
        <f t="shared" si="4"/>
        <v>4</v>
      </c>
      <c r="S66" s="144" t="s">
        <v>57</v>
      </c>
      <c r="T66" s="144" t="s">
        <v>83</v>
      </c>
      <c r="U66" s="144"/>
      <c r="V66" s="144"/>
      <c r="W66" s="94" t="b">
        <f t="shared" si="5"/>
        <v>1</v>
      </c>
    </row>
    <row r="67" spans="2:23" ht="12.9" customHeight="1">
      <c r="B67" s="8">
        <f>SUBTOTAL(3,C$4:$C67)</f>
        <v>64</v>
      </c>
      <c r="C67" s="197" t="s">
        <v>70</v>
      </c>
      <c r="D67" s="144">
        <v>2010</v>
      </c>
      <c r="E67" s="144" t="s">
        <v>71</v>
      </c>
      <c r="F67" s="144">
        <v>4</v>
      </c>
      <c r="G67" s="144" t="s">
        <v>56</v>
      </c>
      <c r="H67" s="144" t="s">
        <v>56</v>
      </c>
      <c r="I67" s="199">
        <f t="shared" si="0"/>
        <v>4</v>
      </c>
      <c r="J67" s="144">
        <v>4</v>
      </c>
      <c r="K67" s="144" t="s">
        <v>56</v>
      </c>
      <c r="L67" s="144" t="s">
        <v>56</v>
      </c>
      <c r="M67" s="144">
        <f t="shared" si="1"/>
        <v>4</v>
      </c>
      <c r="N67" s="150">
        <f t="shared" si="2"/>
        <v>4</v>
      </c>
      <c r="O67" s="201" t="str">
        <f t="shared" si="3"/>
        <v>-</v>
      </c>
      <c r="P67" s="202">
        <v>4</v>
      </c>
      <c r="Q67" s="201">
        <v>0</v>
      </c>
      <c r="R67" s="203">
        <f t="shared" si="4"/>
        <v>4</v>
      </c>
      <c r="S67" s="144" t="s">
        <v>57</v>
      </c>
      <c r="T67" s="144" t="s">
        <v>83</v>
      </c>
      <c r="U67" s="144"/>
      <c r="V67" s="144"/>
      <c r="W67" s="94" t="b">
        <f t="shared" si="5"/>
        <v>1</v>
      </c>
    </row>
    <row r="68" spans="2:23" ht="12.9" customHeight="1">
      <c r="B68" s="8">
        <f>SUBTOTAL(3,C$4:$C68)</f>
        <v>65</v>
      </c>
      <c r="C68" s="197" t="s">
        <v>72</v>
      </c>
      <c r="D68" s="144">
        <v>2010</v>
      </c>
      <c r="E68" s="144" t="s">
        <v>67</v>
      </c>
      <c r="F68" s="144">
        <v>2</v>
      </c>
      <c r="G68" s="144" t="s">
        <v>56</v>
      </c>
      <c r="H68" s="144" t="s">
        <v>56</v>
      </c>
      <c r="I68" s="199">
        <f t="shared" ref="I68:I131" si="6">F68</f>
        <v>2</v>
      </c>
      <c r="J68" s="144">
        <v>2</v>
      </c>
      <c r="K68" s="144" t="s">
        <v>56</v>
      </c>
      <c r="L68" s="144" t="s">
        <v>56</v>
      </c>
      <c r="M68" s="144">
        <f t="shared" ref="M68:M131" si="7">SUM(J68:L68)</f>
        <v>2</v>
      </c>
      <c r="N68" s="150">
        <f t="shared" ref="N68:N131" si="8">J68</f>
        <v>2</v>
      </c>
      <c r="O68" s="201" t="str">
        <f t="shared" ref="O68:O131" si="9">L68</f>
        <v>-</v>
      </c>
      <c r="P68" s="202">
        <v>2</v>
      </c>
      <c r="Q68" s="201">
        <v>0</v>
      </c>
      <c r="R68" s="203">
        <f t="shared" si="4"/>
        <v>2</v>
      </c>
      <c r="S68" s="144" t="s">
        <v>57</v>
      </c>
      <c r="T68" s="144" t="s">
        <v>83</v>
      </c>
      <c r="U68" s="144"/>
      <c r="V68" s="144"/>
      <c r="W68" s="94" t="b">
        <f t="shared" si="5"/>
        <v>1</v>
      </c>
    </row>
    <row r="69" spans="2:23" ht="12.9" customHeight="1">
      <c r="B69" s="8">
        <f>SUBTOTAL(3,C$4:$C69)</f>
        <v>66</v>
      </c>
      <c r="C69" s="197" t="s">
        <v>73</v>
      </c>
      <c r="D69" s="144">
        <v>2010</v>
      </c>
      <c r="E69" s="144" t="s">
        <v>63</v>
      </c>
      <c r="F69" s="144" t="s">
        <v>56</v>
      </c>
      <c r="G69" s="144" t="s">
        <v>56</v>
      </c>
      <c r="H69" s="144" t="s">
        <v>56</v>
      </c>
      <c r="I69" s="199" t="str">
        <f t="shared" si="6"/>
        <v>-</v>
      </c>
      <c r="J69" s="144">
        <v>2</v>
      </c>
      <c r="K69" s="144" t="s">
        <v>56</v>
      </c>
      <c r="L69" s="144" t="s">
        <v>56</v>
      </c>
      <c r="M69" s="144">
        <f t="shared" si="7"/>
        <v>2</v>
      </c>
      <c r="N69" s="150">
        <f t="shared" si="8"/>
        <v>2</v>
      </c>
      <c r="O69" s="201" t="str">
        <f t="shared" si="9"/>
        <v>-</v>
      </c>
      <c r="P69" s="202">
        <v>2</v>
      </c>
      <c r="Q69" s="201">
        <v>0</v>
      </c>
      <c r="R69" s="203">
        <f t="shared" ref="R69:R132" si="10">P69+Q69</f>
        <v>2</v>
      </c>
      <c r="S69" s="144" t="s">
        <v>57</v>
      </c>
      <c r="T69" s="144" t="s">
        <v>83</v>
      </c>
      <c r="U69" s="144"/>
      <c r="V69" s="144"/>
      <c r="W69" s="94" t="b">
        <f t="shared" ref="W69:W132" si="11">N69=P69</f>
        <v>1</v>
      </c>
    </row>
    <row r="70" spans="2:23" ht="12.9" customHeight="1">
      <c r="B70" s="8">
        <f>SUBTOTAL(3,C$4:$C70)</f>
        <v>67</v>
      </c>
      <c r="C70" s="197" t="s">
        <v>74</v>
      </c>
      <c r="D70" s="144">
        <v>2018</v>
      </c>
      <c r="E70" s="144" t="s">
        <v>60</v>
      </c>
      <c r="F70" s="144">
        <v>4</v>
      </c>
      <c r="G70" s="144" t="s">
        <v>56</v>
      </c>
      <c r="H70" s="144" t="s">
        <v>56</v>
      </c>
      <c r="I70" s="199">
        <f t="shared" si="6"/>
        <v>4</v>
      </c>
      <c r="J70" s="144">
        <v>4</v>
      </c>
      <c r="K70" s="144" t="s">
        <v>56</v>
      </c>
      <c r="L70" s="144" t="s">
        <v>56</v>
      </c>
      <c r="M70" s="144">
        <f t="shared" si="7"/>
        <v>4</v>
      </c>
      <c r="N70" s="150">
        <f t="shared" si="8"/>
        <v>4</v>
      </c>
      <c r="O70" s="201" t="str">
        <f t="shared" si="9"/>
        <v>-</v>
      </c>
      <c r="P70" s="202">
        <v>4</v>
      </c>
      <c r="Q70" s="201">
        <v>0</v>
      </c>
      <c r="R70" s="203">
        <f t="shared" si="10"/>
        <v>4</v>
      </c>
      <c r="S70" s="144" t="s">
        <v>57</v>
      </c>
      <c r="T70" s="144" t="s">
        <v>83</v>
      </c>
      <c r="U70" s="144"/>
      <c r="V70" s="144"/>
      <c r="W70" s="94" t="b">
        <f t="shared" si="11"/>
        <v>1</v>
      </c>
    </row>
    <row r="71" spans="2:23" ht="12.9" customHeight="1">
      <c r="B71" s="8">
        <f>SUBTOTAL(3,C$4:$C71)</f>
        <v>68</v>
      </c>
      <c r="C71" s="197" t="s">
        <v>75</v>
      </c>
      <c r="D71" s="144">
        <v>2010</v>
      </c>
      <c r="E71" s="144" t="s">
        <v>60</v>
      </c>
      <c r="F71" s="144">
        <v>4</v>
      </c>
      <c r="G71" s="144" t="s">
        <v>56</v>
      </c>
      <c r="H71" s="144" t="s">
        <v>56</v>
      </c>
      <c r="I71" s="199">
        <f t="shared" si="6"/>
        <v>4</v>
      </c>
      <c r="J71" s="144">
        <v>4</v>
      </c>
      <c r="K71" s="144" t="s">
        <v>56</v>
      </c>
      <c r="L71" s="144" t="s">
        <v>56</v>
      </c>
      <c r="M71" s="144">
        <f t="shared" si="7"/>
        <v>4</v>
      </c>
      <c r="N71" s="150">
        <f t="shared" si="8"/>
        <v>4</v>
      </c>
      <c r="O71" s="201" t="str">
        <f t="shared" si="9"/>
        <v>-</v>
      </c>
      <c r="P71" s="202">
        <v>4</v>
      </c>
      <c r="Q71" s="201">
        <v>0</v>
      </c>
      <c r="R71" s="203">
        <f t="shared" si="10"/>
        <v>4</v>
      </c>
      <c r="S71" s="144" t="s">
        <v>57</v>
      </c>
      <c r="T71" s="144" t="s">
        <v>83</v>
      </c>
      <c r="U71" s="144"/>
      <c r="V71" s="144"/>
      <c r="W71" s="94" t="b">
        <f t="shared" si="11"/>
        <v>1</v>
      </c>
    </row>
    <row r="72" spans="2:23" ht="12.9" customHeight="1">
      <c r="B72" s="8">
        <f>SUBTOTAL(3,C$4:$C72)</f>
        <v>69</v>
      </c>
      <c r="C72" s="197" t="s">
        <v>76</v>
      </c>
      <c r="D72" s="144">
        <v>2010</v>
      </c>
      <c r="E72" s="144" t="s">
        <v>60</v>
      </c>
      <c r="F72" s="144">
        <v>5</v>
      </c>
      <c r="G72" s="144" t="s">
        <v>56</v>
      </c>
      <c r="H72" s="144">
        <v>1</v>
      </c>
      <c r="I72" s="199">
        <f t="shared" si="6"/>
        <v>5</v>
      </c>
      <c r="J72" s="144">
        <v>5</v>
      </c>
      <c r="K72" s="144" t="s">
        <v>56</v>
      </c>
      <c r="L72" s="144" t="s">
        <v>56</v>
      </c>
      <c r="M72" s="144">
        <f t="shared" si="7"/>
        <v>5</v>
      </c>
      <c r="N72" s="150">
        <f t="shared" si="8"/>
        <v>5</v>
      </c>
      <c r="O72" s="201" t="str">
        <f t="shared" si="9"/>
        <v>-</v>
      </c>
      <c r="P72" s="202">
        <v>5</v>
      </c>
      <c r="Q72" s="201">
        <v>0</v>
      </c>
      <c r="R72" s="203">
        <f t="shared" si="10"/>
        <v>5</v>
      </c>
      <c r="S72" s="144" t="s">
        <v>57</v>
      </c>
      <c r="T72" s="144" t="s">
        <v>83</v>
      </c>
      <c r="U72" s="144"/>
      <c r="V72" s="144"/>
      <c r="W72" s="94" t="b">
        <f t="shared" si="11"/>
        <v>1</v>
      </c>
    </row>
    <row r="73" spans="2:23" ht="12.9" customHeight="1">
      <c r="B73" s="8">
        <f>SUBTOTAL(3,C$4:$C73)</f>
        <v>70</v>
      </c>
      <c r="C73" s="197" t="s">
        <v>77</v>
      </c>
      <c r="D73" s="144">
        <v>2025</v>
      </c>
      <c r="E73" s="144" t="s">
        <v>60</v>
      </c>
      <c r="F73" s="144" t="s">
        <v>56</v>
      </c>
      <c r="G73" s="144" t="s">
        <v>56</v>
      </c>
      <c r="H73" s="144" t="s">
        <v>56</v>
      </c>
      <c r="I73" s="199" t="str">
        <f t="shared" si="6"/>
        <v>-</v>
      </c>
      <c r="J73" s="144">
        <v>1</v>
      </c>
      <c r="K73" s="144" t="s">
        <v>56</v>
      </c>
      <c r="L73" s="144" t="s">
        <v>56</v>
      </c>
      <c r="M73" s="144">
        <f t="shared" si="7"/>
        <v>1</v>
      </c>
      <c r="N73" s="150">
        <f t="shared" si="8"/>
        <v>1</v>
      </c>
      <c r="O73" s="201" t="str">
        <f t="shared" si="9"/>
        <v>-</v>
      </c>
      <c r="P73" s="202">
        <v>1</v>
      </c>
      <c r="Q73" s="201">
        <v>0</v>
      </c>
      <c r="R73" s="203">
        <f t="shared" si="10"/>
        <v>1</v>
      </c>
      <c r="S73" s="144" t="s">
        <v>57</v>
      </c>
      <c r="T73" s="144" t="s">
        <v>83</v>
      </c>
      <c r="U73" s="144"/>
      <c r="V73" s="204">
        <v>45763</v>
      </c>
      <c r="W73" s="94" t="b">
        <f t="shared" si="11"/>
        <v>1</v>
      </c>
    </row>
    <row r="74" spans="2:23" s="65" customFormat="1" ht="12.9" customHeight="1">
      <c r="B74" s="8">
        <f>SUBTOTAL(3,C$4:$C74)</f>
        <v>71</v>
      </c>
      <c r="C74" s="197" t="s">
        <v>54</v>
      </c>
      <c r="D74" s="144">
        <v>2010</v>
      </c>
      <c r="E74" s="144" t="s">
        <v>55</v>
      </c>
      <c r="F74" s="144">
        <v>8</v>
      </c>
      <c r="G74" s="144" t="s">
        <v>56</v>
      </c>
      <c r="H74" s="144" t="s">
        <v>56</v>
      </c>
      <c r="I74" s="199">
        <f t="shared" si="6"/>
        <v>8</v>
      </c>
      <c r="J74" s="144">
        <v>8</v>
      </c>
      <c r="K74" s="144" t="s">
        <v>56</v>
      </c>
      <c r="L74" s="144" t="s">
        <v>56</v>
      </c>
      <c r="M74" s="144">
        <f t="shared" si="7"/>
        <v>8</v>
      </c>
      <c r="N74" s="150">
        <f t="shared" si="8"/>
        <v>8</v>
      </c>
      <c r="O74" s="201" t="str">
        <f t="shared" si="9"/>
        <v>-</v>
      </c>
      <c r="P74" s="202">
        <v>8</v>
      </c>
      <c r="Q74" s="201">
        <v>0</v>
      </c>
      <c r="R74" s="203">
        <f t="shared" si="10"/>
        <v>8</v>
      </c>
      <c r="S74" s="144" t="s">
        <v>57</v>
      </c>
      <c r="T74" s="144" t="s">
        <v>85</v>
      </c>
      <c r="U74" s="144"/>
      <c r="V74" s="144"/>
      <c r="W74" s="94" t="b">
        <f t="shared" si="11"/>
        <v>1</v>
      </c>
    </row>
    <row r="75" spans="2:23" s="65" customFormat="1" ht="12.9" customHeight="1">
      <c r="B75" s="8">
        <f>SUBTOTAL(3,C$4:$C75)</f>
        <v>72</v>
      </c>
      <c r="C75" s="197" t="s">
        <v>59</v>
      </c>
      <c r="D75" s="144">
        <v>2015</v>
      </c>
      <c r="E75" s="144" t="s">
        <v>60</v>
      </c>
      <c r="F75" s="144">
        <v>8</v>
      </c>
      <c r="G75" s="144" t="s">
        <v>56</v>
      </c>
      <c r="H75" s="144" t="s">
        <v>56</v>
      </c>
      <c r="I75" s="199">
        <f t="shared" si="6"/>
        <v>8</v>
      </c>
      <c r="J75" s="144">
        <v>8</v>
      </c>
      <c r="K75" s="144" t="s">
        <v>56</v>
      </c>
      <c r="L75" s="144" t="s">
        <v>56</v>
      </c>
      <c r="M75" s="144">
        <f t="shared" si="7"/>
        <v>8</v>
      </c>
      <c r="N75" s="150">
        <f t="shared" si="8"/>
        <v>8</v>
      </c>
      <c r="O75" s="201" t="str">
        <f t="shared" si="9"/>
        <v>-</v>
      </c>
      <c r="P75" s="202">
        <v>8</v>
      </c>
      <c r="Q75" s="201">
        <v>0</v>
      </c>
      <c r="R75" s="203">
        <f t="shared" si="10"/>
        <v>8</v>
      </c>
      <c r="S75" s="144" t="s">
        <v>57</v>
      </c>
      <c r="T75" s="144" t="s">
        <v>85</v>
      </c>
      <c r="U75" s="144"/>
      <c r="V75" s="144"/>
      <c r="W75" s="94" t="b">
        <f t="shared" si="11"/>
        <v>1</v>
      </c>
    </row>
    <row r="76" spans="2:23" s="65" customFormat="1" ht="12.9" customHeight="1">
      <c r="B76" s="8">
        <f>SUBTOTAL(3,C$4:$C76)</f>
        <v>73</v>
      </c>
      <c r="C76" s="197" t="s">
        <v>61</v>
      </c>
      <c r="D76" s="198" t="s">
        <v>62</v>
      </c>
      <c r="E76" s="144" t="s">
        <v>63</v>
      </c>
      <c r="F76" s="144">
        <v>6</v>
      </c>
      <c r="G76" s="144" t="s">
        <v>56</v>
      </c>
      <c r="H76" s="144" t="s">
        <v>56</v>
      </c>
      <c r="I76" s="199">
        <f t="shared" si="6"/>
        <v>6</v>
      </c>
      <c r="J76" s="144">
        <v>8</v>
      </c>
      <c r="K76" s="144" t="s">
        <v>56</v>
      </c>
      <c r="L76" s="144" t="s">
        <v>56</v>
      </c>
      <c r="M76" s="144">
        <f t="shared" si="7"/>
        <v>8</v>
      </c>
      <c r="N76" s="150">
        <f t="shared" si="8"/>
        <v>8</v>
      </c>
      <c r="O76" s="201" t="str">
        <f t="shared" si="9"/>
        <v>-</v>
      </c>
      <c r="P76" s="202">
        <v>8</v>
      </c>
      <c r="Q76" s="201">
        <v>0</v>
      </c>
      <c r="R76" s="203">
        <f t="shared" si="10"/>
        <v>8</v>
      </c>
      <c r="S76" s="144" t="s">
        <v>57</v>
      </c>
      <c r="T76" s="144" t="s">
        <v>85</v>
      </c>
      <c r="U76" s="144"/>
      <c r="V76" s="144"/>
      <c r="W76" s="94" t="b">
        <f t="shared" si="11"/>
        <v>1</v>
      </c>
    </row>
    <row r="77" spans="2:23" s="65" customFormat="1" ht="12.9" customHeight="1">
      <c r="B77" s="8">
        <f>SUBTOTAL(3,C$4:$C77)</f>
        <v>74</v>
      </c>
      <c r="C77" s="197" t="s">
        <v>64</v>
      </c>
      <c r="D77" s="198" t="s">
        <v>62</v>
      </c>
      <c r="E77" s="144" t="s">
        <v>63</v>
      </c>
      <c r="F77" s="144">
        <v>6</v>
      </c>
      <c r="G77" s="144" t="s">
        <v>56</v>
      </c>
      <c r="H77" s="144" t="s">
        <v>56</v>
      </c>
      <c r="I77" s="199">
        <f t="shared" si="6"/>
        <v>6</v>
      </c>
      <c r="J77" s="144">
        <v>8</v>
      </c>
      <c r="K77" s="144" t="s">
        <v>56</v>
      </c>
      <c r="L77" s="144" t="s">
        <v>56</v>
      </c>
      <c r="M77" s="144">
        <f t="shared" si="7"/>
        <v>8</v>
      </c>
      <c r="N77" s="150">
        <f t="shared" si="8"/>
        <v>8</v>
      </c>
      <c r="O77" s="201" t="str">
        <f t="shared" si="9"/>
        <v>-</v>
      </c>
      <c r="P77" s="202">
        <v>8</v>
      </c>
      <c r="Q77" s="201">
        <v>0</v>
      </c>
      <c r="R77" s="203">
        <f t="shared" si="10"/>
        <v>8</v>
      </c>
      <c r="S77" s="144" t="s">
        <v>57</v>
      </c>
      <c r="T77" s="144" t="s">
        <v>85</v>
      </c>
      <c r="U77" s="144"/>
      <c r="V77" s="144"/>
      <c r="W77" s="94" t="b">
        <f t="shared" si="11"/>
        <v>1</v>
      </c>
    </row>
    <row r="78" spans="2:23" s="65" customFormat="1" ht="12.9" customHeight="1">
      <c r="B78" s="8">
        <f>SUBTOTAL(3,C$4:$C78)</f>
        <v>75</v>
      </c>
      <c r="C78" s="197" t="s">
        <v>65</v>
      </c>
      <c r="D78" s="144" t="s">
        <v>66</v>
      </c>
      <c r="E78" s="144" t="s">
        <v>67</v>
      </c>
      <c r="F78" s="144">
        <v>8</v>
      </c>
      <c r="G78" s="144" t="s">
        <v>56</v>
      </c>
      <c r="H78" s="144" t="s">
        <v>56</v>
      </c>
      <c r="I78" s="199">
        <f t="shared" si="6"/>
        <v>8</v>
      </c>
      <c r="J78" s="144">
        <v>8</v>
      </c>
      <c r="K78" s="144" t="s">
        <v>56</v>
      </c>
      <c r="L78" s="144" t="s">
        <v>56</v>
      </c>
      <c r="M78" s="144">
        <f t="shared" si="7"/>
        <v>8</v>
      </c>
      <c r="N78" s="150">
        <f t="shared" si="8"/>
        <v>8</v>
      </c>
      <c r="O78" s="201" t="str">
        <f t="shared" si="9"/>
        <v>-</v>
      </c>
      <c r="P78" s="202">
        <v>8</v>
      </c>
      <c r="Q78" s="201">
        <v>0</v>
      </c>
      <c r="R78" s="203">
        <f t="shared" si="10"/>
        <v>8</v>
      </c>
      <c r="S78" s="144" t="s">
        <v>57</v>
      </c>
      <c r="T78" s="144" t="s">
        <v>85</v>
      </c>
      <c r="U78" s="144"/>
      <c r="V78" s="144"/>
      <c r="W78" s="94" t="b">
        <f t="shared" si="11"/>
        <v>1</v>
      </c>
    </row>
    <row r="79" spans="2:23" s="65" customFormat="1" ht="12.9" customHeight="1">
      <c r="B79" s="8">
        <f>SUBTOTAL(3,C$4:$C79)</f>
        <v>76</v>
      </c>
      <c r="C79" s="197" t="s">
        <v>68</v>
      </c>
      <c r="D79" s="144">
        <v>2010</v>
      </c>
      <c r="E79" s="144" t="s">
        <v>55</v>
      </c>
      <c r="F79" s="144">
        <v>4</v>
      </c>
      <c r="G79" s="144" t="s">
        <v>56</v>
      </c>
      <c r="H79" s="144" t="s">
        <v>56</v>
      </c>
      <c r="I79" s="199">
        <f t="shared" si="6"/>
        <v>4</v>
      </c>
      <c r="J79" s="144">
        <v>4</v>
      </c>
      <c r="K79" s="144" t="s">
        <v>56</v>
      </c>
      <c r="L79" s="144" t="s">
        <v>56</v>
      </c>
      <c r="M79" s="144">
        <f t="shared" si="7"/>
        <v>4</v>
      </c>
      <c r="N79" s="150">
        <f t="shared" si="8"/>
        <v>4</v>
      </c>
      <c r="O79" s="201" t="str">
        <f t="shared" si="9"/>
        <v>-</v>
      </c>
      <c r="P79" s="202">
        <v>4</v>
      </c>
      <c r="Q79" s="201">
        <v>0</v>
      </c>
      <c r="R79" s="203">
        <f t="shared" si="10"/>
        <v>4</v>
      </c>
      <c r="S79" s="144" t="s">
        <v>57</v>
      </c>
      <c r="T79" s="144" t="s">
        <v>85</v>
      </c>
      <c r="U79" s="144"/>
      <c r="V79" s="144"/>
      <c r="W79" s="94" t="b">
        <f t="shared" si="11"/>
        <v>1</v>
      </c>
    </row>
    <row r="80" spans="2:23" s="65" customFormat="1" ht="12.9" customHeight="1">
      <c r="B80" s="8">
        <f>SUBTOTAL(3,C$4:$C80)</f>
        <v>77</v>
      </c>
      <c r="C80" s="197" t="s">
        <v>79</v>
      </c>
      <c r="D80" s="144">
        <v>2015</v>
      </c>
      <c r="E80" s="144" t="s">
        <v>55</v>
      </c>
      <c r="F80" s="144">
        <v>4</v>
      </c>
      <c r="G80" s="144" t="s">
        <v>56</v>
      </c>
      <c r="H80" s="144" t="s">
        <v>56</v>
      </c>
      <c r="I80" s="199">
        <f t="shared" si="6"/>
        <v>4</v>
      </c>
      <c r="J80" s="144">
        <v>4</v>
      </c>
      <c r="K80" s="144" t="s">
        <v>56</v>
      </c>
      <c r="L80" s="144" t="s">
        <v>56</v>
      </c>
      <c r="M80" s="144">
        <f t="shared" si="7"/>
        <v>4</v>
      </c>
      <c r="N80" s="150">
        <f t="shared" si="8"/>
        <v>4</v>
      </c>
      <c r="O80" s="201" t="str">
        <f t="shared" si="9"/>
        <v>-</v>
      </c>
      <c r="P80" s="202">
        <v>4</v>
      </c>
      <c r="Q80" s="201">
        <v>0</v>
      </c>
      <c r="R80" s="203">
        <f t="shared" si="10"/>
        <v>4</v>
      </c>
      <c r="S80" s="144" t="s">
        <v>57</v>
      </c>
      <c r="T80" s="144" t="s">
        <v>85</v>
      </c>
      <c r="U80" s="144"/>
      <c r="V80" s="144"/>
      <c r="W80" s="94" t="b">
        <f t="shared" si="11"/>
        <v>1</v>
      </c>
    </row>
    <row r="81" spans="2:23" s="65" customFormat="1" ht="12.9" customHeight="1">
      <c r="B81" s="8">
        <f>SUBTOTAL(3,C$4:$C81)</f>
        <v>78</v>
      </c>
      <c r="C81" s="197" t="s">
        <v>70</v>
      </c>
      <c r="D81" s="144">
        <v>2010</v>
      </c>
      <c r="E81" s="144" t="s">
        <v>71</v>
      </c>
      <c r="F81" s="144">
        <v>4</v>
      </c>
      <c r="G81" s="144" t="s">
        <v>56</v>
      </c>
      <c r="H81" s="144" t="s">
        <v>56</v>
      </c>
      <c r="I81" s="199">
        <f t="shared" si="6"/>
        <v>4</v>
      </c>
      <c r="J81" s="144">
        <v>4</v>
      </c>
      <c r="K81" s="144" t="s">
        <v>56</v>
      </c>
      <c r="L81" s="144" t="s">
        <v>56</v>
      </c>
      <c r="M81" s="144">
        <f t="shared" si="7"/>
        <v>4</v>
      </c>
      <c r="N81" s="150">
        <f t="shared" si="8"/>
        <v>4</v>
      </c>
      <c r="O81" s="201" t="str">
        <f t="shared" si="9"/>
        <v>-</v>
      </c>
      <c r="P81" s="202">
        <v>4</v>
      </c>
      <c r="Q81" s="201">
        <v>0</v>
      </c>
      <c r="R81" s="203">
        <f t="shared" si="10"/>
        <v>4</v>
      </c>
      <c r="S81" s="144" t="s">
        <v>57</v>
      </c>
      <c r="T81" s="144" t="s">
        <v>85</v>
      </c>
      <c r="U81" s="144"/>
      <c r="V81" s="144"/>
      <c r="W81" s="94" t="b">
        <f t="shared" si="11"/>
        <v>1</v>
      </c>
    </row>
    <row r="82" spans="2:23" s="65" customFormat="1" ht="12.9" customHeight="1">
      <c r="B82" s="8">
        <f>SUBTOTAL(3,C$4:$C82)</f>
        <v>79</v>
      </c>
      <c r="C82" s="197" t="s">
        <v>72</v>
      </c>
      <c r="D82" s="144">
        <v>2010</v>
      </c>
      <c r="E82" s="144" t="s">
        <v>67</v>
      </c>
      <c r="F82" s="144">
        <v>2</v>
      </c>
      <c r="G82" s="144" t="s">
        <v>56</v>
      </c>
      <c r="H82" s="144" t="s">
        <v>56</v>
      </c>
      <c r="I82" s="199">
        <f t="shared" si="6"/>
        <v>2</v>
      </c>
      <c r="J82" s="144">
        <v>2</v>
      </c>
      <c r="K82" s="144" t="s">
        <v>56</v>
      </c>
      <c r="L82" s="144" t="s">
        <v>56</v>
      </c>
      <c r="M82" s="144">
        <f t="shared" si="7"/>
        <v>2</v>
      </c>
      <c r="N82" s="150">
        <f t="shared" si="8"/>
        <v>2</v>
      </c>
      <c r="O82" s="201" t="str">
        <f t="shared" si="9"/>
        <v>-</v>
      </c>
      <c r="P82" s="202">
        <v>2</v>
      </c>
      <c r="Q82" s="201">
        <v>0</v>
      </c>
      <c r="R82" s="203">
        <f t="shared" si="10"/>
        <v>2</v>
      </c>
      <c r="S82" s="144" t="s">
        <v>57</v>
      </c>
      <c r="T82" s="144" t="s">
        <v>85</v>
      </c>
      <c r="U82" s="144"/>
      <c r="V82" s="144"/>
      <c r="W82" s="94" t="b">
        <f t="shared" si="11"/>
        <v>1</v>
      </c>
    </row>
    <row r="83" spans="2:23" s="65" customFormat="1" ht="12.9" customHeight="1">
      <c r="B83" s="8">
        <f>SUBTOTAL(3,C$4:$C83)</f>
        <v>80</v>
      </c>
      <c r="C83" s="197" t="s">
        <v>73</v>
      </c>
      <c r="D83" s="144">
        <v>2010</v>
      </c>
      <c r="E83" s="144" t="s">
        <v>63</v>
      </c>
      <c r="F83" s="144" t="s">
        <v>56</v>
      </c>
      <c r="G83" s="144" t="s">
        <v>56</v>
      </c>
      <c r="H83" s="144" t="s">
        <v>56</v>
      </c>
      <c r="I83" s="199" t="str">
        <f t="shared" si="6"/>
        <v>-</v>
      </c>
      <c r="J83" s="144">
        <v>2</v>
      </c>
      <c r="K83" s="144" t="s">
        <v>56</v>
      </c>
      <c r="L83" s="144" t="s">
        <v>56</v>
      </c>
      <c r="M83" s="144">
        <f t="shared" si="7"/>
        <v>2</v>
      </c>
      <c r="N83" s="150">
        <f t="shared" si="8"/>
        <v>2</v>
      </c>
      <c r="O83" s="201" t="str">
        <f t="shared" si="9"/>
        <v>-</v>
      </c>
      <c r="P83" s="202">
        <v>2</v>
      </c>
      <c r="Q83" s="201">
        <v>0</v>
      </c>
      <c r="R83" s="203">
        <f t="shared" si="10"/>
        <v>2</v>
      </c>
      <c r="S83" s="144" t="s">
        <v>57</v>
      </c>
      <c r="T83" s="144" t="s">
        <v>85</v>
      </c>
      <c r="U83" s="144"/>
      <c r="V83" s="144"/>
      <c r="W83" s="94" t="b">
        <f t="shared" si="11"/>
        <v>1</v>
      </c>
    </row>
    <row r="84" spans="2:23" s="65" customFormat="1" ht="12.9" customHeight="1">
      <c r="B84" s="8">
        <f>SUBTOTAL(3,C$4:$C84)</f>
        <v>81</v>
      </c>
      <c r="C84" s="197" t="s">
        <v>74</v>
      </c>
      <c r="D84" s="144">
        <v>2018</v>
      </c>
      <c r="E84" s="144" t="s">
        <v>60</v>
      </c>
      <c r="F84" s="144">
        <v>4</v>
      </c>
      <c r="G84" s="144" t="s">
        <v>56</v>
      </c>
      <c r="H84" s="144" t="s">
        <v>56</v>
      </c>
      <c r="I84" s="199">
        <f t="shared" si="6"/>
        <v>4</v>
      </c>
      <c r="J84" s="144">
        <v>4</v>
      </c>
      <c r="K84" s="144" t="s">
        <v>56</v>
      </c>
      <c r="L84" s="144" t="s">
        <v>56</v>
      </c>
      <c r="M84" s="144">
        <f t="shared" si="7"/>
        <v>4</v>
      </c>
      <c r="N84" s="150">
        <f t="shared" si="8"/>
        <v>4</v>
      </c>
      <c r="O84" s="201" t="str">
        <f t="shared" si="9"/>
        <v>-</v>
      </c>
      <c r="P84" s="202">
        <v>4</v>
      </c>
      <c r="Q84" s="201">
        <v>0</v>
      </c>
      <c r="R84" s="203">
        <f t="shared" si="10"/>
        <v>4</v>
      </c>
      <c r="S84" s="144" t="s">
        <v>57</v>
      </c>
      <c r="T84" s="144" t="s">
        <v>85</v>
      </c>
      <c r="U84" s="144"/>
      <c r="V84" s="144"/>
      <c r="W84" s="94" t="b">
        <f t="shared" si="11"/>
        <v>1</v>
      </c>
    </row>
    <row r="85" spans="2:23" s="65" customFormat="1" ht="12.9" customHeight="1">
      <c r="B85" s="8">
        <f>SUBTOTAL(3,C$4:$C85)</f>
        <v>82</v>
      </c>
      <c r="C85" s="197" t="s">
        <v>75</v>
      </c>
      <c r="D85" s="144">
        <v>2010</v>
      </c>
      <c r="E85" s="144" t="s">
        <v>60</v>
      </c>
      <c r="F85" s="144">
        <v>4</v>
      </c>
      <c r="G85" s="144" t="s">
        <v>56</v>
      </c>
      <c r="H85" s="144" t="s">
        <v>56</v>
      </c>
      <c r="I85" s="199">
        <f t="shared" si="6"/>
        <v>4</v>
      </c>
      <c r="J85" s="144">
        <v>4</v>
      </c>
      <c r="K85" s="144" t="s">
        <v>56</v>
      </c>
      <c r="L85" s="144" t="s">
        <v>56</v>
      </c>
      <c r="M85" s="144">
        <f t="shared" si="7"/>
        <v>4</v>
      </c>
      <c r="N85" s="150">
        <f t="shared" si="8"/>
        <v>4</v>
      </c>
      <c r="O85" s="201" t="str">
        <f t="shared" si="9"/>
        <v>-</v>
      </c>
      <c r="P85" s="202">
        <v>4</v>
      </c>
      <c r="Q85" s="201">
        <v>0</v>
      </c>
      <c r="R85" s="203">
        <f t="shared" si="10"/>
        <v>4</v>
      </c>
      <c r="S85" s="144" t="s">
        <v>57</v>
      </c>
      <c r="T85" s="144" t="s">
        <v>85</v>
      </c>
      <c r="U85" s="144"/>
      <c r="V85" s="144"/>
      <c r="W85" s="94" t="b">
        <f t="shared" si="11"/>
        <v>1</v>
      </c>
    </row>
    <row r="86" spans="2:23" s="65" customFormat="1" ht="12.9" customHeight="1">
      <c r="B86" s="8">
        <f>SUBTOTAL(3,C$4:$C86)</f>
        <v>83</v>
      </c>
      <c r="C86" s="197" t="s">
        <v>76</v>
      </c>
      <c r="D86" s="144">
        <v>2010</v>
      </c>
      <c r="E86" s="144" t="s">
        <v>60</v>
      </c>
      <c r="F86" s="144">
        <v>5</v>
      </c>
      <c r="G86" s="144" t="s">
        <v>56</v>
      </c>
      <c r="H86" s="144" t="s">
        <v>56</v>
      </c>
      <c r="I86" s="199">
        <f t="shared" si="6"/>
        <v>5</v>
      </c>
      <c r="J86" s="144">
        <v>5</v>
      </c>
      <c r="K86" s="144" t="s">
        <v>56</v>
      </c>
      <c r="L86" s="144" t="s">
        <v>56</v>
      </c>
      <c r="M86" s="144">
        <f t="shared" si="7"/>
        <v>5</v>
      </c>
      <c r="N86" s="150">
        <f t="shared" si="8"/>
        <v>5</v>
      </c>
      <c r="O86" s="201" t="str">
        <f t="shared" si="9"/>
        <v>-</v>
      </c>
      <c r="P86" s="202">
        <v>5</v>
      </c>
      <c r="Q86" s="201">
        <v>0</v>
      </c>
      <c r="R86" s="203">
        <f t="shared" si="10"/>
        <v>5</v>
      </c>
      <c r="S86" s="144" t="s">
        <v>57</v>
      </c>
      <c r="T86" s="144" t="s">
        <v>85</v>
      </c>
      <c r="U86" s="144"/>
      <c r="V86" s="144"/>
      <c r="W86" s="94" t="b">
        <f t="shared" si="11"/>
        <v>1</v>
      </c>
    </row>
    <row r="87" spans="2:23" s="65" customFormat="1" ht="12.9" customHeight="1">
      <c r="B87" s="8">
        <f>SUBTOTAL(3,C$4:$C87)</f>
        <v>84</v>
      </c>
      <c r="C87" s="197" t="s">
        <v>77</v>
      </c>
      <c r="D87" s="144">
        <v>2025</v>
      </c>
      <c r="E87" s="144" t="s">
        <v>60</v>
      </c>
      <c r="F87" s="144" t="s">
        <v>56</v>
      </c>
      <c r="G87" s="144" t="s">
        <v>56</v>
      </c>
      <c r="H87" s="144" t="s">
        <v>56</v>
      </c>
      <c r="I87" s="199" t="str">
        <f t="shared" si="6"/>
        <v>-</v>
      </c>
      <c r="J87" s="144">
        <v>1</v>
      </c>
      <c r="K87" s="144" t="s">
        <v>56</v>
      </c>
      <c r="L87" s="144" t="s">
        <v>56</v>
      </c>
      <c r="M87" s="144">
        <f t="shared" si="7"/>
        <v>1</v>
      </c>
      <c r="N87" s="150">
        <f t="shared" si="8"/>
        <v>1</v>
      </c>
      <c r="O87" s="201" t="str">
        <f t="shared" si="9"/>
        <v>-</v>
      </c>
      <c r="P87" s="202">
        <v>1</v>
      </c>
      <c r="Q87" s="201">
        <v>0</v>
      </c>
      <c r="R87" s="203">
        <f t="shared" si="10"/>
        <v>1</v>
      </c>
      <c r="S87" s="144" t="s">
        <v>57</v>
      </c>
      <c r="T87" s="144" t="s">
        <v>85</v>
      </c>
      <c r="U87" s="144"/>
      <c r="V87" s="204">
        <v>45763</v>
      </c>
      <c r="W87" s="94" t="b">
        <f t="shared" si="11"/>
        <v>1</v>
      </c>
    </row>
    <row r="88" spans="2:23" s="65" customFormat="1" ht="12.9" customHeight="1">
      <c r="B88" s="8">
        <f>SUBTOTAL(3,C$4:$C88)</f>
        <v>85</v>
      </c>
      <c r="C88" s="197" t="s">
        <v>54</v>
      </c>
      <c r="D88" s="144">
        <v>2010</v>
      </c>
      <c r="E88" s="144" t="s">
        <v>55</v>
      </c>
      <c r="F88" s="144">
        <v>8</v>
      </c>
      <c r="G88" s="144" t="s">
        <v>56</v>
      </c>
      <c r="H88" s="144" t="s">
        <v>56</v>
      </c>
      <c r="I88" s="199">
        <f t="shared" si="6"/>
        <v>8</v>
      </c>
      <c r="J88" s="144">
        <v>8</v>
      </c>
      <c r="K88" s="144" t="s">
        <v>56</v>
      </c>
      <c r="L88" s="144" t="s">
        <v>56</v>
      </c>
      <c r="M88" s="144">
        <f t="shared" si="7"/>
        <v>8</v>
      </c>
      <c r="N88" s="150">
        <f t="shared" si="8"/>
        <v>8</v>
      </c>
      <c r="O88" s="201" t="str">
        <f t="shared" si="9"/>
        <v>-</v>
      </c>
      <c r="P88" s="202">
        <v>8</v>
      </c>
      <c r="Q88" s="201">
        <v>0</v>
      </c>
      <c r="R88" s="203">
        <f t="shared" si="10"/>
        <v>8</v>
      </c>
      <c r="S88" s="144" t="s">
        <v>57</v>
      </c>
      <c r="T88" s="144" t="s">
        <v>86</v>
      </c>
      <c r="U88" s="144"/>
      <c r="V88" s="144"/>
      <c r="W88" s="94" t="b">
        <f t="shared" si="11"/>
        <v>1</v>
      </c>
    </row>
    <row r="89" spans="2:23" s="65" customFormat="1" ht="12.9" customHeight="1">
      <c r="B89" s="8">
        <f>SUBTOTAL(3,C$4:$C89)</f>
        <v>86</v>
      </c>
      <c r="C89" s="197" t="s">
        <v>59</v>
      </c>
      <c r="D89" s="144">
        <v>2015</v>
      </c>
      <c r="E89" s="144" t="s">
        <v>60</v>
      </c>
      <c r="F89" s="144">
        <v>8</v>
      </c>
      <c r="G89" s="144" t="s">
        <v>56</v>
      </c>
      <c r="H89" s="144" t="s">
        <v>56</v>
      </c>
      <c r="I89" s="199">
        <f t="shared" si="6"/>
        <v>8</v>
      </c>
      <c r="J89" s="144">
        <v>8</v>
      </c>
      <c r="K89" s="144" t="s">
        <v>56</v>
      </c>
      <c r="L89" s="144" t="s">
        <v>56</v>
      </c>
      <c r="M89" s="144">
        <f t="shared" si="7"/>
        <v>8</v>
      </c>
      <c r="N89" s="150">
        <f t="shared" si="8"/>
        <v>8</v>
      </c>
      <c r="O89" s="201" t="str">
        <f t="shared" si="9"/>
        <v>-</v>
      </c>
      <c r="P89" s="202">
        <v>8</v>
      </c>
      <c r="Q89" s="201">
        <v>0</v>
      </c>
      <c r="R89" s="203">
        <f t="shared" si="10"/>
        <v>8</v>
      </c>
      <c r="S89" s="144" t="s">
        <v>57</v>
      </c>
      <c r="T89" s="144" t="s">
        <v>86</v>
      </c>
      <c r="U89" s="144"/>
      <c r="V89" s="144"/>
      <c r="W89" s="94" t="b">
        <f t="shared" si="11"/>
        <v>1</v>
      </c>
    </row>
    <row r="90" spans="2:23" s="65" customFormat="1" ht="12.9" customHeight="1">
      <c r="B90" s="8">
        <f>SUBTOTAL(3,C$4:$C90)</f>
        <v>87</v>
      </c>
      <c r="C90" s="197" t="s">
        <v>61</v>
      </c>
      <c r="D90" s="198" t="s">
        <v>62</v>
      </c>
      <c r="E90" s="144" t="s">
        <v>63</v>
      </c>
      <c r="F90" s="144" t="s">
        <v>56</v>
      </c>
      <c r="G90" s="144" t="s">
        <v>56</v>
      </c>
      <c r="H90" s="144" t="s">
        <v>56</v>
      </c>
      <c r="I90" s="199" t="str">
        <f t="shared" si="6"/>
        <v>-</v>
      </c>
      <c r="J90" s="144">
        <v>8</v>
      </c>
      <c r="K90" s="144" t="s">
        <v>56</v>
      </c>
      <c r="L90" s="144" t="s">
        <v>56</v>
      </c>
      <c r="M90" s="144">
        <f t="shared" si="7"/>
        <v>8</v>
      </c>
      <c r="N90" s="150">
        <f t="shared" si="8"/>
        <v>8</v>
      </c>
      <c r="O90" s="201" t="str">
        <f t="shared" si="9"/>
        <v>-</v>
      </c>
      <c r="P90" s="202">
        <v>8</v>
      </c>
      <c r="Q90" s="201">
        <v>0</v>
      </c>
      <c r="R90" s="203">
        <f t="shared" si="10"/>
        <v>8</v>
      </c>
      <c r="S90" s="144" t="s">
        <v>57</v>
      </c>
      <c r="T90" s="144" t="s">
        <v>86</v>
      </c>
      <c r="U90" s="144"/>
      <c r="V90" s="144"/>
      <c r="W90" s="94" t="b">
        <f t="shared" si="11"/>
        <v>1</v>
      </c>
    </row>
    <row r="91" spans="2:23" s="65" customFormat="1" ht="12.9" customHeight="1">
      <c r="B91" s="8">
        <f>SUBTOTAL(3,C$4:$C91)</f>
        <v>88</v>
      </c>
      <c r="C91" s="197" t="s">
        <v>64</v>
      </c>
      <c r="D91" s="198" t="s">
        <v>62</v>
      </c>
      <c r="E91" s="144" t="s">
        <v>63</v>
      </c>
      <c r="F91" s="144" t="s">
        <v>56</v>
      </c>
      <c r="G91" s="144" t="s">
        <v>56</v>
      </c>
      <c r="H91" s="144" t="s">
        <v>56</v>
      </c>
      <c r="I91" s="199" t="str">
        <f t="shared" si="6"/>
        <v>-</v>
      </c>
      <c r="J91" s="144">
        <v>8</v>
      </c>
      <c r="K91" s="144" t="s">
        <v>56</v>
      </c>
      <c r="L91" s="144" t="s">
        <v>56</v>
      </c>
      <c r="M91" s="144">
        <f t="shared" si="7"/>
        <v>8</v>
      </c>
      <c r="N91" s="150">
        <f t="shared" si="8"/>
        <v>8</v>
      </c>
      <c r="O91" s="201" t="str">
        <f t="shared" si="9"/>
        <v>-</v>
      </c>
      <c r="P91" s="202">
        <v>8</v>
      </c>
      <c r="Q91" s="201">
        <v>0</v>
      </c>
      <c r="R91" s="203">
        <f t="shared" si="10"/>
        <v>8</v>
      </c>
      <c r="S91" s="144" t="s">
        <v>57</v>
      </c>
      <c r="T91" s="144" t="s">
        <v>86</v>
      </c>
      <c r="U91" s="144"/>
      <c r="V91" s="144"/>
      <c r="W91" s="94" t="b">
        <f t="shared" si="11"/>
        <v>1</v>
      </c>
    </row>
    <row r="92" spans="2:23" s="65" customFormat="1" ht="12.9" customHeight="1">
      <c r="B92" s="8">
        <f>SUBTOTAL(3,C$4:$C92)</f>
        <v>89</v>
      </c>
      <c r="C92" s="197" t="s">
        <v>65</v>
      </c>
      <c r="D92" s="144" t="s">
        <v>66</v>
      </c>
      <c r="E92" s="144" t="s">
        <v>67</v>
      </c>
      <c r="F92" s="144">
        <v>8</v>
      </c>
      <c r="G92" s="144" t="s">
        <v>56</v>
      </c>
      <c r="H92" s="144" t="s">
        <v>56</v>
      </c>
      <c r="I92" s="199">
        <f t="shared" si="6"/>
        <v>8</v>
      </c>
      <c r="J92" s="144">
        <v>8</v>
      </c>
      <c r="K92" s="144" t="s">
        <v>56</v>
      </c>
      <c r="L92" s="144" t="s">
        <v>56</v>
      </c>
      <c r="M92" s="144">
        <f t="shared" si="7"/>
        <v>8</v>
      </c>
      <c r="N92" s="150">
        <f t="shared" si="8"/>
        <v>8</v>
      </c>
      <c r="O92" s="201" t="str">
        <f t="shared" si="9"/>
        <v>-</v>
      </c>
      <c r="P92" s="202">
        <v>8</v>
      </c>
      <c r="Q92" s="201">
        <v>0</v>
      </c>
      <c r="R92" s="203">
        <f t="shared" si="10"/>
        <v>8</v>
      </c>
      <c r="S92" s="144" t="s">
        <v>57</v>
      </c>
      <c r="T92" s="144" t="s">
        <v>86</v>
      </c>
      <c r="U92" s="144"/>
      <c r="V92" s="144"/>
      <c r="W92" s="94" t="b">
        <f t="shared" si="11"/>
        <v>1</v>
      </c>
    </row>
    <row r="93" spans="2:23" s="65" customFormat="1" ht="12.9" customHeight="1">
      <c r="B93" s="8">
        <f>SUBTOTAL(3,C$4:$C93)</f>
        <v>90</v>
      </c>
      <c r="C93" s="197" t="s">
        <v>68</v>
      </c>
      <c r="D93" s="144" t="s">
        <v>84</v>
      </c>
      <c r="E93" s="144" t="s">
        <v>55</v>
      </c>
      <c r="F93" s="144">
        <v>4</v>
      </c>
      <c r="G93" s="144" t="s">
        <v>56</v>
      </c>
      <c r="H93" s="144" t="s">
        <v>56</v>
      </c>
      <c r="I93" s="199">
        <f t="shared" si="6"/>
        <v>4</v>
      </c>
      <c r="J93" s="144">
        <v>4</v>
      </c>
      <c r="K93" s="144" t="s">
        <v>56</v>
      </c>
      <c r="L93" s="144" t="s">
        <v>56</v>
      </c>
      <c r="M93" s="144">
        <f t="shared" si="7"/>
        <v>4</v>
      </c>
      <c r="N93" s="150">
        <f t="shared" si="8"/>
        <v>4</v>
      </c>
      <c r="O93" s="201" t="str">
        <f t="shared" si="9"/>
        <v>-</v>
      </c>
      <c r="P93" s="202">
        <v>4</v>
      </c>
      <c r="Q93" s="201">
        <v>0</v>
      </c>
      <c r="R93" s="203">
        <f t="shared" si="10"/>
        <v>4</v>
      </c>
      <c r="S93" s="144" t="s">
        <v>57</v>
      </c>
      <c r="T93" s="144" t="s">
        <v>86</v>
      </c>
      <c r="U93" s="144"/>
      <c r="V93" s="144"/>
      <c r="W93" s="94" t="b">
        <f t="shared" si="11"/>
        <v>1</v>
      </c>
    </row>
    <row r="94" spans="2:23" s="65" customFormat="1" ht="12.9" customHeight="1">
      <c r="B94" s="8">
        <f>SUBTOTAL(3,C$4:$C94)</f>
        <v>91</v>
      </c>
      <c r="C94" s="197" t="s">
        <v>69</v>
      </c>
      <c r="D94" s="144">
        <v>2015</v>
      </c>
      <c r="E94" s="144" t="s">
        <v>55</v>
      </c>
      <c r="F94" s="144">
        <v>3</v>
      </c>
      <c r="G94" s="144" t="s">
        <v>56</v>
      </c>
      <c r="H94" s="144" t="s">
        <v>56</v>
      </c>
      <c r="I94" s="199">
        <f t="shared" si="6"/>
        <v>3</v>
      </c>
      <c r="J94" s="144">
        <v>2</v>
      </c>
      <c r="K94" s="144" t="s">
        <v>56</v>
      </c>
      <c r="L94" s="144" t="s">
        <v>56</v>
      </c>
      <c r="M94" s="144">
        <f t="shared" si="7"/>
        <v>2</v>
      </c>
      <c r="N94" s="150">
        <f t="shared" si="8"/>
        <v>2</v>
      </c>
      <c r="O94" s="201" t="str">
        <f t="shared" si="9"/>
        <v>-</v>
      </c>
      <c r="P94" s="202">
        <v>4</v>
      </c>
      <c r="Q94" s="201">
        <v>0</v>
      </c>
      <c r="R94" s="203">
        <f t="shared" si="10"/>
        <v>4</v>
      </c>
      <c r="S94" s="144" t="s">
        <v>57</v>
      </c>
      <c r="T94" s="144" t="s">
        <v>86</v>
      </c>
      <c r="U94" s="144"/>
      <c r="V94" s="144"/>
      <c r="W94" s="205" t="b">
        <f t="shared" si="11"/>
        <v>0</v>
      </c>
    </row>
    <row r="95" spans="2:23" s="65" customFormat="1" ht="12.9" customHeight="1">
      <c r="B95" s="8">
        <f>SUBTOTAL(3,C$4:$C95)</f>
        <v>92</v>
      </c>
      <c r="C95" s="197" t="s">
        <v>70</v>
      </c>
      <c r="D95" s="144">
        <v>2010</v>
      </c>
      <c r="E95" s="144" t="s">
        <v>71</v>
      </c>
      <c r="F95" s="144">
        <v>4</v>
      </c>
      <c r="G95" s="144" t="s">
        <v>56</v>
      </c>
      <c r="H95" s="144" t="s">
        <v>56</v>
      </c>
      <c r="I95" s="199">
        <f t="shared" si="6"/>
        <v>4</v>
      </c>
      <c r="J95" s="144">
        <v>4</v>
      </c>
      <c r="K95" s="144" t="s">
        <v>56</v>
      </c>
      <c r="L95" s="144" t="s">
        <v>56</v>
      </c>
      <c r="M95" s="144">
        <f t="shared" si="7"/>
        <v>4</v>
      </c>
      <c r="N95" s="150">
        <f t="shared" si="8"/>
        <v>4</v>
      </c>
      <c r="O95" s="201" t="str">
        <f t="shared" si="9"/>
        <v>-</v>
      </c>
      <c r="P95" s="202">
        <v>4</v>
      </c>
      <c r="Q95" s="201">
        <v>0</v>
      </c>
      <c r="R95" s="203">
        <f t="shared" si="10"/>
        <v>4</v>
      </c>
      <c r="S95" s="144" t="s">
        <v>57</v>
      </c>
      <c r="T95" s="144" t="s">
        <v>86</v>
      </c>
      <c r="U95" s="144"/>
      <c r="V95" s="144"/>
      <c r="W95" s="94" t="b">
        <f t="shared" si="11"/>
        <v>1</v>
      </c>
    </row>
    <row r="96" spans="2:23" s="65" customFormat="1" ht="12.9" customHeight="1">
      <c r="B96" s="8">
        <f>SUBTOTAL(3,C$4:$C96)</f>
        <v>93</v>
      </c>
      <c r="C96" s="197" t="s">
        <v>72</v>
      </c>
      <c r="D96" s="144">
        <v>2010</v>
      </c>
      <c r="E96" s="144" t="s">
        <v>67</v>
      </c>
      <c r="F96" s="144">
        <v>2</v>
      </c>
      <c r="G96" s="144" t="s">
        <v>56</v>
      </c>
      <c r="H96" s="144" t="s">
        <v>56</v>
      </c>
      <c r="I96" s="199">
        <f t="shared" si="6"/>
        <v>2</v>
      </c>
      <c r="J96" s="144">
        <v>2</v>
      </c>
      <c r="K96" s="144" t="s">
        <v>56</v>
      </c>
      <c r="L96" s="144" t="s">
        <v>56</v>
      </c>
      <c r="M96" s="144">
        <f t="shared" si="7"/>
        <v>2</v>
      </c>
      <c r="N96" s="150">
        <f t="shared" si="8"/>
        <v>2</v>
      </c>
      <c r="O96" s="201" t="str">
        <f t="shared" si="9"/>
        <v>-</v>
      </c>
      <c r="P96" s="202">
        <v>2</v>
      </c>
      <c r="Q96" s="201">
        <v>0</v>
      </c>
      <c r="R96" s="203">
        <f t="shared" si="10"/>
        <v>2</v>
      </c>
      <c r="S96" s="144" t="s">
        <v>57</v>
      </c>
      <c r="T96" s="144" t="s">
        <v>86</v>
      </c>
      <c r="U96" s="144"/>
      <c r="V96" s="144"/>
      <c r="W96" s="94" t="b">
        <f t="shared" si="11"/>
        <v>1</v>
      </c>
    </row>
    <row r="97" spans="2:23" s="65" customFormat="1" ht="12.9" customHeight="1">
      <c r="B97" s="8">
        <f>SUBTOTAL(3,C$4:$C97)</f>
        <v>94</v>
      </c>
      <c r="C97" s="197" t="s">
        <v>73</v>
      </c>
      <c r="D97" s="144">
        <v>2010</v>
      </c>
      <c r="E97" s="144" t="s">
        <v>63</v>
      </c>
      <c r="F97" s="144" t="s">
        <v>56</v>
      </c>
      <c r="G97" s="144" t="s">
        <v>56</v>
      </c>
      <c r="H97" s="144" t="s">
        <v>56</v>
      </c>
      <c r="I97" s="199" t="str">
        <f t="shared" si="6"/>
        <v>-</v>
      </c>
      <c r="J97" s="144">
        <v>2</v>
      </c>
      <c r="K97" s="144" t="s">
        <v>56</v>
      </c>
      <c r="L97" s="144" t="s">
        <v>56</v>
      </c>
      <c r="M97" s="144">
        <f t="shared" si="7"/>
        <v>2</v>
      </c>
      <c r="N97" s="150">
        <f t="shared" si="8"/>
        <v>2</v>
      </c>
      <c r="O97" s="201" t="str">
        <f t="shared" si="9"/>
        <v>-</v>
      </c>
      <c r="P97" s="202">
        <v>2</v>
      </c>
      <c r="Q97" s="201">
        <v>0</v>
      </c>
      <c r="R97" s="203">
        <f t="shared" si="10"/>
        <v>2</v>
      </c>
      <c r="S97" s="144" t="s">
        <v>57</v>
      </c>
      <c r="T97" s="144" t="s">
        <v>86</v>
      </c>
      <c r="U97" s="144"/>
      <c r="V97" s="144"/>
      <c r="W97" s="94" t="b">
        <f t="shared" si="11"/>
        <v>1</v>
      </c>
    </row>
    <row r="98" spans="2:23" s="65" customFormat="1" ht="12.9" customHeight="1">
      <c r="B98" s="8">
        <f>SUBTOTAL(3,C$4:$C98)</f>
        <v>95</v>
      </c>
      <c r="C98" s="197" t="s">
        <v>74</v>
      </c>
      <c r="D98" s="144">
        <v>2018</v>
      </c>
      <c r="E98" s="144" t="s">
        <v>60</v>
      </c>
      <c r="F98" s="144">
        <v>4</v>
      </c>
      <c r="G98" s="144" t="s">
        <v>56</v>
      </c>
      <c r="H98" s="144" t="s">
        <v>56</v>
      </c>
      <c r="I98" s="199">
        <f t="shared" si="6"/>
        <v>4</v>
      </c>
      <c r="J98" s="144">
        <v>4</v>
      </c>
      <c r="K98" s="144" t="s">
        <v>56</v>
      </c>
      <c r="L98" s="144" t="s">
        <v>56</v>
      </c>
      <c r="M98" s="144">
        <f t="shared" si="7"/>
        <v>4</v>
      </c>
      <c r="N98" s="150">
        <f t="shared" si="8"/>
        <v>4</v>
      </c>
      <c r="O98" s="201" t="str">
        <f t="shared" si="9"/>
        <v>-</v>
      </c>
      <c r="P98" s="202">
        <v>4</v>
      </c>
      <c r="Q98" s="201">
        <v>0</v>
      </c>
      <c r="R98" s="203">
        <f t="shared" si="10"/>
        <v>4</v>
      </c>
      <c r="S98" s="144" t="s">
        <v>57</v>
      </c>
      <c r="T98" s="144" t="s">
        <v>86</v>
      </c>
      <c r="U98" s="144"/>
      <c r="V98" s="144"/>
      <c r="W98" s="94" t="b">
        <f t="shared" si="11"/>
        <v>1</v>
      </c>
    </row>
    <row r="99" spans="2:23" s="65" customFormat="1" ht="12.9" customHeight="1">
      <c r="B99" s="8">
        <f>SUBTOTAL(3,C$4:$C99)</f>
        <v>96</v>
      </c>
      <c r="C99" s="197" t="s">
        <v>75</v>
      </c>
      <c r="D99" s="144">
        <v>2010</v>
      </c>
      <c r="E99" s="144" t="s">
        <v>60</v>
      </c>
      <c r="F99" s="144">
        <v>4</v>
      </c>
      <c r="G99" s="144" t="s">
        <v>56</v>
      </c>
      <c r="H99" s="144" t="s">
        <v>56</v>
      </c>
      <c r="I99" s="199">
        <f t="shared" si="6"/>
        <v>4</v>
      </c>
      <c r="J99" s="144">
        <v>4</v>
      </c>
      <c r="K99" s="144" t="s">
        <v>56</v>
      </c>
      <c r="L99" s="144" t="s">
        <v>56</v>
      </c>
      <c r="M99" s="144">
        <f t="shared" si="7"/>
        <v>4</v>
      </c>
      <c r="N99" s="150">
        <f t="shared" si="8"/>
        <v>4</v>
      </c>
      <c r="O99" s="201" t="str">
        <f t="shared" si="9"/>
        <v>-</v>
      </c>
      <c r="P99" s="202">
        <v>4</v>
      </c>
      <c r="Q99" s="201">
        <v>0</v>
      </c>
      <c r="R99" s="203">
        <f t="shared" si="10"/>
        <v>4</v>
      </c>
      <c r="S99" s="144" t="s">
        <v>57</v>
      </c>
      <c r="T99" s="144" t="s">
        <v>86</v>
      </c>
      <c r="U99" s="144"/>
      <c r="V99" s="144"/>
      <c r="W99" s="94" t="b">
        <f t="shared" si="11"/>
        <v>1</v>
      </c>
    </row>
    <row r="100" spans="2:23" s="65" customFormat="1" ht="12.9" customHeight="1">
      <c r="B100" s="8">
        <f>SUBTOTAL(3,C$4:$C100)</f>
        <v>97</v>
      </c>
      <c r="C100" s="197" t="s">
        <v>76</v>
      </c>
      <c r="D100" s="144">
        <v>2010</v>
      </c>
      <c r="E100" s="144" t="s">
        <v>60</v>
      </c>
      <c r="F100" s="144">
        <v>5</v>
      </c>
      <c r="G100" s="144" t="s">
        <v>56</v>
      </c>
      <c r="H100" s="144">
        <v>1</v>
      </c>
      <c r="I100" s="199">
        <f t="shared" si="6"/>
        <v>5</v>
      </c>
      <c r="J100" s="144">
        <v>5</v>
      </c>
      <c r="K100" s="144" t="s">
        <v>56</v>
      </c>
      <c r="L100" s="144" t="s">
        <v>56</v>
      </c>
      <c r="M100" s="144">
        <f t="shared" si="7"/>
        <v>5</v>
      </c>
      <c r="N100" s="150">
        <f t="shared" si="8"/>
        <v>5</v>
      </c>
      <c r="O100" s="201" t="str">
        <f t="shared" si="9"/>
        <v>-</v>
      </c>
      <c r="P100" s="202">
        <v>5</v>
      </c>
      <c r="Q100" s="201">
        <v>0</v>
      </c>
      <c r="R100" s="203">
        <f t="shared" si="10"/>
        <v>5</v>
      </c>
      <c r="S100" s="144" t="s">
        <v>57</v>
      </c>
      <c r="T100" s="144" t="s">
        <v>86</v>
      </c>
      <c r="U100" s="144"/>
      <c r="V100" s="144"/>
      <c r="W100" s="94" t="b">
        <f t="shared" si="11"/>
        <v>1</v>
      </c>
    </row>
    <row r="101" spans="2:23" s="65" customFormat="1" ht="12.9" customHeight="1">
      <c r="B101" s="8">
        <f>SUBTOTAL(3,C$4:$C101)</f>
        <v>98</v>
      </c>
      <c r="C101" s="197" t="s">
        <v>77</v>
      </c>
      <c r="D101" s="144">
        <v>2025</v>
      </c>
      <c r="E101" s="144" t="s">
        <v>60</v>
      </c>
      <c r="F101" s="144" t="s">
        <v>56</v>
      </c>
      <c r="G101" s="144" t="s">
        <v>56</v>
      </c>
      <c r="H101" s="144" t="s">
        <v>56</v>
      </c>
      <c r="I101" s="199" t="str">
        <f t="shared" si="6"/>
        <v>-</v>
      </c>
      <c r="J101" s="144">
        <v>1</v>
      </c>
      <c r="K101" s="144" t="s">
        <v>56</v>
      </c>
      <c r="L101" s="144" t="s">
        <v>56</v>
      </c>
      <c r="M101" s="144">
        <f t="shared" si="7"/>
        <v>1</v>
      </c>
      <c r="N101" s="150">
        <f t="shared" si="8"/>
        <v>1</v>
      </c>
      <c r="O101" s="201" t="str">
        <f t="shared" si="9"/>
        <v>-</v>
      </c>
      <c r="P101" s="202">
        <v>1</v>
      </c>
      <c r="Q101" s="201">
        <v>0</v>
      </c>
      <c r="R101" s="203">
        <f t="shared" si="10"/>
        <v>1</v>
      </c>
      <c r="S101" s="144" t="s">
        <v>57</v>
      </c>
      <c r="T101" s="144" t="s">
        <v>86</v>
      </c>
      <c r="U101" s="144"/>
      <c r="V101" s="204">
        <v>45763</v>
      </c>
      <c r="W101" s="94" t="b">
        <f t="shared" si="11"/>
        <v>1</v>
      </c>
    </row>
    <row r="102" spans="2:23" s="65" customFormat="1" ht="12.9" customHeight="1">
      <c r="B102" s="8">
        <f>SUBTOTAL(3,C$4:$C102)</f>
        <v>99</v>
      </c>
      <c r="C102" s="197" t="s">
        <v>54</v>
      </c>
      <c r="D102" s="144">
        <v>2010</v>
      </c>
      <c r="E102" s="144" t="s">
        <v>55</v>
      </c>
      <c r="F102" s="144">
        <v>8</v>
      </c>
      <c r="G102" s="144" t="s">
        <v>56</v>
      </c>
      <c r="H102" s="144" t="s">
        <v>56</v>
      </c>
      <c r="I102" s="199">
        <f t="shared" si="6"/>
        <v>8</v>
      </c>
      <c r="J102" s="144">
        <v>7</v>
      </c>
      <c r="K102" s="144" t="s">
        <v>56</v>
      </c>
      <c r="L102" s="144">
        <v>1</v>
      </c>
      <c r="M102" s="144">
        <f t="shared" si="7"/>
        <v>8</v>
      </c>
      <c r="N102" s="150">
        <f t="shared" si="8"/>
        <v>7</v>
      </c>
      <c r="O102" s="201">
        <f t="shared" si="9"/>
        <v>1</v>
      </c>
      <c r="P102" s="202">
        <v>7</v>
      </c>
      <c r="Q102" s="202">
        <v>1</v>
      </c>
      <c r="R102" s="203">
        <f t="shared" si="10"/>
        <v>8</v>
      </c>
      <c r="S102" s="144" t="s">
        <v>57</v>
      </c>
      <c r="T102" s="144" t="s">
        <v>87</v>
      </c>
      <c r="U102" s="144" t="s">
        <v>88</v>
      </c>
      <c r="V102" s="144"/>
      <c r="W102" s="94" t="b">
        <f t="shared" si="11"/>
        <v>1</v>
      </c>
    </row>
    <row r="103" spans="2:23" s="65" customFormat="1" ht="12.9" customHeight="1">
      <c r="B103" s="8">
        <f>SUBTOTAL(3,C$4:$C103)</f>
        <v>100</v>
      </c>
      <c r="C103" s="197" t="s">
        <v>59</v>
      </c>
      <c r="D103" s="144">
        <v>2015</v>
      </c>
      <c r="E103" s="144" t="s">
        <v>60</v>
      </c>
      <c r="F103" s="144">
        <v>8</v>
      </c>
      <c r="G103" s="144" t="s">
        <v>56</v>
      </c>
      <c r="H103" s="144" t="s">
        <v>56</v>
      </c>
      <c r="I103" s="199">
        <f t="shared" si="6"/>
        <v>8</v>
      </c>
      <c r="J103" s="144">
        <v>8</v>
      </c>
      <c r="K103" s="144" t="s">
        <v>56</v>
      </c>
      <c r="L103" s="144" t="s">
        <v>56</v>
      </c>
      <c r="M103" s="144">
        <f t="shared" si="7"/>
        <v>8</v>
      </c>
      <c r="N103" s="150">
        <f t="shared" si="8"/>
        <v>8</v>
      </c>
      <c r="O103" s="201" t="str">
        <f t="shared" si="9"/>
        <v>-</v>
      </c>
      <c r="P103" s="202">
        <v>8</v>
      </c>
      <c r="Q103" s="201">
        <v>0</v>
      </c>
      <c r="R103" s="203">
        <f t="shared" si="10"/>
        <v>8</v>
      </c>
      <c r="S103" s="144" t="s">
        <v>57</v>
      </c>
      <c r="T103" s="144" t="s">
        <v>87</v>
      </c>
      <c r="U103" s="144"/>
      <c r="V103" s="144"/>
      <c r="W103" s="94" t="b">
        <f t="shared" si="11"/>
        <v>1</v>
      </c>
    </row>
    <row r="104" spans="2:23" s="65" customFormat="1" ht="12.9" customHeight="1">
      <c r="B104" s="8">
        <f>SUBTOTAL(3,C$4:$C104)</f>
        <v>101</v>
      </c>
      <c r="C104" s="197" t="s">
        <v>61</v>
      </c>
      <c r="D104" s="198" t="s">
        <v>62</v>
      </c>
      <c r="E104" s="144" t="s">
        <v>63</v>
      </c>
      <c r="F104" s="144" t="s">
        <v>56</v>
      </c>
      <c r="G104" s="144" t="s">
        <v>56</v>
      </c>
      <c r="H104" s="144" t="s">
        <v>56</v>
      </c>
      <c r="I104" s="199" t="str">
        <f t="shared" si="6"/>
        <v>-</v>
      </c>
      <c r="J104" s="144">
        <v>8</v>
      </c>
      <c r="K104" s="144" t="s">
        <v>56</v>
      </c>
      <c r="L104" s="144" t="s">
        <v>56</v>
      </c>
      <c r="M104" s="144">
        <f t="shared" si="7"/>
        <v>8</v>
      </c>
      <c r="N104" s="150">
        <f t="shared" si="8"/>
        <v>8</v>
      </c>
      <c r="O104" s="201" t="str">
        <f t="shared" si="9"/>
        <v>-</v>
      </c>
      <c r="P104" s="202">
        <v>8</v>
      </c>
      <c r="Q104" s="201">
        <v>0</v>
      </c>
      <c r="R104" s="203">
        <f t="shared" si="10"/>
        <v>8</v>
      </c>
      <c r="S104" s="144" t="s">
        <v>57</v>
      </c>
      <c r="T104" s="144" t="s">
        <v>87</v>
      </c>
      <c r="U104" s="144"/>
      <c r="V104" s="144"/>
      <c r="W104" s="94" t="b">
        <f t="shared" si="11"/>
        <v>1</v>
      </c>
    </row>
    <row r="105" spans="2:23" s="65" customFormat="1" ht="12.9" customHeight="1">
      <c r="B105" s="8">
        <f>SUBTOTAL(3,C$4:$C105)</f>
        <v>102</v>
      </c>
      <c r="C105" s="197" t="s">
        <v>64</v>
      </c>
      <c r="D105" s="198" t="s">
        <v>62</v>
      </c>
      <c r="E105" s="144" t="s">
        <v>63</v>
      </c>
      <c r="F105" s="144" t="s">
        <v>56</v>
      </c>
      <c r="G105" s="144" t="s">
        <v>56</v>
      </c>
      <c r="H105" s="144" t="s">
        <v>56</v>
      </c>
      <c r="I105" s="199" t="str">
        <f t="shared" si="6"/>
        <v>-</v>
      </c>
      <c r="J105" s="144">
        <v>8</v>
      </c>
      <c r="K105" s="144" t="s">
        <v>56</v>
      </c>
      <c r="L105" s="144" t="s">
        <v>56</v>
      </c>
      <c r="M105" s="144">
        <f t="shared" si="7"/>
        <v>8</v>
      </c>
      <c r="N105" s="150">
        <f t="shared" si="8"/>
        <v>8</v>
      </c>
      <c r="O105" s="201" t="str">
        <f t="shared" si="9"/>
        <v>-</v>
      </c>
      <c r="P105" s="202">
        <v>8</v>
      </c>
      <c r="Q105" s="201">
        <v>0</v>
      </c>
      <c r="R105" s="203">
        <f t="shared" si="10"/>
        <v>8</v>
      </c>
      <c r="S105" s="144" t="s">
        <v>57</v>
      </c>
      <c r="T105" s="144" t="s">
        <v>87</v>
      </c>
      <c r="U105" s="144"/>
      <c r="V105" s="144"/>
      <c r="W105" s="94" t="b">
        <f t="shared" si="11"/>
        <v>1</v>
      </c>
    </row>
    <row r="106" spans="2:23" s="65" customFormat="1" ht="12.9" customHeight="1">
      <c r="B106" s="8">
        <f>SUBTOTAL(3,C$4:$C106)</f>
        <v>103</v>
      </c>
      <c r="C106" s="197" t="s">
        <v>65</v>
      </c>
      <c r="D106" s="144" t="s">
        <v>66</v>
      </c>
      <c r="E106" s="144" t="s">
        <v>67</v>
      </c>
      <c r="F106" s="144">
        <v>8</v>
      </c>
      <c r="G106" s="144" t="s">
        <v>56</v>
      </c>
      <c r="H106" s="144" t="s">
        <v>56</v>
      </c>
      <c r="I106" s="199">
        <f t="shared" si="6"/>
        <v>8</v>
      </c>
      <c r="J106" s="144">
        <v>8</v>
      </c>
      <c r="K106" s="144" t="s">
        <v>56</v>
      </c>
      <c r="L106" s="144" t="s">
        <v>56</v>
      </c>
      <c r="M106" s="144">
        <f t="shared" si="7"/>
        <v>8</v>
      </c>
      <c r="N106" s="150">
        <f t="shared" si="8"/>
        <v>8</v>
      </c>
      <c r="O106" s="201" t="str">
        <f t="shared" si="9"/>
        <v>-</v>
      </c>
      <c r="P106" s="202">
        <v>8</v>
      </c>
      <c r="Q106" s="201">
        <v>0</v>
      </c>
      <c r="R106" s="203">
        <f t="shared" si="10"/>
        <v>8</v>
      </c>
      <c r="S106" s="144" t="s">
        <v>57</v>
      </c>
      <c r="T106" s="144" t="s">
        <v>87</v>
      </c>
      <c r="U106" s="144"/>
      <c r="V106" s="144"/>
      <c r="W106" s="94" t="b">
        <f t="shared" si="11"/>
        <v>1</v>
      </c>
    </row>
    <row r="107" spans="2:23" s="65" customFormat="1" ht="12.9" customHeight="1">
      <c r="B107" s="8">
        <f>SUBTOTAL(3,C$4:$C107)</f>
        <v>104</v>
      </c>
      <c r="C107" s="197" t="s">
        <v>68</v>
      </c>
      <c r="D107" s="144">
        <v>2010</v>
      </c>
      <c r="E107" s="144" t="s">
        <v>55</v>
      </c>
      <c r="F107" s="144">
        <v>4</v>
      </c>
      <c r="G107" s="144" t="s">
        <v>56</v>
      </c>
      <c r="H107" s="144" t="s">
        <v>56</v>
      </c>
      <c r="I107" s="199">
        <f t="shared" si="6"/>
        <v>4</v>
      </c>
      <c r="J107" s="144">
        <v>4</v>
      </c>
      <c r="K107" s="144" t="s">
        <v>56</v>
      </c>
      <c r="L107" s="144" t="s">
        <v>56</v>
      </c>
      <c r="M107" s="144">
        <f t="shared" si="7"/>
        <v>4</v>
      </c>
      <c r="N107" s="150">
        <f t="shared" si="8"/>
        <v>4</v>
      </c>
      <c r="O107" s="201" t="str">
        <f t="shared" si="9"/>
        <v>-</v>
      </c>
      <c r="P107" s="202">
        <v>4</v>
      </c>
      <c r="Q107" s="201">
        <v>0</v>
      </c>
      <c r="R107" s="203">
        <f t="shared" si="10"/>
        <v>4</v>
      </c>
      <c r="S107" s="144" t="s">
        <v>57</v>
      </c>
      <c r="T107" s="144" t="s">
        <v>87</v>
      </c>
      <c r="U107" s="144"/>
      <c r="V107" s="144"/>
      <c r="W107" s="94" t="b">
        <f t="shared" si="11"/>
        <v>1</v>
      </c>
    </row>
    <row r="108" spans="2:23" s="65" customFormat="1" ht="12.9" customHeight="1">
      <c r="B108" s="8">
        <f>SUBTOTAL(3,C$4:$C108)</f>
        <v>105</v>
      </c>
      <c r="C108" s="197" t="s">
        <v>79</v>
      </c>
      <c r="D108" s="144">
        <v>2015</v>
      </c>
      <c r="E108" s="144" t="s">
        <v>55</v>
      </c>
      <c r="F108" s="144">
        <v>4</v>
      </c>
      <c r="G108" s="144" t="s">
        <v>56</v>
      </c>
      <c r="H108" s="144" t="s">
        <v>56</v>
      </c>
      <c r="I108" s="199">
        <f t="shared" si="6"/>
        <v>4</v>
      </c>
      <c r="J108" s="144">
        <v>4</v>
      </c>
      <c r="K108" s="144" t="s">
        <v>56</v>
      </c>
      <c r="L108" s="144" t="s">
        <v>56</v>
      </c>
      <c r="M108" s="144">
        <f t="shared" si="7"/>
        <v>4</v>
      </c>
      <c r="N108" s="150">
        <f t="shared" si="8"/>
        <v>4</v>
      </c>
      <c r="O108" s="201" t="str">
        <f t="shared" si="9"/>
        <v>-</v>
      </c>
      <c r="P108" s="202">
        <v>4</v>
      </c>
      <c r="Q108" s="201">
        <v>0</v>
      </c>
      <c r="R108" s="203">
        <f t="shared" si="10"/>
        <v>4</v>
      </c>
      <c r="S108" s="144" t="s">
        <v>57</v>
      </c>
      <c r="T108" s="144" t="s">
        <v>87</v>
      </c>
      <c r="U108" s="144"/>
      <c r="V108" s="144"/>
      <c r="W108" s="94" t="b">
        <f t="shared" si="11"/>
        <v>1</v>
      </c>
    </row>
    <row r="109" spans="2:23" s="65" customFormat="1" ht="12.9" customHeight="1">
      <c r="B109" s="8">
        <f>SUBTOTAL(3,C$4:$C109)</f>
        <v>106</v>
      </c>
      <c r="C109" s="197" t="s">
        <v>70</v>
      </c>
      <c r="D109" s="144">
        <v>2010</v>
      </c>
      <c r="E109" s="144" t="s">
        <v>71</v>
      </c>
      <c r="F109" s="144">
        <v>4</v>
      </c>
      <c r="G109" s="144" t="s">
        <v>56</v>
      </c>
      <c r="H109" s="144" t="s">
        <v>56</v>
      </c>
      <c r="I109" s="199">
        <f t="shared" si="6"/>
        <v>4</v>
      </c>
      <c r="J109" s="144">
        <v>4</v>
      </c>
      <c r="K109" s="144" t="s">
        <v>56</v>
      </c>
      <c r="L109" s="144" t="s">
        <v>56</v>
      </c>
      <c r="M109" s="144">
        <f t="shared" si="7"/>
        <v>4</v>
      </c>
      <c r="N109" s="150">
        <f t="shared" si="8"/>
        <v>4</v>
      </c>
      <c r="O109" s="201" t="str">
        <f t="shared" si="9"/>
        <v>-</v>
      </c>
      <c r="P109" s="202">
        <v>4</v>
      </c>
      <c r="Q109" s="201">
        <v>0</v>
      </c>
      <c r="R109" s="203">
        <f t="shared" si="10"/>
        <v>4</v>
      </c>
      <c r="S109" s="144" t="s">
        <v>57</v>
      </c>
      <c r="T109" s="144" t="s">
        <v>87</v>
      </c>
      <c r="U109" s="144"/>
      <c r="V109" s="144"/>
      <c r="W109" s="94" t="b">
        <f t="shared" si="11"/>
        <v>1</v>
      </c>
    </row>
    <row r="110" spans="2:23" s="65" customFormat="1" ht="12.9" customHeight="1">
      <c r="B110" s="8">
        <f>SUBTOTAL(3,C$4:$C110)</f>
        <v>107</v>
      </c>
      <c r="C110" s="197" t="s">
        <v>72</v>
      </c>
      <c r="D110" s="144">
        <v>2010</v>
      </c>
      <c r="E110" s="144" t="s">
        <v>67</v>
      </c>
      <c r="F110" s="144">
        <v>2</v>
      </c>
      <c r="G110" s="144" t="s">
        <v>56</v>
      </c>
      <c r="H110" s="144" t="s">
        <v>56</v>
      </c>
      <c r="I110" s="199">
        <f t="shared" si="6"/>
        <v>2</v>
      </c>
      <c r="J110" s="144">
        <v>2</v>
      </c>
      <c r="K110" s="144" t="s">
        <v>56</v>
      </c>
      <c r="L110" s="144" t="s">
        <v>56</v>
      </c>
      <c r="M110" s="144">
        <f t="shared" si="7"/>
        <v>2</v>
      </c>
      <c r="N110" s="150">
        <f t="shared" si="8"/>
        <v>2</v>
      </c>
      <c r="O110" s="201" t="str">
        <f t="shared" si="9"/>
        <v>-</v>
      </c>
      <c r="P110" s="202">
        <v>2</v>
      </c>
      <c r="Q110" s="201">
        <v>0</v>
      </c>
      <c r="R110" s="203">
        <f t="shared" si="10"/>
        <v>2</v>
      </c>
      <c r="S110" s="144" t="s">
        <v>57</v>
      </c>
      <c r="T110" s="144" t="s">
        <v>87</v>
      </c>
      <c r="U110" s="144"/>
      <c r="V110" s="144"/>
      <c r="W110" s="94" t="b">
        <f t="shared" si="11"/>
        <v>1</v>
      </c>
    </row>
    <row r="111" spans="2:23" s="65" customFormat="1" ht="12.9" customHeight="1">
      <c r="B111" s="8">
        <f>SUBTOTAL(3,C$4:$C111)</f>
        <v>108</v>
      </c>
      <c r="C111" s="197" t="s">
        <v>73</v>
      </c>
      <c r="D111" s="144">
        <v>2010</v>
      </c>
      <c r="E111" s="144" t="s">
        <v>63</v>
      </c>
      <c r="F111" s="144">
        <v>1</v>
      </c>
      <c r="G111" s="144" t="s">
        <v>56</v>
      </c>
      <c r="H111" s="144" t="s">
        <v>56</v>
      </c>
      <c r="I111" s="199">
        <f t="shared" si="6"/>
        <v>1</v>
      </c>
      <c r="J111" s="144">
        <v>2</v>
      </c>
      <c r="K111" s="144" t="s">
        <v>56</v>
      </c>
      <c r="L111" s="144" t="s">
        <v>56</v>
      </c>
      <c r="M111" s="144">
        <f t="shared" si="7"/>
        <v>2</v>
      </c>
      <c r="N111" s="150">
        <f t="shared" si="8"/>
        <v>2</v>
      </c>
      <c r="O111" s="201" t="str">
        <f t="shared" si="9"/>
        <v>-</v>
      </c>
      <c r="P111" s="202">
        <v>2</v>
      </c>
      <c r="Q111" s="201">
        <v>0</v>
      </c>
      <c r="R111" s="203">
        <f t="shared" si="10"/>
        <v>2</v>
      </c>
      <c r="S111" s="144" t="s">
        <v>57</v>
      </c>
      <c r="T111" s="144" t="s">
        <v>87</v>
      </c>
      <c r="U111" s="144"/>
      <c r="V111" s="144"/>
      <c r="W111" s="94" t="b">
        <f t="shared" si="11"/>
        <v>1</v>
      </c>
    </row>
    <row r="112" spans="2:23" s="65" customFormat="1" ht="12.9" customHeight="1">
      <c r="B112" s="8">
        <f>SUBTOTAL(3,C$4:$C112)</f>
        <v>109</v>
      </c>
      <c r="C112" s="197" t="s">
        <v>74</v>
      </c>
      <c r="D112" s="144">
        <v>2018</v>
      </c>
      <c r="E112" s="144" t="s">
        <v>60</v>
      </c>
      <c r="F112" s="144">
        <v>4</v>
      </c>
      <c r="G112" s="144" t="s">
        <v>56</v>
      </c>
      <c r="H112" s="144" t="s">
        <v>56</v>
      </c>
      <c r="I112" s="199">
        <f t="shared" si="6"/>
        <v>4</v>
      </c>
      <c r="J112" s="144">
        <v>4</v>
      </c>
      <c r="K112" s="144" t="s">
        <v>56</v>
      </c>
      <c r="L112" s="144" t="s">
        <v>56</v>
      </c>
      <c r="M112" s="144">
        <f t="shared" si="7"/>
        <v>4</v>
      </c>
      <c r="N112" s="150">
        <f t="shared" si="8"/>
        <v>4</v>
      </c>
      <c r="O112" s="201" t="str">
        <f t="shared" si="9"/>
        <v>-</v>
      </c>
      <c r="P112" s="202">
        <v>4</v>
      </c>
      <c r="Q112" s="201">
        <v>0</v>
      </c>
      <c r="R112" s="203">
        <f t="shared" si="10"/>
        <v>4</v>
      </c>
      <c r="S112" s="144" t="s">
        <v>57</v>
      </c>
      <c r="T112" s="144" t="s">
        <v>87</v>
      </c>
      <c r="U112" s="144"/>
      <c r="V112" s="144"/>
      <c r="W112" s="94" t="b">
        <f t="shared" si="11"/>
        <v>1</v>
      </c>
    </row>
    <row r="113" spans="2:23" s="65" customFormat="1" ht="12.9" customHeight="1">
      <c r="B113" s="8">
        <f>SUBTOTAL(3,C$4:$C113)</f>
        <v>110</v>
      </c>
      <c r="C113" s="197" t="s">
        <v>75</v>
      </c>
      <c r="D113" s="144">
        <v>2010</v>
      </c>
      <c r="E113" s="144" t="s">
        <v>60</v>
      </c>
      <c r="F113" s="144">
        <v>4</v>
      </c>
      <c r="G113" s="144" t="s">
        <v>56</v>
      </c>
      <c r="H113" s="144" t="s">
        <v>56</v>
      </c>
      <c r="I113" s="199">
        <f t="shared" si="6"/>
        <v>4</v>
      </c>
      <c r="J113" s="144">
        <v>4</v>
      </c>
      <c r="K113" s="144" t="s">
        <v>56</v>
      </c>
      <c r="L113" s="144" t="s">
        <v>56</v>
      </c>
      <c r="M113" s="144">
        <f t="shared" si="7"/>
        <v>4</v>
      </c>
      <c r="N113" s="150">
        <f t="shared" si="8"/>
        <v>4</v>
      </c>
      <c r="O113" s="201" t="str">
        <f t="shared" si="9"/>
        <v>-</v>
      </c>
      <c r="P113" s="202">
        <v>4</v>
      </c>
      <c r="Q113" s="201">
        <v>0</v>
      </c>
      <c r="R113" s="203">
        <f t="shared" si="10"/>
        <v>4</v>
      </c>
      <c r="S113" s="144" t="s">
        <v>57</v>
      </c>
      <c r="T113" s="144" t="s">
        <v>87</v>
      </c>
      <c r="U113" s="144"/>
      <c r="V113" s="144"/>
      <c r="W113" s="94" t="b">
        <f t="shared" si="11"/>
        <v>1</v>
      </c>
    </row>
    <row r="114" spans="2:23" s="65" customFormat="1" ht="12.9" customHeight="1">
      <c r="B114" s="8">
        <f>SUBTOTAL(3,C$4:$C114)</f>
        <v>111</v>
      </c>
      <c r="C114" s="197" t="s">
        <v>76</v>
      </c>
      <c r="D114" s="144">
        <v>2010</v>
      </c>
      <c r="E114" s="144" t="s">
        <v>60</v>
      </c>
      <c r="F114" s="144">
        <v>5</v>
      </c>
      <c r="G114" s="144" t="s">
        <v>56</v>
      </c>
      <c r="H114" s="144" t="s">
        <v>56</v>
      </c>
      <c r="I114" s="199">
        <f t="shared" si="6"/>
        <v>5</v>
      </c>
      <c r="J114" s="144">
        <v>5</v>
      </c>
      <c r="K114" s="144" t="s">
        <v>56</v>
      </c>
      <c r="L114" s="144" t="s">
        <v>56</v>
      </c>
      <c r="M114" s="144">
        <f t="shared" si="7"/>
        <v>5</v>
      </c>
      <c r="N114" s="150">
        <f t="shared" si="8"/>
        <v>5</v>
      </c>
      <c r="O114" s="201" t="str">
        <f t="shared" si="9"/>
        <v>-</v>
      </c>
      <c r="P114" s="202">
        <v>5</v>
      </c>
      <c r="Q114" s="201">
        <v>0</v>
      </c>
      <c r="R114" s="203">
        <f t="shared" si="10"/>
        <v>5</v>
      </c>
      <c r="S114" s="144" t="s">
        <v>57</v>
      </c>
      <c r="T114" s="144" t="s">
        <v>87</v>
      </c>
      <c r="U114" s="144"/>
      <c r="V114" s="144"/>
      <c r="W114" s="94" t="b">
        <f t="shared" si="11"/>
        <v>1</v>
      </c>
    </row>
    <row r="115" spans="2:23" s="65" customFormat="1" ht="12.9" customHeight="1">
      <c r="B115" s="8">
        <f>SUBTOTAL(3,C$4:$C115)</f>
        <v>112</v>
      </c>
      <c r="C115" s="197" t="s">
        <v>77</v>
      </c>
      <c r="D115" s="144">
        <v>2025</v>
      </c>
      <c r="E115" s="144" t="s">
        <v>60</v>
      </c>
      <c r="F115" s="144" t="s">
        <v>56</v>
      </c>
      <c r="G115" s="144" t="s">
        <v>56</v>
      </c>
      <c r="H115" s="144" t="s">
        <v>56</v>
      </c>
      <c r="I115" s="199" t="str">
        <f t="shared" si="6"/>
        <v>-</v>
      </c>
      <c r="J115" s="144">
        <v>1</v>
      </c>
      <c r="K115" s="144" t="s">
        <v>56</v>
      </c>
      <c r="L115" s="144" t="s">
        <v>56</v>
      </c>
      <c r="M115" s="144">
        <f t="shared" si="7"/>
        <v>1</v>
      </c>
      <c r="N115" s="150">
        <f t="shared" si="8"/>
        <v>1</v>
      </c>
      <c r="O115" s="201" t="str">
        <f t="shared" si="9"/>
        <v>-</v>
      </c>
      <c r="P115" s="202">
        <v>1</v>
      </c>
      <c r="Q115" s="201">
        <v>0</v>
      </c>
      <c r="R115" s="203">
        <f t="shared" si="10"/>
        <v>1</v>
      </c>
      <c r="S115" s="144" t="s">
        <v>57</v>
      </c>
      <c r="T115" s="144" t="s">
        <v>87</v>
      </c>
      <c r="U115" s="144"/>
      <c r="V115" s="204">
        <v>45763</v>
      </c>
      <c r="W115" s="94" t="b">
        <f t="shared" si="11"/>
        <v>1</v>
      </c>
    </row>
    <row r="116" spans="2:23" s="65" customFormat="1" ht="12.9" customHeight="1">
      <c r="B116" s="8">
        <f>SUBTOTAL(3,C$4:$C116)</f>
        <v>113</v>
      </c>
      <c r="C116" s="197" t="s">
        <v>54</v>
      </c>
      <c r="D116" s="144">
        <v>2010</v>
      </c>
      <c r="E116" s="144" t="s">
        <v>55</v>
      </c>
      <c r="F116" s="144">
        <v>8</v>
      </c>
      <c r="G116" s="144" t="s">
        <v>56</v>
      </c>
      <c r="H116" s="144" t="s">
        <v>56</v>
      </c>
      <c r="I116" s="199">
        <f t="shared" si="6"/>
        <v>8</v>
      </c>
      <c r="J116" s="144">
        <v>7</v>
      </c>
      <c r="K116" s="144" t="s">
        <v>56</v>
      </c>
      <c r="L116" s="144">
        <v>1</v>
      </c>
      <c r="M116" s="144">
        <f t="shared" si="7"/>
        <v>8</v>
      </c>
      <c r="N116" s="150">
        <f t="shared" si="8"/>
        <v>7</v>
      </c>
      <c r="O116" s="201">
        <f t="shared" si="9"/>
        <v>1</v>
      </c>
      <c r="P116" s="202">
        <v>7</v>
      </c>
      <c r="Q116" s="202">
        <v>1</v>
      </c>
      <c r="R116" s="203">
        <f t="shared" si="10"/>
        <v>8</v>
      </c>
      <c r="S116" s="144" t="s">
        <v>57</v>
      </c>
      <c r="T116" s="144" t="s">
        <v>89</v>
      </c>
      <c r="U116" s="144" t="s">
        <v>90</v>
      </c>
      <c r="V116" s="144"/>
      <c r="W116" s="94" t="b">
        <f t="shared" si="11"/>
        <v>1</v>
      </c>
    </row>
    <row r="117" spans="2:23" s="65" customFormat="1" ht="12.9" customHeight="1">
      <c r="B117" s="8">
        <f>SUBTOTAL(3,C$4:$C117)</f>
        <v>114</v>
      </c>
      <c r="C117" s="197" t="s">
        <v>59</v>
      </c>
      <c r="D117" s="144">
        <v>2015</v>
      </c>
      <c r="E117" s="144" t="s">
        <v>60</v>
      </c>
      <c r="F117" s="144">
        <v>8</v>
      </c>
      <c r="G117" s="144" t="s">
        <v>56</v>
      </c>
      <c r="H117" s="144" t="s">
        <v>56</v>
      </c>
      <c r="I117" s="199">
        <f t="shared" si="6"/>
        <v>8</v>
      </c>
      <c r="J117" s="144">
        <v>8</v>
      </c>
      <c r="K117" s="144" t="s">
        <v>56</v>
      </c>
      <c r="L117" s="144" t="s">
        <v>56</v>
      </c>
      <c r="M117" s="144">
        <f t="shared" si="7"/>
        <v>8</v>
      </c>
      <c r="N117" s="150">
        <f t="shared" si="8"/>
        <v>8</v>
      </c>
      <c r="O117" s="201" t="str">
        <f t="shared" si="9"/>
        <v>-</v>
      </c>
      <c r="P117" s="202">
        <v>8</v>
      </c>
      <c r="Q117" s="201">
        <v>0</v>
      </c>
      <c r="R117" s="203">
        <f t="shared" si="10"/>
        <v>8</v>
      </c>
      <c r="S117" s="144" t="s">
        <v>57</v>
      </c>
      <c r="T117" s="144" t="s">
        <v>89</v>
      </c>
      <c r="U117" s="144"/>
      <c r="V117" s="144"/>
      <c r="W117" s="94" t="b">
        <f t="shared" si="11"/>
        <v>1</v>
      </c>
    </row>
    <row r="118" spans="2:23" s="65" customFormat="1" ht="12.9" customHeight="1">
      <c r="B118" s="8">
        <f>SUBTOTAL(3,C$4:$C118)</f>
        <v>115</v>
      </c>
      <c r="C118" s="197" t="s">
        <v>61</v>
      </c>
      <c r="D118" s="198" t="s">
        <v>62</v>
      </c>
      <c r="E118" s="144" t="s">
        <v>63</v>
      </c>
      <c r="F118" s="144" t="s">
        <v>56</v>
      </c>
      <c r="G118" s="144" t="s">
        <v>56</v>
      </c>
      <c r="H118" s="144" t="s">
        <v>56</v>
      </c>
      <c r="I118" s="199" t="str">
        <f t="shared" si="6"/>
        <v>-</v>
      </c>
      <c r="J118" s="144">
        <v>8</v>
      </c>
      <c r="K118" s="144" t="s">
        <v>56</v>
      </c>
      <c r="L118" s="144" t="s">
        <v>56</v>
      </c>
      <c r="M118" s="144">
        <f t="shared" si="7"/>
        <v>8</v>
      </c>
      <c r="N118" s="150">
        <f t="shared" si="8"/>
        <v>8</v>
      </c>
      <c r="O118" s="201" t="str">
        <f t="shared" si="9"/>
        <v>-</v>
      </c>
      <c r="P118" s="202">
        <v>8</v>
      </c>
      <c r="Q118" s="201">
        <v>0</v>
      </c>
      <c r="R118" s="203">
        <f t="shared" si="10"/>
        <v>8</v>
      </c>
      <c r="S118" s="144" t="s">
        <v>57</v>
      </c>
      <c r="T118" s="144" t="s">
        <v>89</v>
      </c>
      <c r="U118" s="144"/>
      <c r="V118" s="144"/>
      <c r="W118" s="94" t="b">
        <f t="shared" si="11"/>
        <v>1</v>
      </c>
    </row>
    <row r="119" spans="2:23" s="65" customFormat="1" ht="12.9" customHeight="1">
      <c r="B119" s="8">
        <f>SUBTOTAL(3,C$4:$C119)</f>
        <v>116</v>
      </c>
      <c r="C119" s="197" t="s">
        <v>64</v>
      </c>
      <c r="D119" s="198" t="s">
        <v>62</v>
      </c>
      <c r="E119" s="144" t="s">
        <v>63</v>
      </c>
      <c r="F119" s="144" t="s">
        <v>56</v>
      </c>
      <c r="G119" s="144" t="s">
        <v>56</v>
      </c>
      <c r="H119" s="144" t="s">
        <v>56</v>
      </c>
      <c r="I119" s="199" t="str">
        <f t="shared" si="6"/>
        <v>-</v>
      </c>
      <c r="J119" s="144">
        <v>8</v>
      </c>
      <c r="K119" s="144" t="s">
        <v>56</v>
      </c>
      <c r="L119" s="144" t="s">
        <v>56</v>
      </c>
      <c r="M119" s="144">
        <f t="shared" si="7"/>
        <v>8</v>
      </c>
      <c r="N119" s="150">
        <f t="shared" si="8"/>
        <v>8</v>
      </c>
      <c r="O119" s="201" t="str">
        <f t="shared" si="9"/>
        <v>-</v>
      </c>
      <c r="P119" s="202">
        <v>8</v>
      </c>
      <c r="Q119" s="201">
        <v>0</v>
      </c>
      <c r="R119" s="203">
        <f t="shared" si="10"/>
        <v>8</v>
      </c>
      <c r="S119" s="144" t="s">
        <v>57</v>
      </c>
      <c r="T119" s="144" t="s">
        <v>89</v>
      </c>
      <c r="U119" s="144"/>
      <c r="V119" s="144"/>
      <c r="W119" s="94" t="b">
        <f t="shared" si="11"/>
        <v>1</v>
      </c>
    </row>
    <row r="120" spans="2:23" s="65" customFormat="1" ht="12.9" customHeight="1">
      <c r="B120" s="8">
        <f>SUBTOTAL(3,C$4:$C120)</f>
        <v>117</v>
      </c>
      <c r="C120" s="197" t="s">
        <v>65</v>
      </c>
      <c r="D120" s="144" t="s">
        <v>66</v>
      </c>
      <c r="E120" s="144" t="s">
        <v>67</v>
      </c>
      <c r="F120" s="144">
        <v>8</v>
      </c>
      <c r="G120" s="144" t="s">
        <v>56</v>
      </c>
      <c r="H120" s="144" t="s">
        <v>56</v>
      </c>
      <c r="I120" s="199">
        <f t="shared" si="6"/>
        <v>8</v>
      </c>
      <c r="J120" s="144">
        <v>8</v>
      </c>
      <c r="K120" s="144" t="s">
        <v>56</v>
      </c>
      <c r="L120" s="144" t="s">
        <v>56</v>
      </c>
      <c r="M120" s="144">
        <f t="shared" si="7"/>
        <v>8</v>
      </c>
      <c r="N120" s="150">
        <f t="shared" si="8"/>
        <v>8</v>
      </c>
      <c r="O120" s="201" t="str">
        <f t="shared" si="9"/>
        <v>-</v>
      </c>
      <c r="P120" s="202">
        <v>8</v>
      </c>
      <c r="Q120" s="201">
        <v>0</v>
      </c>
      <c r="R120" s="203">
        <f t="shared" si="10"/>
        <v>8</v>
      </c>
      <c r="S120" s="144" t="s">
        <v>57</v>
      </c>
      <c r="T120" s="144" t="s">
        <v>89</v>
      </c>
      <c r="U120" s="144"/>
      <c r="V120" s="144"/>
      <c r="W120" s="94" t="b">
        <f t="shared" si="11"/>
        <v>1</v>
      </c>
    </row>
    <row r="121" spans="2:23" s="65" customFormat="1" ht="12.9" customHeight="1">
      <c r="B121" s="8">
        <f>SUBTOTAL(3,C$4:$C121)</f>
        <v>118</v>
      </c>
      <c r="C121" s="197" t="s">
        <v>68</v>
      </c>
      <c r="D121" s="144">
        <v>2010</v>
      </c>
      <c r="E121" s="144" t="s">
        <v>55</v>
      </c>
      <c r="F121" s="144">
        <v>4</v>
      </c>
      <c r="G121" s="144" t="s">
        <v>56</v>
      </c>
      <c r="H121" s="144" t="s">
        <v>56</v>
      </c>
      <c r="I121" s="199">
        <f t="shared" si="6"/>
        <v>4</v>
      </c>
      <c r="J121" s="144">
        <v>4</v>
      </c>
      <c r="K121" s="144" t="s">
        <v>56</v>
      </c>
      <c r="L121" s="144" t="s">
        <v>56</v>
      </c>
      <c r="M121" s="144">
        <f t="shared" si="7"/>
        <v>4</v>
      </c>
      <c r="N121" s="150">
        <f t="shared" si="8"/>
        <v>4</v>
      </c>
      <c r="O121" s="201" t="str">
        <f t="shared" si="9"/>
        <v>-</v>
      </c>
      <c r="P121" s="202">
        <v>4</v>
      </c>
      <c r="Q121" s="201">
        <v>0</v>
      </c>
      <c r="R121" s="203">
        <f t="shared" si="10"/>
        <v>4</v>
      </c>
      <c r="S121" s="144" t="s">
        <v>57</v>
      </c>
      <c r="T121" s="144" t="s">
        <v>89</v>
      </c>
      <c r="U121" s="144"/>
      <c r="V121" s="144"/>
      <c r="W121" s="94" t="b">
        <f t="shared" si="11"/>
        <v>1</v>
      </c>
    </row>
    <row r="122" spans="2:23" s="65" customFormat="1" ht="12.9" customHeight="1">
      <c r="B122" s="8">
        <f>SUBTOTAL(3,C$4:$C122)</f>
        <v>119</v>
      </c>
      <c r="C122" s="197" t="s">
        <v>79</v>
      </c>
      <c r="D122" s="144">
        <v>2015</v>
      </c>
      <c r="E122" s="144" t="s">
        <v>55</v>
      </c>
      <c r="F122" s="144">
        <v>4</v>
      </c>
      <c r="G122" s="144" t="s">
        <v>56</v>
      </c>
      <c r="H122" s="144" t="s">
        <v>56</v>
      </c>
      <c r="I122" s="199">
        <f t="shared" si="6"/>
        <v>4</v>
      </c>
      <c r="J122" s="144">
        <v>4</v>
      </c>
      <c r="K122" s="144" t="s">
        <v>56</v>
      </c>
      <c r="L122" s="144" t="s">
        <v>56</v>
      </c>
      <c r="M122" s="144">
        <f t="shared" si="7"/>
        <v>4</v>
      </c>
      <c r="N122" s="150">
        <f t="shared" si="8"/>
        <v>4</v>
      </c>
      <c r="O122" s="201" t="str">
        <f t="shared" si="9"/>
        <v>-</v>
      </c>
      <c r="P122" s="202">
        <v>4</v>
      </c>
      <c r="Q122" s="201">
        <v>0</v>
      </c>
      <c r="R122" s="203">
        <f t="shared" si="10"/>
        <v>4</v>
      </c>
      <c r="S122" s="144" t="s">
        <v>57</v>
      </c>
      <c r="T122" s="144" t="s">
        <v>89</v>
      </c>
      <c r="U122" s="144"/>
      <c r="V122" s="144"/>
      <c r="W122" s="94" t="b">
        <f t="shared" si="11"/>
        <v>1</v>
      </c>
    </row>
    <row r="123" spans="2:23" s="65" customFormat="1" ht="12.9" customHeight="1">
      <c r="B123" s="8">
        <f>SUBTOTAL(3,C$4:$C123)</f>
        <v>120</v>
      </c>
      <c r="C123" s="197" t="s">
        <v>70</v>
      </c>
      <c r="D123" s="144">
        <v>2010</v>
      </c>
      <c r="E123" s="144" t="s">
        <v>71</v>
      </c>
      <c r="F123" s="144">
        <v>4</v>
      </c>
      <c r="G123" s="144" t="s">
        <v>56</v>
      </c>
      <c r="H123" s="144" t="s">
        <v>56</v>
      </c>
      <c r="I123" s="199">
        <f t="shared" si="6"/>
        <v>4</v>
      </c>
      <c r="J123" s="144">
        <v>4</v>
      </c>
      <c r="K123" s="144" t="s">
        <v>56</v>
      </c>
      <c r="L123" s="144" t="s">
        <v>56</v>
      </c>
      <c r="M123" s="144">
        <f t="shared" si="7"/>
        <v>4</v>
      </c>
      <c r="N123" s="150">
        <f t="shared" si="8"/>
        <v>4</v>
      </c>
      <c r="O123" s="201" t="str">
        <f t="shared" si="9"/>
        <v>-</v>
      </c>
      <c r="P123" s="202">
        <v>4</v>
      </c>
      <c r="Q123" s="201">
        <v>0</v>
      </c>
      <c r="R123" s="203">
        <f t="shared" si="10"/>
        <v>4</v>
      </c>
      <c r="S123" s="144" t="s">
        <v>57</v>
      </c>
      <c r="T123" s="144" t="s">
        <v>89</v>
      </c>
      <c r="U123" s="144"/>
      <c r="V123" s="144"/>
      <c r="W123" s="94" t="b">
        <f t="shared" si="11"/>
        <v>1</v>
      </c>
    </row>
    <row r="124" spans="2:23" s="65" customFormat="1" ht="12.9" customHeight="1">
      <c r="B124" s="8">
        <f>SUBTOTAL(3,C$4:$C124)</f>
        <v>121</v>
      </c>
      <c r="C124" s="197" t="s">
        <v>72</v>
      </c>
      <c r="D124" s="144">
        <v>2010</v>
      </c>
      <c r="E124" s="144" t="s">
        <v>67</v>
      </c>
      <c r="F124" s="144">
        <v>2</v>
      </c>
      <c r="G124" s="144" t="s">
        <v>56</v>
      </c>
      <c r="H124" s="144" t="s">
        <v>56</v>
      </c>
      <c r="I124" s="199">
        <f t="shared" si="6"/>
        <v>2</v>
      </c>
      <c r="J124" s="144">
        <v>2</v>
      </c>
      <c r="K124" s="144" t="s">
        <v>56</v>
      </c>
      <c r="L124" s="144" t="s">
        <v>56</v>
      </c>
      <c r="M124" s="144">
        <f t="shared" si="7"/>
        <v>2</v>
      </c>
      <c r="N124" s="150">
        <f t="shared" si="8"/>
        <v>2</v>
      </c>
      <c r="O124" s="201" t="str">
        <f t="shared" si="9"/>
        <v>-</v>
      </c>
      <c r="P124" s="202">
        <v>2</v>
      </c>
      <c r="Q124" s="201">
        <v>0</v>
      </c>
      <c r="R124" s="203">
        <f t="shared" si="10"/>
        <v>2</v>
      </c>
      <c r="S124" s="144" t="s">
        <v>57</v>
      </c>
      <c r="T124" s="144" t="s">
        <v>89</v>
      </c>
      <c r="U124" s="144"/>
      <c r="V124" s="144"/>
      <c r="W124" s="94" t="b">
        <f t="shared" si="11"/>
        <v>1</v>
      </c>
    </row>
    <row r="125" spans="2:23" s="65" customFormat="1" ht="12.9" customHeight="1">
      <c r="B125" s="8">
        <f>SUBTOTAL(3,C$4:$C125)</f>
        <v>122</v>
      </c>
      <c r="C125" s="197" t="s">
        <v>73</v>
      </c>
      <c r="D125" s="144">
        <v>2010</v>
      </c>
      <c r="E125" s="144" t="s">
        <v>63</v>
      </c>
      <c r="F125" s="144">
        <v>1</v>
      </c>
      <c r="G125" s="144" t="s">
        <v>56</v>
      </c>
      <c r="H125" s="144" t="s">
        <v>56</v>
      </c>
      <c r="I125" s="199">
        <f t="shared" si="6"/>
        <v>1</v>
      </c>
      <c r="J125" s="144">
        <v>2</v>
      </c>
      <c r="K125" s="144" t="s">
        <v>56</v>
      </c>
      <c r="L125" s="144" t="s">
        <v>56</v>
      </c>
      <c r="M125" s="144">
        <f t="shared" si="7"/>
        <v>2</v>
      </c>
      <c r="N125" s="150">
        <f t="shared" si="8"/>
        <v>2</v>
      </c>
      <c r="O125" s="201" t="str">
        <f t="shared" si="9"/>
        <v>-</v>
      </c>
      <c r="P125" s="202">
        <v>2</v>
      </c>
      <c r="Q125" s="201">
        <v>0</v>
      </c>
      <c r="R125" s="203">
        <f t="shared" si="10"/>
        <v>2</v>
      </c>
      <c r="S125" s="144" t="s">
        <v>57</v>
      </c>
      <c r="T125" s="144" t="s">
        <v>89</v>
      </c>
      <c r="U125" s="144"/>
      <c r="V125" s="144"/>
      <c r="W125" s="94" t="b">
        <f t="shared" si="11"/>
        <v>1</v>
      </c>
    </row>
    <row r="126" spans="2:23" s="65" customFormat="1" ht="12.9" customHeight="1">
      <c r="B126" s="8">
        <f>SUBTOTAL(3,C$4:$C126)</f>
        <v>123</v>
      </c>
      <c r="C126" s="197" t="s">
        <v>74</v>
      </c>
      <c r="D126" s="144">
        <v>2018</v>
      </c>
      <c r="E126" s="144" t="s">
        <v>60</v>
      </c>
      <c r="F126" s="144">
        <v>4</v>
      </c>
      <c r="G126" s="144" t="s">
        <v>56</v>
      </c>
      <c r="H126" s="144" t="s">
        <v>56</v>
      </c>
      <c r="I126" s="199">
        <f t="shared" si="6"/>
        <v>4</v>
      </c>
      <c r="J126" s="144">
        <v>4</v>
      </c>
      <c r="K126" s="144" t="s">
        <v>56</v>
      </c>
      <c r="L126" s="144" t="s">
        <v>56</v>
      </c>
      <c r="M126" s="144">
        <f t="shared" si="7"/>
        <v>4</v>
      </c>
      <c r="N126" s="150">
        <f t="shared" si="8"/>
        <v>4</v>
      </c>
      <c r="O126" s="201" t="str">
        <f t="shared" si="9"/>
        <v>-</v>
      </c>
      <c r="P126" s="202">
        <v>4</v>
      </c>
      <c r="Q126" s="201">
        <v>0</v>
      </c>
      <c r="R126" s="203">
        <f t="shared" si="10"/>
        <v>4</v>
      </c>
      <c r="S126" s="144" t="s">
        <v>57</v>
      </c>
      <c r="T126" s="144" t="s">
        <v>89</v>
      </c>
      <c r="U126" s="144"/>
      <c r="V126" s="144"/>
      <c r="W126" s="94" t="b">
        <f t="shared" si="11"/>
        <v>1</v>
      </c>
    </row>
    <row r="127" spans="2:23" s="65" customFormat="1" ht="12.9" customHeight="1">
      <c r="B127" s="8">
        <f>SUBTOTAL(3,C$4:$C127)</f>
        <v>124</v>
      </c>
      <c r="C127" s="197" t="s">
        <v>75</v>
      </c>
      <c r="D127" s="144">
        <v>2010</v>
      </c>
      <c r="E127" s="144" t="s">
        <v>60</v>
      </c>
      <c r="F127" s="144">
        <v>4</v>
      </c>
      <c r="G127" s="144" t="s">
        <v>56</v>
      </c>
      <c r="H127" s="144" t="s">
        <v>56</v>
      </c>
      <c r="I127" s="199">
        <f t="shared" si="6"/>
        <v>4</v>
      </c>
      <c r="J127" s="144">
        <v>4</v>
      </c>
      <c r="K127" s="144" t="s">
        <v>56</v>
      </c>
      <c r="L127" s="144" t="s">
        <v>56</v>
      </c>
      <c r="M127" s="144">
        <f t="shared" si="7"/>
        <v>4</v>
      </c>
      <c r="N127" s="150">
        <f t="shared" si="8"/>
        <v>4</v>
      </c>
      <c r="O127" s="201" t="str">
        <f t="shared" si="9"/>
        <v>-</v>
      </c>
      <c r="P127" s="202">
        <v>4</v>
      </c>
      <c r="Q127" s="201">
        <v>0</v>
      </c>
      <c r="R127" s="203">
        <f t="shared" si="10"/>
        <v>4</v>
      </c>
      <c r="S127" s="144" t="s">
        <v>57</v>
      </c>
      <c r="T127" s="144" t="s">
        <v>89</v>
      </c>
      <c r="U127" s="144"/>
      <c r="V127" s="144"/>
      <c r="W127" s="94" t="b">
        <f t="shared" si="11"/>
        <v>1</v>
      </c>
    </row>
    <row r="128" spans="2:23" s="65" customFormat="1" ht="12.9" customHeight="1">
      <c r="B128" s="8">
        <f>SUBTOTAL(3,C$4:$C128)</f>
        <v>125</v>
      </c>
      <c r="C128" s="197" t="s">
        <v>76</v>
      </c>
      <c r="D128" s="144">
        <v>2010</v>
      </c>
      <c r="E128" s="144" t="s">
        <v>60</v>
      </c>
      <c r="F128" s="144">
        <v>5</v>
      </c>
      <c r="G128" s="144" t="s">
        <v>56</v>
      </c>
      <c r="H128" s="144" t="s">
        <v>56</v>
      </c>
      <c r="I128" s="199">
        <f t="shared" si="6"/>
        <v>5</v>
      </c>
      <c r="J128" s="144">
        <v>5</v>
      </c>
      <c r="K128" s="144" t="s">
        <v>56</v>
      </c>
      <c r="L128" s="144" t="s">
        <v>56</v>
      </c>
      <c r="M128" s="144">
        <f t="shared" si="7"/>
        <v>5</v>
      </c>
      <c r="N128" s="150">
        <f t="shared" si="8"/>
        <v>5</v>
      </c>
      <c r="O128" s="201" t="str">
        <f t="shared" si="9"/>
        <v>-</v>
      </c>
      <c r="P128" s="202">
        <v>5</v>
      </c>
      <c r="Q128" s="201">
        <v>0</v>
      </c>
      <c r="R128" s="203">
        <f t="shared" si="10"/>
        <v>5</v>
      </c>
      <c r="S128" s="144" t="s">
        <v>57</v>
      </c>
      <c r="T128" s="144" t="s">
        <v>89</v>
      </c>
      <c r="U128" s="144"/>
      <c r="V128" s="144"/>
      <c r="W128" s="94" t="b">
        <f t="shared" si="11"/>
        <v>1</v>
      </c>
    </row>
    <row r="129" spans="2:23" s="65" customFormat="1" ht="12.9" customHeight="1">
      <c r="B129" s="8">
        <f>SUBTOTAL(3,C$4:$C129)</f>
        <v>126</v>
      </c>
      <c r="C129" s="197" t="s">
        <v>77</v>
      </c>
      <c r="D129" s="144">
        <v>2025</v>
      </c>
      <c r="E129" s="144" t="s">
        <v>60</v>
      </c>
      <c r="F129" s="144" t="s">
        <v>56</v>
      </c>
      <c r="G129" s="144" t="s">
        <v>56</v>
      </c>
      <c r="H129" s="144" t="s">
        <v>56</v>
      </c>
      <c r="I129" s="199" t="str">
        <f t="shared" si="6"/>
        <v>-</v>
      </c>
      <c r="J129" s="144">
        <v>1</v>
      </c>
      <c r="K129" s="144" t="s">
        <v>56</v>
      </c>
      <c r="L129" s="144" t="s">
        <v>56</v>
      </c>
      <c r="M129" s="144">
        <f t="shared" si="7"/>
        <v>1</v>
      </c>
      <c r="N129" s="150">
        <f t="shared" si="8"/>
        <v>1</v>
      </c>
      <c r="O129" s="201" t="str">
        <f t="shared" si="9"/>
        <v>-</v>
      </c>
      <c r="P129" s="202">
        <v>1</v>
      </c>
      <c r="Q129" s="201">
        <v>0</v>
      </c>
      <c r="R129" s="203">
        <f t="shared" si="10"/>
        <v>1</v>
      </c>
      <c r="S129" s="144" t="s">
        <v>57</v>
      </c>
      <c r="T129" s="144" t="s">
        <v>89</v>
      </c>
      <c r="U129" s="144"/>
      <c r="V129" s="204">
        <v>45763</v>
      </c>
      <c r="W129" s="94" t="b">
        <f t="shared" si="11"/>
        <v>1</v>
      </c>
    </row>
    <row r="130" spans="2:23" s="65" customFormat="1" ht="12.9" customHeight="1">
      <c r="B130" s="8">
        <f>SUBTOTAL(3,C$4:$C130)</f>
        <v>127</v>
      </c>
      <c r="C130" s="197" t="s">
        <v>54</v>
      </c>
      <c r="D130" s="144">
        <v>2010</v>
      </c>
      <c r="E130" s="144" t="s">
        <v>55</v>
      </c>
      <c r="F130" s="144">
        <v>8</v>
      </c>
      <c r="G130" s="144" t="s">
        <v>56</v>
      </c>
      <c r="H130" s="144" t="s">
        <v>56</v>
      </c>
      <c r="I130" s="199">
        <f t="shared" si="6"/>
        <v>8</v>
      </c>
      <c r="J130" s="144">
        <v>8</v>
      </c>
      <c r="K130" s="144" t="s">
        <v>56</v>
      </c>
      <c r="L130" s="144" t="s">
        <v>56</v>
      </c>
      <c r="M130" s="144">
        <f t="shared" si="7"/>
        <v>8</v>
      </c>
      <c r="N130" s="150">
        <f t="shared" si="8"/>
        <v>8</v>
      </c>
      <c r="O130" s="201" t="str">
        <f t="shared" si="9"/>
        <v>-</v>
      </c>
      <c r="P130" s="202">
        <v>8</v>
      </c>
      <c r="Q130" s="201">
        <v>0</v>
      </c>
      <c r="R130" s="203">
        <f t="shared" si="10"/>
        <v>8</v>
      </c>
      <c r="S130" s="144" t="s">
        <v>57</v>
      </c>
      <c r="T130" s="144" t="s">
        <v>91</v>
      </c>
      <c r="U130" s="144"/>
      <c r="V130" s="144"/>
      <c r="W130" s="94" t="b">
        <f t="shared" si="11"/>
        <v>1</v>
      </c>
    </row>
    <row r="131" spans="2:23" s="65" customFormat="1" ht="12.9" customHeight="1">
      <c r="B131" s="8">
        <f>SUBTOTAL(3,C$4:$C131)</f>
        <v>128</v>
      </c>
      <c r="C131" s="197" t="s">
        <v>59</v>
      </c>
      <c r="D131" s="144">
        <v>2015</v>
      </c>
      <c r="E131" s="144" t="s">
        <v>60</v>
      </c>
      <c r="F131" s="144">
        <v>8</v>
      </c>
      <c r="G131" s="144" t="s">
        <v>56</v>
      </c>
      <c r="H131" s="144" t="s">
        <v>56</v>
      </c>
      <c r="I131" s="199">
        <f t="shared" si="6"/>
        <v>8</v>
      </c>
      <c r="J131" s="144">
        <v>8</v>
      </c>
      <c r="K131" s="144" t="s">
        <v>56</v>
      </c>
      <c r="L131" s="144" t="s">
        <v>56</v>
      </c>
      <c r="M131" s="144">
        <f t="shared" si="7"/>
        <v>8</v>
      </c>
      <c r="N131" s="150">
        <f t="shared" si="8"/>
        <v>8</v>
      </c>
      <c r="O131" s="201" t="str">
        <f t="shared" si="9"/>
        <v>-</v>
      </c>
      <c r="P131" s="202">
        <v>8</v>
      </c>
      <c r="Q131" s="201">
        <v>0</v>
      </c>
      <c r="R131" s="203">
        <f t="shared" si="10"/>
        <v>8</v>
      </c>
      <c r="S131" s="144" t="s">
        <v>57</v>
      </c>
      <c r="T131" s="144" t="s">
        <v>91</v>
      </c>
      <c r="U131" s="144"/>
      <c r="V131" s="144"/>
      <c r="W131" s="94" t="b">
        <f t="shared" si="11"/>
        <v>1</v>
      </c>
    </row>
    <row r="132" spans="2:23" s="65" customFormat="1" ht="12.9" customHeight="1">
      <c r="B132" s="8">
        <f>SUBTOTAL(3,C$4:$C132)</f>
        <v>129</v>
      </c>
      <c r="C132" s="197" t="s">
        <v>61</v>
      </c>
      <c r="D132" s="198" t="s">
        <v>62</v>
      </c>
      <c r="E132" s="144" t="s">
        <v>63</v>
      </c>
      <c r="F132" s="144" t="s">
        <v>56</v>
      </c>
      <c r="G132" s="144" t="s">
        <v>56</v>
      </c>
      <c r="H132" s="144" t="s">
        <v>56</v>
      </c>
      <c r="I132" s="199" t="str">
        <f t="shared" ref="I132:I195" si="12">F132</f>
        <v>-</v>
      </c>
      <c r="J132" s="144">
        <v>8</v>
      </c>
      <c r="K132" s="144" t="s">
        <v>56</v>
      </c>
      <c r="L132" s="144" t="s">
        <v>56</v>
      </c>
      <c r="M132" s="144">
        <f t="shared" ref="M132:M195" si="13">SUM(J132:L132)</f>
        <v>8</v>
      </c>
      <c r="N132" s="150">
        <f t="shared" ref="N132:N195" si="14">J132</f>
        <v>8</v>
      </c>
      <c r="O132" s="201" t="str">
        <f t="shared" ref="O132:O195" si="15">L132</f>
        <v>-</v>
      </c>
      <c r="P132" s="202">
        <v>8</v>
      </c>
      <c r="Q132" s="201">
        <v>0</v>
      </c>
      <c r="R132" s="203">
        <f t="shared" si="10"/>
        <v>8</v>
      </c>
      <c r="S132" s="144" t="s">
        <v>57</v>
      </c>
      <c r="T132" s="144" t="s">
        <v>91</v>
      </c>
      <c r="U132" s="144"/>
      <c r="V132" s="144"/>
      <c r="W132" s="94" t="b">
        <f t="shared" si="11"/>
        <v>1</v>
      </c>
    </row>
    <row r="133" spans="2:23" s="65" customFormat="1" ht="12.9" customHeight="1">
      <c r="B133" s="8">
        <f>SUBTOTAL(3,C$4:$C133)</f>
        <v>130</v>
      </c>
      <c r="C133" s="197" t="s">
        <v>64</v>
      </c>
      <c r="D133" s="198" t="s">
        <v>62</v>
      </c>
      <c r="E133" s="144" t="s">
        <v>63</v>
      </c>
      <c r="F133" s="144" t="s">
        <v>56</v>
      </c>
      <c r="G133" s="144" t="s">
        <v>56</v>
      </c>
      <c r="H133" s="144" t="s">
        <v>56</v>
      </c>
      <c r="I133" s="199" t="str">
        <f t="shared" si="12"/>
        <v>-</v>
      </c>
      <c r="J133" s="144">
        <v>8</v>
      </c>
      <c r="K133" s="144" t="s">
        <v>56</v>
      </c>
      <c r="L133" s="144" t="s">
        <v>56</v>
      </c>
      <c r="M133" s="144">
        <f t="shared" si="13"/>
        <v>8</v>
      </c>
      <c r="N133" s="150">
        <f t="shared" si="14"/>
        <v>8</v>
      </c>
      <c r="O133" s="201" t="str">
        <f t="shared" si="15"/>
        <v>-</v>
      </c>
      <c r="P133" s="202">
        <v>8</v>
      </c>
      <c r="Q133" s="201">
        <v>0</v>
      </c>
      <c r="R133" s="203">
        <f t="shared" ref="R133:R196" si="16">P133+Q133</f>
        <v>8</v>
      </c>
      <c r="S133" s="144" t="s">
        <v>57</v>
      </c>
      <c r="T133" s="144" t="s">
        <v>91</v>
      </c>
      <c r="U133" s="144"/>
      <c r="V133" s="144"/>
      <c r="W133" s="94" t="b">
        <f t="shared" ref="W133:W196" si="17">N133=P133</f>
        <v>1</v>
      </c>
    </row>
    <row r="134" spans="2:23" s="65" customFormat="1" ht="12.9" customHeight="1">
      <c r="B134" s="8">
        <f>SUBTOTAL(3,C$4:$C134)</f>
        <v>131</v>
      </c>
      <c r="C134" s="197" t="s">
        <v>65</v>
      </c>
      <c r="D134" s="144" t="s">
        <v>66</v>
      </c>
      <c r="E134" s="144" t="s">
        <v>67</v>
      </c>
      <c r="F134" s="144">
        <v>8</v>
      </c>
      <c r="G134" s="144" t="s">
        <v>56</v>
      </c>
      <c r="H134" s="144" t="s">
        <v>56</v>
      </c>
      <c r="I134" s="199">
        <f t="shared" si="12"/>
        <v>8</v>
      </c>
      <c r="J134" s="144">
        <v>8</v>
      </c>
      <c r="K134" s="144" t="s">
        <v>56</v>
      </c>
      <c r="L134" s="144" t="s">
        <v>56</v>
      </c>
      <c r="M134" s="144">
        <f t="shared" si="13"/>
        <v>8</v>
      </c>
      <c r="N134" s="150">
        <f t="shared" si="14"/>
        <v>8</v>
      </c>
      <c r="O134" s="201" t="str">
        <f t="shared" si="15"/>
        <v>-</v>
      </c>
      <c r="P134" s="202">
        <v>8</v>
      </c>
      <c r="Q134" s="201">
        <v>0</v>
      </c>
      <c r="R134" s="203">
        <f t="shared" si="16"/>
        <v>8</v>
      </c>
      <c r="S134" s="144" t="s">
        <v>57</v>
      </c>
      <c r="T134" s="144" t="s">
        <v>91</v>
      </c>
      <c r="U134" s="144"/>
      <c r="V134" s="144"/>
      <c r="W134" s="94" t="b">
        <f t="shared" si="17"/>
        <v>1</v>
      </c>
    </row>
    <row r="135" spans="2:23" s="65" customFormat="1" ht="12.9" customHeight="1">
      <c r="B135" s="8">
        <f>SUBTOTAL(3,C$4:$C135)</f>
        <v>132</v>
      </c>
      <c r="C135" s="197" t="s">
        <v>68</v>
      </c>
      <c r="D135" s="144">
        <v>2010</v>
      </c>
      <c r="E135" s="144" t="s">
        <v>55</v>
      </c>
      <c r="F135" s="144">
        <v>4</v>
      </c>
      <c r="G135" s="144" t="s">
        <v>56</v>
      </c>
      <c r="H135" s="144" t="s">
        <v>56</v>
      </c>
      <c r="I135" s="199">
        <f t="shared" si="12"/>
        <v>4</v>
      </c>
      <c r="J135" s="144">
        <v>4</v>
      </c>
      <c r="K135" s="144" t="s">
        <v>56</v>
      </c>
      <c r="L135" s="144" t="s">
        <v>56</v>
      </c>
      <c r="M135" s="144">
        <f t="shared" si="13"/>
        <v>4</v>
      </c>
      <c r="N135" s="150">
        <f t="shared" si="14"/>
        <v>4</v>
      </c>
      <c r="O135" s="201" t="str">
        <f t="shared" si="15"/>
        <v>-</v>
      </c>
      <c r="P135" s="202">
        <v>4</v>
      </c>
      <c r="Q135" s="201">
        <v>0</v>
      </c>
      <c r="R135" s="203">
        <f t="shared" si="16"/>
        <v>4</v>
      </c>
      <c r="S135" s="144" t="s">
        <v>57</v>
      </c>
      <c r="T135" s="144" t="s">
        <v>91</v>
      </c>
      <c r="U135" s="144"/>
      <c r="V135" s="144"/>
      <c r="W135" s="94" t="b">
        <f t="shared" si="17"/>
        <v>1</v>
      </c>
    </row>
    <row r="136" spans="2:23" s="65" customFormat="1" ht="12.9" customHeight="1">
      <c r="B136" s="8">
        <f>SUBTOTAL(3,C$4:$C136)</f>
        <v>133</v>
      </c>
      <c r="C136" s="197" t="s">
        <v>79</v>
      </c>
      <c r="D136" s="144">
        <v>2015</v>
      </c>
      <c r="E136" s="144" t="s">
        <v>55</v>
      </c>
      <c r="F136" s="144">
        <v>4</v>
      </c>
      <c r="G136" s="144" t="s">
        <v>56</v>
      </c>
      <c r="H136" s="144" t="s">
        <v>56</v>
      </c>
      <c r="I136" s="199">
        <f t="shared" si="12"/>
        <v>4</v>
      </c>
      <c r="J136" s="144">
        <v>4</v>
      </c>
      <c r="K136" s="144" t="s">
        <v>56</v>
      </c>
      <c r="L136" s="144" t="s">
        <v>56</v>
      </c>
      <c r="M136" s="144">
        <f t="shared" si="13"/>
        <v>4</v>
      </c>
      <c r="N136" s="150">
        <f t="shared" si="14"/>
        <v>4</v>
      </c>
      <c r="O136" s="201" t="str">
        <f t="shared" si="15"/>
        <v>-</v>
      </c>
      <c r="P136" s="202">
        <v>4</v>
      </c>
      <c r="Q136" s="201">
        <v>0</v>
      </c>
      <c r="R136" s="203">
        <f t="shared" si="16"/>
        <v>4</v>
      </c>
      <c r="S136" s="144" t="s">
        <v>57</v>
      </c>
      <c r="T136" s="144" t="s">
        <v>91</v>
      </c>
      <c r="U136" s="144"/>
      <c r="V136" s="144"/>
      <c r="W136" s="94" t="b">
        <f t="shared" si="17"/>
        <v>1</v>
      </c>
    </row>
    <row r="137" spans="2:23" s="65" customFormat="1" ht="12.9" customHeight="1">
      <c r="B137" s="8">
        <f>SUBTOTAL(3,C$4:$C137)</f>
        <v>134</v>
      </c>
      <c r="C137" s="197" t="s">
        <v>70</v>
      </c>
      <c r="D137" s="144">
        <v>2010</v>
      </c>
      <c r="E137" s="144" t="s">
        <v>71</v>
      </c>
      <c r="F137" s="144">
        <v>4</v>
      </c>
      <c r="G137" s="144" t="s">
        <v>56</v>
      </c>
      <c r="H137" s="144" t="s">
        <v>56</v>
      </c>
      <c r="I137" s="199">
        <f t="shared" si="12"/>
        <v>4</v>
      </c>
      <c r="J137" s="144">
        <v>4</v>
      </c>
      <c r="K137" s="144" t="s">
        <v>56</v>
      </c>
      <c r="L137" s="144" t="s">
        <v>56</v>
      </c>
      <c r="M137" s="144">
        <f t="shared" si="13"/>
        <v>4</v>
      </c>
      <c r="N137" s="150">
        <f t="shared" si="14"/>
        <v>4</v>
      </c>
      <c r="O137" s="201" t="str">
        <f t="shared" si="15"/>
        <v>-</v>
      </c>
      <c r="P137" s="202">
        <v>4</v>
      </c>
      <c r="Q137" s="201">
        <v>0</v>
      </c>
      <c r="R137" s="203">
        <f t="shared" si="16"/>
        <v>4</v>
      </c>
      <c r="S137" s="144" t="s">
        <v>57</v>
      </c>
      <c r="T137" s="144" t="s">
        <v>91</v>
      </c>
      <c r="U137" s="144"/>
      <c r="V137" s="144"/>
      <c r="W137" s="94" t="b">
        <f t="shared" si="17"/>
        <v>1</v>
      </c>
    </row>
    <row r="138" spans="2:23" s="65" customFormat="1" ht="12.9" customHeight="1">
      <c r="B138" s="8">
        <f>SUBTOTAL(3,C$4:$C138)</f>
        <v>135</v>
      </c>
      <c r="C138" s="197" t="s">
        <v>72</v>
      </c>
      <c r="D138" s="144">
        <v>2010</v>
      </c>
      <c r="E138" s="144" t="s">
        <v>67</v>
      </c>
      <c r="F138" s="144">
        <v>2</v>
      </c>
      <c r="G138" s="144" t="s">
        <v>56</v>
      </c>
      <c r="H138" s="144" t="s">
        <v>56</v>
      </c>
      <c r="I138" s="199">
        <f t="shared" si="12"/>
        <v>2</v>
      </c>
      <c r="J138" s="144">
        <v>2</v>
      </c>
      <c r="K138" s="144" t="s">
        <v>56</v>
      </c>
      <c r="L138" s="144" t="s">
        <v>56</v>
      </c>
      <c r="M138" s="144">
        <f t="shared" si="13"/>
        <v>2</v>
      </c>
      <c r="N138" s="150">
        <f t="shared" si="14"/>
        <v>2</v>
      </c>
      <c r="O138" s="201" t="str">
        <f t="shared" si="15"/>
        <v>-</v>
      </c>
      <c r="P138" s="202">
        <v>2</v>
      </c>
      <c r="Q138" s="201">
        <v>0</v>
      </c>
      <c r="R138" s="203">
        <f t="shared" si="16"/>
        <v>2</v>
      </c>
      <c r="S138" s="144" t="s">
        <v>57</v>
      </c>
      <c r="T138" s="144" t="s">
        <v>91</v>
      </c>
      <c r="U138" s="144"/>
      <c r="V138" s="144"/>
      <c r="W138" s="94" t="b">
        <f t="shared" si="17"/>
        <v>1</v>
      </c>
    </row>
    <row r="139" spans="2:23" s="65" customFormat="1" ht="12.9" customHeight="1">
      <c r="B139" s="8">
        <f>SUBTOTAL(3,C$4:$C139)</f>
        <v>136</v>
      </c>
      <c r="C139" s="197" t="s">
        <v>73</v>
      </c>
      <c r="D139" s="144">
        <v>2010</v>
      </c>
      <c r="E139" s="144" t="s">
        <v>63</v>
      </c>
      <c r="F139" s="144">
        <v>1</v>
      </c>
      <c r="G139" s="144" t="s">
        <v>56</v>
      </c>
      <c r="H139" s="144" t="s">
        <v>56</v>
      </c>
      <c r="I139" s="199">
        <f t="shared" si="12"/>
        <v>1</v>
      </c>
      <c r="J139" s="144">
        <v>0</v>
      </c>
      <c r="K139" s="144" t="s">
        <v>56</v>
      </c>
      <c r="L139" s="144" t="s">
        <v>56</v>
      </c>
      <c r="M139" s="144">
        <f t="shared" si="13"/>
        <v>0</v>
      </c>
      <c r="N139" s="150">
        <f t="shared" si="14"/>
        <v>0</v>
      </c>
      <c r="O139" s="201" t="str">
        <f t="shared" si="15"/>
        <v>-</v>
      </c>
      <c r="P139" s="202">
        <v>0</v>
      </c>
      <c r="Q139" s="201">
        <v>0</v>
      </c>
      <c r="R139" s="203">
        <f t="shared" si="16"/>
        <v>0</v>
      </c>
      <c r="S139" s="144" t="s">
        <v>57</v>
      </c>
      <c r="T139" s="144" t="s">
        <v>91</v>
      </c>
      <c r="U139" s="144"/>
      <c r="V139" s="144"/>
      <c r="W139" s="94" t="b">
        <f t="shared" si="17"/>
        <v>1</v>
      </c>
    </row>
    <row r="140" spans="2:23" s="65" customFormat="1" ht="12.9" customHeight="1">
      <c r="B140" s="8">
        <f>SUBTOTAL(3,C$4:$C140)</f>
        <v>137</v>
      </c>
      <c r="C140" s="197" t="s">
        <v>74</v>
      </c>
      <c r="D140" s="144">
        <v>2018</v>
      </c>
      <c r="E140" s="144" t="s">
        <v>60</v>
      </c>
      <c r="F140" s="144">
        <v>4</v>
      </c>
      <c r="G140" s="144" t="s">
        <v>56</v>
      </c>
      <c r="H140" s="144" t="s">
        <v>56</v>
      </c>
      <c r="I140" s="199">
        <f t="shared" si="12"/>
        <v>4</v>
      </c>
      <c r="J140" s="144">
        <v>4</v>
      </c>
      <c r="K140" s="144" t="s">
        <v>56</v>
      </c>
      <c r="L140" s="144" t="s">
        <v>56</v>
      </c>
      <c r="M140" s="144">
        <f t="shared" si="13"/>
        <v>4</v>
      </c>
      <c r="N140" s="150">
        <f t="shared" si="14"/>
        <v>4</v>
      </c>
      <c r="O140" s="201" t="str">
        <f t="shared" si="15"/>
        <v>-</v>
      </c>
      <c r="P140" s="202">
        <v>4</v>
      </c>
      <c r="Q140" s="201">
        <v>0</v>
      </c>
      <c r="R140" s="203">
        <f t="shared" si="16"/>
        <v>4</v>
      </c>
      <c r="S140" s="144" t="s">
        <v>57</v>
      </c>
      <c r="T140" s="144" t="s">
        <v>91</v>
      </c>
      <c r="U140" s="144"/>
      <c r="V140" s="144"/>
      <c r="W140" s="94" t="b">
        <f t="shared" si="17"/>
        <v>1</v>
      </c>
    </row>
    <row r="141" spans="2:23" s="65" customFormat="1" ht="12.9" customHeight="1">
      <c r="B141" s="8">
        <f>SUBTOTAL(3,C$4:$C141)</f>
        <v>138</v>
      </c>
      <c r="C141" s="197" t="s">
        <v>75</v>
      </c>
      <c r="D141" s="144">
        <v>2010</v>
      </c>
      <c r="E141" s="144" t="s">
        <v>60</v>
      </c>
      <c r="F141" s="144">
        <v>4</v>
      </c>
      <c r="G141" s="144" t="s">
        <v>56</v>
      </c>
      <c r="H141" s="144" t="s">
        <v>56</v>
      </c>
      <c r="I141" s="199">
        <f t="shared" si="12"/>
        <v>4</v>
      </c>
      <c r="J141" s="144">
        <v>4</v>
      </c>
      <c r="K141" s="144" t="s">
        <v>56</v>
      </c>
      <c r="L141" s="144" t="s">
        <v>56</v>
      </c>
      <c r="M141" s="144">
        <f t="shared" si="13"/>
        <v>4</v>
      </c>
      <c r="N141" s="150">
        <f t="shared" si="14"/>
        <v>4</v>
      </c>
      <c r="O141" s="201" t="str">
        <f t="shared" si="15"/>
        <v>-</v>
      </c>
      <c r="P141" s="202">
        <v>4</v>
      </c>
      <c r="Q141" s="201">
        <v>0</v>
      </c>
      <c r="R141" s="203">
        <f t="shared" si="16"/>
        <v>4</v>
      </c>
      <c r="S141" s="144" t="s">
        <v>57</v>
      </c>
      <c r="T141" s="144" t="s">
        <v>91</v>
      </c>
      <c r="U141" s="144"/>
      <c r="V141" s="144"/>
      <c r="W141" s="94" t="b">
        <f t="shared" si="17"/>
        <v>1</v>
      </c>
    </row>
    <row r="142" spans="2:23" s="65" customFormat="1" ht="12.9" customHeight="1">
      <c r="B142" s="8">
        <f>SUBTOTAL(3,C$4:$C142)</f>
        <v>139</v>
      </c>
      <c r="C142" s="197" t="s">
        <v>76</v>
      </c>
      <c r="D142" s="144">
        <v>2010</v>
      </c>
      <c r="E142" s="144" t="s">
        <v>60</v>
      </c>
      <c r="F142" s="144">
        <v>5</v>
      </c>
      <c r="G142" s="144" t="s">
        <v>56</v>
      </c>
      <c r="H142" s="144" t="s">
        <v>56</v>
      </c>
      <c r="I142" s="199">
        <f t="shared" si="12"/>
        <v>5</v>
      </c>
      <c r="J142" s="144">
        <v>5</v>
      </c>
      <c r="K142" s="144" t="s">
        <v>56</v>
      </c>
      <c r="L142" s="144" t="s">
        <v>56</v>
      </c>
      <c r="M142" s="144">
        <f t="shared" si="13"/>
        <v>5</v>
      </c>
      <c r="N142" s="150">
        <f t="shared" si="14"/>
        <v>5</v>
      </c>
      <c r="O142" s="201" t="str">
        <f t="shared" si="15"/>
        <v>-</v>
      </c>
      <c r="P142" s="202">
        <v>5</v>
      </c>
      <c r="Q142" s="201">
        <v>0</v>
      </c>
      <c r="R142" s="203">
        <f t="shared" si="16"/>
        <v>5</v>
      </c>
      <c r="S142" s="144" t="s">
        <v>57</v>
      </c>
      <c r="T142" s="144" t="s">
        <v>91</v>
      </c>
      <c r="U142" s="144"/>
      <c r="V142" s="144"/>
      <c r="W142" s="94" t="b">
        <f t="shared" si="17"/>
        <v>1</v>
      </c>
    </row>
    <row r="143" spans="2:23" s="65" customFormat="1" ht="12.9" customHeight="1">
      <c r="B143" s="8">
        <f>SUBTOTAL(3,C$4:$C143)</f>
        <v>140</v>
      </c>
      <c r="C143" s="197" t="s">
        <v>77</v>
      </c>
      <c r="D143" s="144">
        <v>2025</v>
      </c>
      <c r="E143" s="144" t="s">
        <v>60</v>
      </c>
      <c r="F143" s="144" t="s">
        <v>56</v>
      </c>
      <c r="G143" s="144" t="s">
        <v>56</v>
      </c>
      <c r="H143" s="144" t="s">
        <v>56</v>
      </c>
      <c r="I143" s="199" t="str">
        <f t="shared" si="12"/>
        <v>-</v>
      </c>
      <c r="J143" s="144">
        <v>1</v>
      </c>
      <c r="K143" s="144" t="s">
        <v>56</v>
      </c>
      <c r="L143" s="144" t="s">
        <v>56</v>
      </c>
      <c r="M143" s="144">
        <f t="shared" si="13"/>
        <v>1</v>
      </c>
      <c r="N143" s="150">
        <f t="shared" si="14"/>
        <v>1</v>
      </c>
      <c r="O143" s="201" t="str">
        <f t="shared" si="15"/>
        <v>-</v>
      </c>
      <c r="P143" s="202">
        <v>1</v>
      </c>
      <c r="Q143" s="201">
        <v>0</v>
      </c>
      <c r="R143" s="203">
        <f t="shared" si="16"/>
        <v>1</v>
      </c>
      <c r="S143" s="144" t="s">
        <v>57</v>
      </c>
      <c r="T143" s="144" t="s">
        <v>91</v>
      </c>
      <c r="U143" s="144"/>
      <c r="V143" s="204">
        <v>45763</v>
      </c>
      <c r="W143" s="94" t="b">
        <f t="shared" si="17"/>
        <v>1</v>
      </c>
    </row>
    <row r="144" spans="2:23" s="65" customFormat="1" ht="12.9" customHeight="1">
      <c r="B144" s="8">
        <f>SUBTOTAL(3,C$4:$C144)</f>
        <v>141</v>
      </c>
      <c r="C144" s="197" t="s">
        <v>54</v>
      </c>
      <c r="D144" s="144">
        <v>2010</v>
      </c>
      <c r="E144" s="144" t="s">
        <v>55</v>
      </c>
      <c r="F144" s="144">
        <v>8</v>
      </c>
      <c r="G144" s="144" t="s">
        <v>56</v>
      </c>
      <c r="H144" s="144" t="s">
        <v>56</v>
      </c>
      <c r="I144" s="199">
        <f t="shared" si="12"/>
        <v>8</v>
      </c>
      <c r="J144" s="144">
        <v>8</v>
      </c>
      <c r="K144" s="144" t="s">
        <v>56</v>
      </c>
      <c r="L144" s="144" t="s">
        <v>56</v>
      </c>
      <c r="M144" s="144">
        <f t="shared" si="13"/>
        <v>8</v>
      </c>
      <c r="N144" s="150">
        <f t="shared" si="14"/>
        <v>8</v>
      </c>
      <c r="O144" s="201" t="str">
        <f t="shared" si="15"/>
        <v>-</v>
      </c>
      <c r="P144" s="202">
        <v>8</v>
      </c>
      <c r="Q144" s="201">
        <v>0</v>
      </c>
      <c r="R144" s="203">
        <f t="shared" si="16"/>
        <v>8</v>
      </c>
      <c r="S144" s="144" t="s">
        <v>57</v>
      </c>
      <c r="T144" s="144" t="s">
        <v>92</v>
      </c>
      <c r="U144" s="144"/>
      <c r="V144" s="144"/>
      <c r="W144" s="94" t="b">
        <f t="shared" si="17"/>
        <v>1</v>
      </c>
    </row>
    <row r="145" spans="2:23" s="65" customFormat="1" ht="12.9" customHeight="1">
      <c r="B145" s="8">
        <f>SUBTOTAL(3,C$4:$C145)</f>
        <v>142</v>
      </c>
      <c r="C145" s="197" t="s">
        <v>59</v>
      </c>
      <c r="D145" s="144">
        <v>2015</v>
      </c>
      <c r="E145" s="144" t="s">
        <v>60</v>
      </c>
      <c r="F145" s="144">
        <v>8</v>
      </c>
      <c r="G145" s="144" t="s">
        <v>56</v>
      </c>
      <c r="H145" s="144" t="s">
        <v>56</v>
      </c>
      <c r="I145" s="199">
        <f t="shared" si="12"/>
        <v>8</v>
      </c>
      <c r="J145" s="144">
        <v>8</v>
      </c>
      <c r="K145" s="144" t="s">
        <v>56</v>
      </c>
      <c r="L145" s="144" t="s">
        <v>56</v>
      </c>
      <c r="M145" s="144">
        <f t="shared" si="13"/>
        <v>8</v>
      </c>
      <c r="N145" s="150">
        <f t="shared" si="14"/>
        <v>8</v>
      </c>
      <c r="O145" s="201" t="str">
        <f t="shared" si="15"/>
        <v>-</v>
      </c>
      <c r="P145" s="202">
        <v>8</v>
      </c>
      <c r="Q145" s="201">
        <v>0</v>
      </c>
      <c r="R145" s="203">
        <f t="shared" si="16"/>
        <v>8</v>
      </c>
      <c r="S145" s="144" t="s">
        <v>57</v>
      </c>
      <c r="T145" s="144" t="s">
        <v>92</v>
      </c>
      <c r="U145" s="144"/>
      <c r="V145" s="144"/>
      <c r="W145" s="94" t="b">
        <f t="shared" si="17"/>
        <v>1</v>
      </c>
    </row>
    <row r="146" spans="2:23" s="65" customFormat="1" ht="12.9" customHeight="1">
      <c r="B146" s="8">
        <f>SUBTOTAL(3,C$4:$C146)</f>
        <v>143</v>
      </c>
      <c r="C146" s="197" t="s">
        <v>61</v>
      </c>
      <c r="D146" s="198" t="s">
        <v>62</v>
      </c>
      <c r="E146" s="144" t="s">
        <v>63</v>
      </c>
      <c r="F146" s="144" t="s">
        <v>56</v>
      </c>
      <c r="G146" s="144" t="s">
        <v>56</v>
      </c>
      <c r="H146" s="144" t="s">
        <v>56</v>
      </c>
      <c r="I146" s="199" t="str">
        <f t="shared" si="12"/>
        <v>-</v>
      </c>
      <c r="J146" s="144">
        <v>8</v>
      </c>
      <c r="K146" s="144" t="s">
        <v>56</v>
      </c>
      <c r="L146" s="144" t="s">
        <v>56</v>
      </c>
      <c r="M146" s="144">
        <f t="shared" si="13"/>
        <v>8</v>
      </c>
      <c r="N146" s="150">
        <f t="shared" si="14"/>
        <v>8</v>
      </c>
      <c r="O146" s="201" t="str">
        <f t="shared" si="15"/>
        <v>-</v>
      </c>
      <c r="P146" s="202">
        <v>8</v>
      </c>
      <c r="Q146" s="201">
        <v>0</v>
      </c>
      <c r="R146" s="203">
        <f t="shared" si="16"/>
        <v>8</v>
      </c>
      <c r="S146" s="144" t="s">
        <v>57</v>
      </c>
      <c r="T146" s="144" t="s">
        <v>92</v>
      </c>
      <c r="U146" s="144"/>
      <c r="V146" s="144"/>
      <c r="W146" s="94" t="b">
        <f t="shared" si="17"/>
        <v>1</v>
      </c>
    </row>
    <row r="147" spans="2:23" s="65" customFormat="1" ht="12.9" customHeight="1">
      <c r="B147" s="8">
        <f>SUBTOTAL(3,C$4:$C147)</f>
        <v>144</v>
      </c>
      <c r="C147" s="197" t="s">
        <v>64</v>
      </c>
      <c r="D147" s="198" t="s">
        <v>62</v>
      </c>
      <c r="E147" s="144" t="s">
        <v>63</v>
      </c>
      <c r="F147" s="144" t="s">
        <v>56</v>
      </c>
      <c r="G147" s="144" t="s">
        <v>56</v>
      </c>
      <c r="H147" s="144" t="s">
        <v>56</v>
      </c>
      <c r="I147" s="199" t="str">
        <f t="shared" si="12"/>
        <v>-</v>
      </c>
      <c r="J147" s="144">
        <v>8</v>
      </c>
      <c r="K147" s="144" t="s">
        <v>56</v>
      </c>
      <c r="L147" s="144" t="s">
        <v>56</v>
      </c>
      <c r="M147" s="144">
        <f t="shared" si="13"/>
        <v>8</v>
      </c>
      <c r="N147" s="150">
        <f t="shared" si="14"/>
        <v>8</v>
      </c>
      <c r="O147" s="201" t="str">
        <f t="shared" si="15"/>
        <v>-</v>
      </c>
      <c r="P147" s="202">
        <v>8</v>
      </c>
      <c r="Q147" s="201">
        <v>0</v>
      </c>
      <c r="R147" s="203">
        <f t="shared" si="16"/>
        <v>8</v>
      </c>
      <c r="S147" s="144" t="s">
        <v>57</v>
      </c>
      <c r="T147" s="144" t="s">
        <v>92</v>
      </c>
      <c r="U147" s="144"/>
      <c r="V147" s="144"/>
      <c r="W147" s="94" t="b">
        <f t="shared" si="17"/>
        <v>1</v>
      </c>
    </row>
    <row r="148" spans="2:23" s="65" customFormat="1" ht="12.9" customHeight="1">
      <c r="B148" s="8">
        <f>SUBTOTAL(3,C$4:$C148)</f>
        <v>145</v>
      </c>
      <c r="C148" s="197" t="s">
        <v>65</v>
      </c>
      <c r="D148" s="144" t="s">
        <v>66</v>
      </c>
      <c r="E148" s="144" t="s">
        <v>67</v>
      </c>
      <c r="F148" s="144">
        <v>8</v>
      </c>
      <c r="G148" s="144" t="s">
        <v>56</v>
      </c>
      <c r="H148" s="144" t="s">
        <v>56</v>
      </c>
      <c r="I148" s="199">
        <f t="shared" si="12"/>
        <v>8</v>
      </c>
      <c r="J148" s="144">
        <v>8</v>
      </c>
      <c r="K148" s="144" t="s">
        <v>56</v>
      </c>
      <c r="L148" s="144" t="s">
        <v>56</v>
      </c>
      <c r="M148" s="144">
        <f t="shared" si="13"/>
        <v>8</v>
      </c>
      <c r="N148" s="150">
        <f t="shared" si="14"/>
        <v>8</v>
      </c>
      <c r="O148" s="201" t="str">
        <f t="shared" si="15"/>
        <v>-</v>
      </c>
      <c r="P148" s="202">
        <v>8</v>
      </c>
      <c r="Q148" s="201">
        <v>0</v>
      </c>
      <c r="R148" s="203">
        <f t="shared" si="16"/>
        <v>8</v>
      </c>
      <c r="S148" s="144" t="s">
        <v>57</v>
      </c>
      <c r="T148" s="144" t="s">
        <v>92</v>
      </c>
      <c r="U148" s="144"/>
      <c r="V148" s="144"/>
      <c r="W148" s="94" t="b">
        <f t="shared" si="17"/>
        <v>1</v>
      </c>
    </row>
    <row r="149" spans="2:23" s="65" customFormat="1" ht="12.9" customHeight="1">
      <c r="B149" s="8">
        <f>SUBTOTAL(3,C$4:$C149)</f>
        <v>146</v>
      </c>
      <c r="C149" s="197" t="s">
        <v>68</v>
      </c>
      <c r="D149" s="144">
        <v>2010</v>
      </c>
      <c r="E149" s="144" t="s">
        <v>55</v>
      </c>
      <c r="F149" s="144">
        <v>4</v>
      </c>
      <c r="G149" s="144" t="s">
        <v>56</v>
      </c>
      <c r="H149" s="144" t="s">
        <v>56</v>
      </c>
      <c r="I149" s="199">
        <f t="shared" si="12"/>
        <v>4</v>
      </c>
      <c r="J149" s="144">
        <v>4</v>
      </c>
      <c r="K149" s="144" t="s">
        <v>56</v>
      </c>
      <c r="L149" s="144" t="s">
        <v>56</v>
      </c>
      <c r="M149" s="144">
        <f t="shared" si="13"/>
        <v>4</v>
      </c>
      <c r="N149" s="150">
        <f t="shared" si="14"/>
        <v>4</v>
      </c>
      <c r="O149" s="201" t="str">
        <f t="shared" si="15"/>
        <v>-</v>
      </c>
      <c r="P149" s="202">
        <v>4</v>
      </c>
      <c r="Q149" s="201">
        <v>0</v>
      </c>
      <c r="R149" s="203">
        <f t="shared" si="16"/>
        <v>4</v>
      </c>
      <c r="S149" s="144" t="s">
        <v>57</v>
      </c>
      <c r="T149" s="144" t="s">
        <v>92</v>
      </c>
      <c r="U149" s="144"/>
      <c r="V149" s="144"/>
      <c r="W149" s="94" t="b">
        <f t="shared" si="17"/>
        <v>1</v>
      </c>
    </row>
    <row r="150" spans="2:23" s="65" customFormat="1" ht="12.9" customHeight="1">
      <c r="B150" s="8">
        <f>SUBTOTAL(3,C$4:$C150)</f>
        <v>147</v>
      </c>
      <c r="C150" s="197" t="s">
        <v>79</v>
      </c>
      <c r="D150" s="144">
        <v>2015</v>
      </c>
      <c r="E150" s="144" t="s">
        <v>55</v>
      </c>
      <c r="F150" s="144">
        <v>4</v>
      </c>
      <c r="G150" s="144" t="s">
        <v>56</v>
      </c>
      <c r="H150" s="144" t="s">
        <v>56</v>
      </c>
      <c r="I150" s="199">
        <f t="shared" si="12"/>
        <v>4</v>
      </c>
      <c r="J150" s="144">
        <v>4</v>
      </c>
      <c r="K150" s="144" t="s">
        <v>56</v>
      </c>
      <c r="L150" s="144" t="s">
        <v>56</v>
      </c>
      <c r="M150" s="144">
        <f t="shared" si="13"/>
        <v>4</v>
      </c>
      <c r="N150" s="150">
        <f t="shared" si="14"/>
        <v>4</v>
      </c>
      <c r="O150" s="201" t="str">
        <f t="shared" si="15"/>
        <v>-</v>
      </c>
      <c r="P150" s="202">
        <v>4</v>
      </c>
      <c r="Q150" s="201">
        <v>0</v>
      </c>
      <c r="R150" s="203">
        <f t="shared" si="16"/>
        <v>4</v>
      </c>
      <c r="S150" s="144" t="s">
        <v>57</v>
      </c>
      <c r="T150" s="144" t="s">
        <v>92</v>
      </c>
      <c r="U150" s="144"/>
      <c r="V150" s="144"/>
      <c r="W150" s="94" t="b">
        <f t="shared" si="17"/>
        <v>1</v>
      </c>
    </row>
    <row r="151" spans="2:23" s="65" customFormat="1" ht="12.9" customHeight="1">
      <c r="B151" s="8">
        <f>SUBTOTAL(3,C$4:$C151)</f>
        <v>148</v>
      </c>
      <c r="C151" s="197" t="s">
        <v>70</v>
      </c>
      <c r="D151" s="144">
        <v>2010</v>
      </c>
      <c r="E151" s="144" t="s">
        <v>71</v>
      </c>
      <c r="F151" s="144">
        <v>4</v>
      </c>
      <c r="G151" s="144" t="s">
        <v>56</v>
      </c>
      <c r="H151" s="144" t="s">
        <v>56</v>
      </c>
      <c r="I151" s="199">
        <f t="shared" si="12"/>
        <v>4</v>
      </c>
      <c r="J151" s="144">
        <v>4</v>
      </c>
      <c r="K151" s="144" t="s">
        <v>56</v>
      </c>
      <c r="L151" s="144" t="s">
        <v>56</v>
      </c>
      <c r="M151" s="144">
        <f t="shared" si="13"/>
        <v>4</v>
      </c>
      <c r="N151" s="150">
        <f t="shared" si="14"/>
        <v>4</v>
      </c>
      <c r="O151" s="201" t="str">
        <f t="shared" si="15"/>
        <v>-</v>
      </c>
      <c r="P151" s="202">
        <v>4</v>
      </c>
      <c r="Q151" s="201">
        <v>0</v>
      </c>
      <c r="R151" s="203">
        <f t="shared" si="16"/>
        <v>4</v>
      </c>
      <c r="S151" s="144" t="s">
        <v>57</v>
      </c>
      <c r="T151" s="144" t="s">
        <v>92</v>
      </c>
      <c r="U151" s="144"/>
      <c r="V151" s="144"/>
      <c r="W151" s="94" t="b">
        <f t="shared" si="17"/>
        <v>1</v>
      </c>
    </row>
    <row r="152" spans="2:23" s="65" customFormat="1" ht="12.9" customHeight="1">
      <c r="B152" s="8">
        <f>SUBTOTAL(3,C$4:$C152)</f>
        <v>149</v>
      </c>
      <c r="C152" s="197" t="s">
        <v>72</v>
      </c>
      <c r="D152" s="144">
        <v>2010</v>
      </c>
      <c r="E152" s="144" t="s">
        <v>67</v>
      </c>
      <c r="F152" s="144">
        <v>2</v>
      </c>
      <c r="G152" s="144" t="s">
        <v>56</v>
      </c>
      <c r="H152" s="144" t="s">
        <v>56</v>
      </c>
      <c r="I152" s="199">
        <f t="shared" si="12"/>
        <v>2</v>
      </c>
      <c r="J152" s="144">
        <v>2</v>
      </c>
      <c r="K152" s="144" t="s">
        <v>56</v>
      </c>
      <c r="L152" s="144" t="s">
        <v>56</v>
      </c>
      <c r="M152" s="144">
        <f t="shared" si="13"/>
        <v>2</v>
      </c>
      <c r="N152" s="150">
        <f t="shared" si="14"/>
        <v>2</v>
      </c>
      <c r="O152" s="201" t="str">
        <f t="shared" si="15"/>
        <v>-</v>
      </c>
      <c r="P152" s="202">
        <v>2</v>
      </c>
      <c r="Q152" s="201">
        <v>0</v>
      </c>
      <c r="R152" s="203">
        <f t="shared" si="16"/>
        <v>2</v>
      </c>
      <c r="S152" s="144" t="s">
        <v>57</v>
      </c>
      <c r="T152" s="144" t="s">
        <v>92</v>
      </c>
      <c r="U152" s="144"/>
      <c r="V152" s="144"/>
      <c r="W152" s="94" t="b">
        <f t="shared" si="17"/>
        <v>1</v>
      </c>
    </row>
    <row r="153" spans="2:23" s="65" customFormat="1" ht="12.9" customHeight="1">
      <c r="B153" s="8">
        <f>SUBTOTAL(3,C$4:$C153)</f>
        <v>150</v>
      </c>
      <c r="C153" s="197" t="s">
        <v>73</v>
      </c>
      <c r="D153" s="144">
        <v>2010</v>
      </c>
      <c r="E153" s="144" t="s">
        <v>63</v>
      </c>
      <c r="F153" s="144">
        <v>1</v>
      </c>
      <c r="G153" s="144" t="s">
        <v>56</v>
      </c>
      <c r="H153" s="144" t="s">
        <v>56</v>
      </c>
      <c r="I153" s="199">
        <f t="shared" si="12"/>
        <v>1</v>
      </c>
      <c r="J153" s="144">
        <v>1</v>
      </c>
      <c r="K153" s="144" t="s">
        <v>56</v>
      </c>
      <c r="L153" s="144" t="s">
        <v>56</v>
      </c>
      <c r="M153" s="144">
        <f t="shared" si="13"/>
        <v>1</v>
      </c>
      <c r="N153" s="150">
        <f t="shared" si="14"/>
        <v>1</v>
      </c>
      <c r="O153" s="201" t="str">
        <f t="shared" si="15"/>
        <v>-</v>
      </c>
      <c r="P153" s="202">
        <v>1</v>
      </c>
      <c r="Q153" s="201">
        <v>0</v>
      </c>
      <c r="R153" s="203">
        <f t="shared" si="16"/>
        <v>1</v>
      </c>
      <c r="S153" s="144" t="s">
        <v>57</v>
      </c>
      <c r="T153" s="144" t="s">
        <v>92</v>
      </c>
      <c r="U153" s="144"/>
      <c r="V153" s="144"/>
      <c r="W153" s="94" t="b">
        <f t="shared" si="17"/>
        <v>1</v>
      </c>
    </row>
    <row r="154" spans="2:23" s="65" customFormat="1" ht="12.9" customHeight="1">
      <c r="B154" s="8">
        <f>SUBTOTAL(3,C$4:$C154)</f>
        <v>151</v>
      </c>
      <c r="C154" s="197" t="s">
        <v>74</v>
      </c>
      <c r="D154" s="144">
        <v>2018</v>
      </c>
      <c r="E154" s="144" t="s">
        <v>60</v>
      </c>
      <c r="F154" s="144">
        <v>4</v>
      </c>
      <c r="G154" s="144" t="s">
        <v>56</v>
      </c>
      <c r="H154" s="144" t="s">
        <v>56</v>
      </c>
      <c r="I154" s="199">
        <f t="shared" si="12"/>
        <v>4</v>
      </c>
      <c r="J154" s="144">
        <v>4</v>
      </c>
      <c r="K154" s="144" t="s">
        <v>56</v>
      </c>
      <c r="L154" s="144" t="s">
        <v>56</v>
      </c>
      <c r="M154" s="144">
        <f t="shared" si="13"/>
        <v>4</v>
      </c>
      <c r="N154" s="150">
        <f t="shared" si="14"/>
        <v>4</v>
      </c>
      <c r="O154" s="201" t="str">
        <f t="shared" si="15"/>
        <v>-</v>
      </c>
      <c r="P154" s="202">
        <v>4</v>
      </c>
      <c r="Q154" s="201">
        <v>0</v>
      </c>
      <c r="R154" s="203">
        <f t="shared" si="16"/>
        <v>4</v>
      </c>
      <c r="S154" s="144" t="s">
        <v>57</v>
      </c>
      <c r="T154" s="144" t="s">
        <v>92</v>
      </c>
      <c r="U154" s="144"/>
      <c r="V154" s="144"/>
      <c r="W154" s="94" t="b">
        <f t="shared" si="17"/>
        <v>1</v>
      </c>
    </row>
    <row r="155" spans="2:23" s="65" customFormat="1" ht="12.9" customHeight="1">
      <c r="B155" s="8">
        <f>SUBTOTAL(3,C$4:$C155)</f>
        <v>152</v>
      </c>
      <c r="C155" s="197" t="s">
        <v>75</v>
      </c>
      <c r="D155" s="144">
        <v>2010</v>
      </c>
      <c r="E155" s="144" t="s">
        <v>60</v>
      </c>
      <c r="F155" s="144">
        <v>4</v>
      </c>
      <c r="G155" s="144" t="s">
        <v>56</v>
      </c>
      <c r="H155" s="144" t="s">
        <v>56</v>
      </c>
      <c r="I155" s="199">
        <f t="shared" si="12"/>
        <v>4</v>
      </c>
      <c r="J155" s="144">
        <v>4</v>
      </c>
      <c r="K155" s="144" t="s">
        <v>56</v>
      </c>
      <c r="L155" s="144" t="s">
        <v>56</v>
      </c>
      <c r="M155" s="144">
        <f t="shared" si="13"/>
        <v>4</v>
      </c>
      <c r="N155" s="150">
        <f t="shared" si="14"/>
        <v>4</v>
      </c>
      <c r="O155" s="201" t="str">
        <f t="shared" si="15"/>
        <v>-</v>
      </c>
      <c r="P155" s="202">
        <v>4</v>
      </c>
      <c r="Q155" s="201">
        <v>0</v>
      </c>
      <c r="R155" s="203">
        <f t="shared" si="16"/>
        <v>4</v>
      </c>
      <c r="S155" s="144" t="s">
        <v>57</v>
      </c>
      <c r="T155" s="144" t="s">
        <v>92</v>
      </c>
      <c r="U155" s="144"/>
      <c r="V155" s="144"/>
      <c r="W155" s="94" t="b">
        <f t="shared" si="17"/>
        <v>1</v>
      </c>
    </row>
    <row r="156" spans="2:23" s="65" customFormat="1" ht="12.9" customHeight="1">
      <c r="B156" s="8">
        <f>SUBTOTAL(3,C$4:$C156)</f>
        <v>153</v>
      </c>
      <c r="C156" s="197" t="s">
        <v>76</v>
      </c>
      <c r="D156" s="144">
        <v>2010</v>
      </c>
      <c r="E156" s="144" t="s">
        <v>60</v>
      </c>
      <c r="F156" s="144">
        <v>5</v>
      </c>
      <c r="G156" s="144" t="s">
        <v>56</v>
      </c>
      <c r="H156" s="144" t="s">
        <v>56</v>
      </c>
      <c r="I156" s="199">
        <f t="shared" si="12"/>
        <v>5</v>
      </c>
      <c r="J156" s="144">
        <v>5</v>
      </c>
      <c r="K156" s="144" t="s">
        <v>56</v>
      </c>
      <c r="L156" s="144" t="s">
        <v>56</v>
      </c>
      <c r="M156" s="144">
        <f t="shared" si="13"/>
        <v>5</v>
      </c>
      <c r="N156" s="150">
        <f t="shared" si="14"/>
        <v>5</v>
      </c>
      <c r="O156" s="201" t="str">
        <f t="shared" si="15"/>
        <v>-</v>
      </c>
      <c r="P156" s="202">
        <v>5</v>
      </c>
      <c r="Q156" s="201">
        <v>0</v>
      </c>
      <c r="R156" s="203">
        <f t="shared" si="16"/>
        <v>5</v>
      </c>
      <c r="S156" s="144" t="s">
        <v>57</v>
      </c>
      <c r="T156" s="144" t="s">
        <v>92</v>
      </c>
      <c r="U156" s="144"/>
      <c r="V156" s="144"/>
      <c r="W156" s="94" t="b">
        <f t="shared" si="17"/>
        <v>1</v>
      </c>
    </row>
    <row r="157" spans="2:23" s="65" customFormat="1" ht="12.9" customHeight="1">
      <c r="B157" s="8">
        <f>SUBTOTAL(3,C$4:$C157)</f>
        <v>154</v>
      </c>
      <c r="C157" s="197" t="s">
        <v>77</v>
      </c>
      <c r="D157" s="144">
        <v>2025</v>
      </c>
      <c r="E157" s="144" t="s">
        <v>60</v>
      </c>
      <c r="F157" s="144" t="s">
        <v>56</v>
      </c>
      <c r="G157" s="144" t="s">
        <v>56</v>
      </c>
      <c r="H157" s="144" t="s">
        <v>56</v>
      </c>
      <c r="I157" s="199" t="str">
        <f t="shared" si="12"/>
        <v>-</v>
      </c>
      <c r="J157" s="144">
        <v>1</v>
      </c>
      <c r="K157" s="144" t="s">
        <v>56</v>
      </c>
      <c r="L157" s="144" t="s">
        <v>56</v>
      </c>
      <c r="M157" s="144">
        <f t="shared" si="13"/>
        <v>1</v>
      </c>
      <c r="N157" s="150">
        <f t="shared" si="14"/>
        <v>1</v>
      </c>
      <c r="O157" s="201" t="str">
        <f t="shared" si="15"/>
        <v>-</v>
      </c>
      <c r="P157" s="202">
        <v>1</v>
      </c>
      <c r="Q157" s="201">
        <v>0</v>
      </c>
      <c r="R157" s="203">
        <f t="shared" si="16"/>
        <v>1</v>
      </c>
      <c r="S157" s="144" t="s">
        <v>57</v>
      </c>
      <c r="T157" s="144" t="s">
        <v>92</v>
      </c>
      <c r="U157" s="144"/>
      <c r="V157" s="204">
        <v>45763</v>
      </c>
      <c r="W157" s="94" t="b">
        <f t="shared" si="17"/>
        <v>1</v>
      </c>
    </row>
    <row r="158" spans="2:23" ht="12.9" customHeight="1">
      <c r="B158" s="8">
        <f>SUBTOTAL(3,C$4:$C158)</f>
        <v>155</v>
      </c>
      <c r="C158" s="197" t="s">
        <v>93</v>
      </c>
      <c r="D158" s="144"/>
      <c r="E158" s="144" t="s">
        <v>71</v>
      </c>
      <c r="F158" s="144">
        <v>6</v>
      </c>
      <c r="G158" s="144" t="s">
        <v>56</v>
      </c>
      <c r="H158" s="144" t="s">
        <v>56</v>
      </c>
      <c r="I158" s="203">
        <f t="shared" si="12"/>
        <v>6</v>
      </c>
      <c r="J158" s="144">
        <v>6</v>
      </c>
      <c r="K158" s="144" t="s">
        <v>56</v>
      </c>
      <c r="L158" s="144" t="s">
        <v>56</v>
      </c>
      <c r="M158" s="144">
        <f t="shared" si="13"/>
        <v>6</v>
      </c>
      <c r="N158" s="150">
        <f t="shared" si="14"/>
        <v>6</v>
      </c>
      <c r="O158" s="201" t="str">
        <f t="shared" si="15"/>
        <v>-</v>
      </c>
      <c r="P158" s="202">
        <v>6</v>
      </c>
      <c r="Q158" s="201">
        <v>0</v>
      </c>
      <c r="R158" s="150">
        <f t="shared" si="16"/>
        <v>6</v>
      </c>
      <c r="S158" s="144" t="s">
        <v>94</v>
      </c>
      <c r="T158" s="144" t="s">
        <v>95</v>
      </c>
      <c r="U158" s="144"/>
      <c r="V158" s="144"/>
      <c r="W158" s="94" t="b">
        <f t="shared" si="17"/>
        <v>1</v>
      </c>
    </row>
    <row r="159" spans="2:23" ht="12.9" customHeight="1">
      <c r="B159" s="8">
        <f>SUBTOTAL(3,C$4:$C159)</f>
        <v>156</v>
      </c>
      <c r="C159" s="197" t="s">
        <v>79</v>
      </c>
      <c r="D159" s="144">
        <v>2015</v>
      </c>
      <c r="E159" s="144" t="s">
        <v>55</v>
      </c>
      <c r="F159" s="144">
        <v>2</v>
      </c>
      <c r="G159" s="144" t="s">
        <v>56</v>
      </c>
      <c r="H159" s="144" t="s">
        <v>56</v>
      </c>
      <c r="I159" s="199">
        <f t="shared" si="12"/>
        <v>2</v>
      </c>
      <c r="J159" s="207">
        <v>2</v>
      </c>
      <c r="K159" s="207" t="s">
        <v>56</v>
      </c>
      <c r="L159" s="207" t="s">
        <v>56</v>
      </c>
      <c r="M159" s="207">
        <f t="shared" si="13"/>
        <v>2</v>
      </c>
      <c r="N159" s="150">
        <f t="shared" si="14"/>
        <v>2</v>
      </c>
      <c r="O159" s="201" t="str">
        <f t="shared" si="15"/>
        <v>-</v>
      </c>
      <c r="P159" s="202">
        <v>2</v>
      </c>
      <c r="Q159" s="201">
        <v>0</v>
      </c>
      <c r="R159" s="203">
        <f t="shared" si="16"/>
        <v>2</v>
      </c>
      <c r="S159" s="144" t="s">
        <v>96</v>
      </c>
      <c r="T159" s="144" t="s">
        <v>96</v>
      </c>
      <c r="U159" s="144"/>
      <c r="V159" s="144"/>
      <c r="W159" s="94" t="b">
        <f t="shared" si="17"/>
        <v>1</v>
      </c>
    </row>
    <row r="160" spans="2:23" ht="12.9" customHeight="1">
      <c r="B160" s="8">
        <f>SUBTOTAL(3,C$4:$C160)</f>
        <v>157</v>
      </c>
      <c r="C160" s="197" t="s">
        <v>97</v>
      </c>
      <c r="D160" s="144">
        <v>2010</v>
      </c>
      <c r="E160" s="144" t="s">
        <v>55</v>
      </c>
      <c r="F160" s="144">
        <v>8</v>
      </c>
      <c r="G160" s="144" t="s">
        <v>56</v>
      </c>
      <c r="H160" s="144" t="s">
        <v>56</v>
      </c>
      <c r="I160" s="199">
        <f t="shared" si="12"/>
        <v>8</v>
      </c>
      <c r="J160" s="207">
        <v>8</v>
      </c>
      <c r="K160" s="207" t="s">
        <v>56</v>
      </c>
      <c r="L160" s="207" t="s">
        <v>56</v>
      </c>
      <c r="M160" s="207">
        <f t="shared" si="13"/>
        <v>8</v>
      </c>
      <c r="N160" s="150">
        <f t="shared" si="14"/>
        <v>8</v>
      </c>
      <c r="O160" s="201" t="str">
        <f t="shared" si="15"/>
        <v>-</v>
      </c>
      <c r="P160" s="202">
        <v>8</v>
      </c>
      <c r="Q160" s="201">
        <v>0</v>
      </c>
      <c r="R160" s="203">
        <f t="shared" si="16"/>
        <v>8</v>
      </c>
      <c r="S160" s="144" t="s">
        <v>96</v>
      </c>
      <c r="T160" s="144" t="s">
        <v>96</v>
      </c>
      <c r="U160" s="144"/>
      <c r="V160" s="144"/>
      <c r="W160" s="94" t="b">
        <f t="shared" si="17"/>
        <v>1</v>
      </c>
    </row>
    <row r="161" spans="2:23" ht="12.9" customHeight="1">
      <c r="B161" s="8">
        <f>SUBTOTAL(3,C$4:$C161)</f>
        <v>158</v>
      </c>
      <c r="C161" s="197" t="s">
        <v>98</v>
      </c>
      <c r="D161" s="144">
        <v>2010</v>
      </c>
      <c r="E161" s="144" t="s">
        <v>55</v>
      </c>
      <c r="F161" s="144">
        <v>1</v>
      </c>
      <c r="G161" s="144" t="s">
        <v>56</v>
      </c>
      <c r="H161" s="144" t="s">
        <v>56</v>
      </c>
      <c r="I161" s="199">
        <f t="shared" si="12"/>
        <v>1</v>
      </c>
      <c r="J161" s="207">
        <v>1</v>
      </c>
      <c r="K161" s="207" t="s">
        <v>56</v>
      </c>
      <c r="L161" s="207" t="s">
        <v>56</v>
      </c>
      <c r="M161" s="207">
        <f t="shared" si="13"/>
        <v>1</v>
      </c>
      <c r="N161" s="150">
        <f t="shared" si="14"/>
        <v>1</v>
      </c>
      <c r="O161" s="201" t="str">
        <f t="shared" si="15"/>
        <v>-</v>
      </c>
      <c r="P161" s="202">
        <v>1</v>
      </c>
      <c r="Q161" s="201">
        <v>0</v>
      </c>
      <c r="R161" s="203">
        <f t="shared" si="16"/>
        <v>1</v>
      </c>
      <c r="S161" s="144" t="s">
        <v>96</v>
      </c>
      <c r="T161" s="144" t="s">
        <v>96</v>
      </c>
      <c r="U161" s="144"/>
      <c r="V161" s="144"/>
      <c r="W161" s="94" t="b">
        <f t="shared" si="17"/>
        <v>1</v>
      </c>
    </row>
    <row r="162" spans="2:23" ht="12.9" customHeight="1">
      <c r="B162" s="8">
        <f>SUBTOTAL(3,C$4:$C162)</f>
        <v>159</v>
      </c>
      <c r="C162" s="197" t="s">
        <v>99</v>
      </c>
      <c r="D162" s="144">
        <v>2010</v>
      </c>
      <c r="E162" s="144" t="s">
        <v>55</v>
      </c>
      <c r="F162" s="144">
        <v>42</v>
      </c>
      <c r="G162" s="144" t="s">
        <v>56</v>
      </c>
      <c r="H162" s="144" t="s">
        <v>56</v>
      </c>
      <c r="I162" s="199">
        <f t="shared" si="12"/>
        <v>42</v>
      </c>
      <c r="J162" s="207">
        <v>48</v>
      </c>
      <c r="K162" s="207" t="s">
        <v>56</v>
      </c>
      <c r="L162" s="207" t="s">
        <v>56</v>
      </c>
      <c r="M162" s="207">
        <f t="shared" si="13"/>
        <v>48</v>
      </c>
      <c r="N162" s="150">
        <f t="shared" si="14"/>
        <v>48</v>
      </c>
      <c r="O162" s="201" t="str">
        <f t="shared" si="15"/>
        <v>-</v>
      </c>
      <c r="P162" s="202">
        <v>48</v>
      </c>
      <c r="Q162" s="201">
        <v>0</v>
      </c>
      <c r="R162" s="203">
        <f t="shared" si="16"/>
        <v>48</v>
      </c>
      <c r="S162" s="144" t="s">
        <v>96</v>
      </c>
      <c r="T162" s="144" t="s">
        <v>96</v>
      </c>
      <c r="U162" s="144"/>
      <c r="V162" s="144"/>
      <c r="W162" s="94" t="b">
        <f t="shared" si="17"/>
        <v>1</v>
      </c>
    </row>
    <row r="163" spans="2:23" ht="12.9" customHeight="1">
      <c r="B163" s="8">
        <f>SUBTOTAL(3,C$4:$C163)</f>
        <v>160</v>
      </c>
      <c r="C163" s="206" t="s">
        <v>100</v>
      </c>
      <c r="D163" s="144">
        <v>2010</v>
      </c>
      <c r="E163" s="144" t="s">
        <v>63</v>
      </c>
      <c r="F163" s="144">
        <v>7</v>
      </c>
      <c r="G163" s="144" t="s">
        <v>56</v>
      </c>
      <c r="H163" s="144" t="s">
        <v>56</v>
      </c>
      <c r="I163" s="199">
        <f t="shared" si="12"/>
        <v>7</v>
      </c>
      <c r="J163" s="144">
        <v>5</v>
      </c>
      <c r="K163" s="207" t="s">
        <v>56</v>
      </c>
      <c r="L163" s="207" t="s">
        <v>56</v>
      </c>
      <c r="M163" s="144">
        <f t="shared" si="13"/>
        <v>5</v>
      </c>
      <c r="N163" s="150">
        <f t="shared" si="14"/>
        <v>5</v>
      </c>
      <c r="O163" s="201" t="str">
        <f t="shared" si="15"/>
        <v>-</v>
      </c>
      <c r="P163" s="202">
        <v>0</v>
      </c>
      <c r="Q163" s="201">
        <v>0</v>
      </c>
      <c r="R163" s="203">
        <f t="shared" si="16"/>
        <v>0</v>
      </c>
      <c r="S163" s="144" t="s">
        <v>96</v>
      </c>
      <c r="T163" s="144" t="s">
        <v>96</v>
      </c>
      <c r="U163" s="144"/>
      <c r="V163" s="144"/>
      <c r="W163" s="205" t="b">
        <f t="shared" si="17"/>
        <v>0</v>
      </c>
    </row>
    <row r="164" spans="2:23" ht="12.9" customHeight="1">
      <c r="B164" s="8">
        <f>SUBTOTAL(3,C$4:$C164)</f>
        <v>161</v>
      </c>
      <c r="C164" s="197" t="s">
        <v>101</v>
      </c>
      <c r="D164" s="144">
        <v>2010</v>
      </c>
      <c r="E164" s="144" t="s">
        <v>67</v>
      </c>
      <c r="F164" s="144">
        <v>5</v>
      </c>
      <c r="G164" s="144" t="s">
        <v>56</v>
      </c>
      <c r="H164" s="144" t="s">
        <v>56</v>
      </c>
      <c r="I164" s="199">
        <f t="shared" si="12"/>
        <v>5</v>
      </c>
      <c r="J164" s="207">
        <f>5+3</f>
        <v>8</v>
      </c>
      <c r="K164" s="207" t="s">
        <v>56</v>
      </c>
      <c r="L164" s="207" t="s">
        <v>56</v>
      </c>
      <c r="M164" s="207">
        <f t="shared" si="13"/>
        <v>8</v>
      </c>
      <c r="N164" s="150">
        <f t="shared" si="14"/>
        <v>8</v>
      </c>
      <c r="O164" s="201" t="str">
        <f t="shared" si="15"/>
        <v>-</v>
      </c>
      <c r="P164" s="202">
        <v>8</v>
      </c>
      <c r="Q164" s="201">
        <v>0</v>
      </c>
      <c r="R164" s="203">
        <f t="shared" si="16"/>
        <v>8</v>
      </c>
      <c r="S164" s="144" t="s">
        <v>96</v>
      </c>
      <c r="T164" s="144" t="s">
        <v>96</v>
      </c>
      <c r="U164" s="144"/>
      <c r="V164" s="204">
        <v>45887</v>
      </c>
      <c r="W164" s="94" t="b">
        <f t="shared" si="17"/>
        <v>1</v>
      </c>
    </row>
    <row r="165" spans="2:23" ht="12.9" customHeight="1">
      <c r="B165" s="8">
        <f>SUBTOTAL(3,C$4:$C165)</f>
        <v>162</v>
      </c>
      <c r="C165" s="206" t="s">
        <v>102</v>
      </c>
      <c r="D165" s="144">
        <v>2010</v>
      </c>
      <c r="E165" s="144" t="s">
        <v>60</v>
      </c>
      <c r="F165" s="144">
        <v>61</v>
      </c>
      <c r="G165" s="144" t="s">
        <v>56</v>
      </c>
      <c r="H165" s="144" t="s">
        <v>56</v>
      </c>
      <c r="I165" s="199">
        <f t="shared" si="12"/>
        <v>61</v>
      </c>
      <c r="J165" s="144">
        <v>61</v>
      </c>
      <c r="K165" s="207" t="s">
        <v>56</v>
      </c>
      <c r="L165" s="207" t="s">
        <v>56</v>
      </c>
      <c r="M165" s="144">
        <f t="shared" si="13"/>
        <v>61</v>
      </c>
      <c r="N165" s="150">
        <f t="shared" si="14"/>
        <v>61</v>
      </c>
      <c r="O165" s="201" t="str">
        <f t="shared" si="15"/>
        <v>-</v>
      </c>
      <c r="P165" s="202">
        <f>35+26</f>
        <v>61</v>
      </c>
      <c r="Q165" s="201">
        <v>0</v>
      </c>
      <c r="R165" s="203">
        <f t="shared" si="16"/>
        <v>61</v>
      </c>
      <c r="S165" s="144" t="s">
        <v>96</v>
      </c>
      <c r="T165" s="144" t="s">
        <v>96</v>
      </c>
      <c r="U165" s="144"/>
      <c r="V165" s="144"/>
      <c r="W165" s="94" t="b">
        <f t="shared" si="17"/>
        <v>1</v>
      </c>
    </row>
    <row r="166" spans="2:23" ht="12.9" customHeight="1">
      <c r="B166" s="8">
        <f>SUBTOTAL(3,C$4:$C166)</f>
        <v>163</v>
      </c>
      <c r="C166" s="206" t="s">
        <v>103</v>
      </c>
      <c r="D166" s="144">
        <v>2010</v>
      </c>
      <c r="E166" s="144" t="s">
        <v>60</v>
      </c>
      <c r="F166" s="144">
        <v>40</v>
      </c>
      <c r="G166" s="144" t="s">
        <v>56</v>
      </c>
      <c r="H166" s="144" t="s">
        <v>56</v>
      </c>
      <c r="I166" s="199">
        <f t="shared" si="12"/>
        <v>40</v>
      </c>
      <c r="J166" s="144">
        <f>19+22</f>
        <v>41</v>
      </c>
      <c r="K166" s="207" t="s">
        <v>56</v>
      </c>
      <c r="L166" s="207" t="s">
        <v>56</v>
      </c>
      <c r="M166" s="144">
        <f t="shared" si="13"/>
        <v>41</v>
      </c>
      <c r="N166" s="150">
        <f t="shared" si="14"/>
        <v>41</v>
      </c>
      <c r="O166" s="201" t="str">
        <f t="shared" si="15"/>
        <v>-</v>
      </c>
      <c r="P166" s="202">
        <v>41</v>
      </c>
      <c r="Q166" s="201">
        <v>0</v>
      </c>
      <c r="R166" s="203">
        <f t="shared" si="16"/>
        <v>41</v>
      </c>
      <c r="S166" s="144" t="s">
        <v>96</v>
      </c>
      <c r="T166" s="144" t="s">
        <v>96</v>
      </c>
      <c r="U166" s="144"/>
      <c r="V166" s="144"/>
      <c r="W166" s="94" t="b">
        <f t="shared" si="17"/>
        <v>1</v>
      </c>
    </row>
    <row r="167" spans="2:23" ht="12.9" customHeight="1">
      <c r="B167" s="8">
        <f>SUBTOTAL(3,C$4:$C167)</f>
        <v>164</v>
      </c>
      <c r="C167" s="206" t="s">
        <v>104</v>
      </c>
      <c r="D167" s="144" t="s">
        <v>105</v>
      </c>
      <c r="E167" s="144" t="s">
        <v>60</v>
      </c>
      <c r="F167" s="144">
        <v>37</v>
      </c>
      <c r="G167" s="144" t="s">
        <v>56</v>
      </c>
      <c r="H167" s="144" t="s">
        <v>56</v>
      </c>
      <c r="I167" s="199">
        <f t="shared" si="12"/>
        <v>37</v>
      </c>
      <c r="J167" s="144">
        <f>33+80</f>
        <v>113</v>
      </c>
      <c r="K167" s="144" t="s">
        <v>56</v>
      </c>
      <c r="L167" s="144">
        <v>7</v>
      </c>
      <c r="M167" s="144">
        <f t="shared" si="13"/>
        <v>120</v>
      </c>
      <c r="N167" s="150">
        <f t="shared" si="14"/>
        <v>113</v>
      </c>
      <c r="O167" s="201">
        <f t="shared" si="15"/>
        <v>7</v>
      </c>
      <c r="P167" s="202">
        <v>113</v>
      </c>
      <c r="Q167" s="201">
        <v>0</v>
      </c>
      <c r="R167" s="203">
        <f t="shared" si="16"/>
        <v>113</v>
      </c>
      <c r="S167" s="144" t="s">
        <v>96</v>
      </c>
      <c r="T167" s="144" t="s">
        <v>96</v>
      </c>
      <c r="U167" s="144"/>
      <c r="V167" s="204">
        <v>45791</v>
      </c>
      <c r="W167" s="94" t="b">
        <f t="shared" si="17"/>
        <v>1</v>
      </c>
    </row>
    <row r="168" spans="2:23" ht="12.9" customHeight="1">
      <c r="B168" s="8">
        <f>SUBTOTAL(3,C$4:$C168)</f>
        <v>165</v>
      </c>
      <c r="C168" s="197" t="s">
        <v>106</v>
      </c>
      <c r="D168" s="144">
        <v>2010</v>
      </c>
      <c r="E168" s="144" t="s">
        <v>60</v>
      </c>
      <c r="F168" s="144">
        <v>8</v>
      </c>
      <c r="G168" s="144" t="s">
        <v>56</v>
      </c>
      <c r="H168" s="144" t="s">
        <v>56</v>
      </c>
      <c r="I168" s="199">
        <f t="shared" si="12"/>
        <v>8</v>
      </c>
      <c r="J168" s="144">
        <v>8</v>
      </c>
      <c r="K168" s="144" t="s">
        <v>56</v>
      </c>
      <c r="L168" s="144" t="s">
        <v>56</v>
      </c>
      <c r="M168" s="144">
        <f t="shared" si="13"/>
        <v>8</v>
      </c>
      <c r="N168" s="203">
        <f t="shared" si="14"/>
        <v>8</v>
      </c>
      <c r="O168" s="201" t="str">
        <f t="shared" si="15"/>
        <v>-</v>
      </c>
      <c r="P168" s="202">
        <v>3</v>
      </c>
      <c r="Q168" s="202">
        <v>5</v>
      </c>
      <c r="R168" s="203">
        <f t="shared" si="16"/>
        <v>8</v>
      </c>
      <c r="S168" s="144" t="s">
        <v>96</v>
      </c>
      <c r="T168" s="144" t="s">
        <v>96</v>
      </c>
      <c r="U168" s="144"/>
      <c r="V168" s="144"/>
      <c r="W168" s="205" t="b">
        <f t="shared" si="17"/>
        <v>0</v>
      </c>
    </row>
    <row r="169" spans="2:23" ht="12.9" customHeight="1">
      <c r="B169" s="8">
        <f>SUBTOTAL(3,C$4:$C169)</f>
        <v>166</v>
      </c>
      <c r="C169" s="197" t="s">
        <v>107</v>
      </c>
      <c r="D169" s="144" t="s">
        <v>66</v>
      </c>
      <c r="E169" s="144" t="s">
        <v>60</v>
      </c>
      <c r="F169" s="144">
        <v>27</v>
      </c>
      <c r="G169" s="144" t="s">
        <v>56</v>
      </c>
      <c r="H169" s="144" t="s">
        <v>56</v>
      </c>
      <c r="I169" s="199">
        <f t="shared" si="12"/>
        <v>27</v>
      </c>
      <c r="J169" s="144">
        <f>30+60+144</f>
        <v>234</v>
      </c>
      <c r="K169" s="144" t="s">
        <v>56</v>
      </c>
      <c r="L169" s="144" t="s">
        <v>56</v>
      </c>
      <c r="M169" s="144">
        <f t="shared" si="13"/>
        <v>234</v>
      </c>
      <c r="N169" s="203">
        <f t="shared" si="14"/>
        <v>234</v>
      </c>
      <c r="O169" s="201" t="str">
        <f t="shared" si="15"/>
        <v>-</v>
      </c>
      <c r="P169" s="202">
        <v>216</v>
      </c>
      <c r="Q169" s="202">
        <v>18</v>
      </c>
      <c r="R169" s="203">
        <f t="shared" si="16"/>
        <v>234</v>
      </c>
      <c r="S169" s="144" t="s">
        <v>96</v>
      </c>
      <c r="T169" s="144" t="s">
        <v>96</v>
      </c>
      <c r="U169" s="144" t="s">
        <v>108</v>
      </c>
      <c r="V169" s="204" t="s">
        <v>109</v>
      </c>
      <c r="W169" s="205" t="b">
        <f t="shared" si="17"/>
        <v>0</v>
      </c>
    </row>
    <row r="170" spans="2:23" ht="12.9" customHeight="1">
      <c r="B170" s="8">
        <f>SUBTOTAL(3,C$4:$C170)</f>
        <v>167</v>
      </c>
      <c r="C170" s="197" t="s">
        <v>110</v>
      </c>
      <c r="D170" s="144" t="s">
        <v>66</v>
      </c>
      <c r="E170" s="144" t="s">
        <v>60</v>
      </c>
      <c r="F170" s="144">
        <v>32</v>
      </c>
      <c r="G170" s="144" t="s">
        <v>56</v>
      </c>
      <c r="H170" s="144" t="s">
        <v>56</v>
      </c>
      <c r="I170" s="199">
        <f t="shared" si="12"/>
        <v>32</v>
      </c>
      <c r="J170" s="144">
        <v>5</v>
      </c>
      <c r="K170" s="144" t="s">
        <v>56</v>
      </c>
      <c r="L170" s="144" t="s">
        <v>56</v>
      </c>
      <c r="M170" s="144">
        <f t="shared" si="13"/>
        <v>5</v>
      </c>
      <c r="N170" s="203">
        <f t="shared" si="14"/>
        <v>5</v>
      </c>
      <c r="O170" s="201" t="str">
        <f t="shared" si="15"/>
        <v>-</v>
      </c>
      <c r="P170" s="202">
        <v>0</v>
      </c>
      <c r="Q170" s="201">
        <v>0</v>
      </c>
      <c r="R170" s="203">
        <f t="shared" si="16"/>
        <v>0</v>
      </c>
      <c r="S170" s="144" t="s">
        <v>96</v>
      </c>
      <c r="T170" s="144" t="s">
        <v>96</v>
      </c>
      <c r="U170" s="144" t="s">
        <v>111</v>
      </c>
      <c r="V170" s="144"/>
      <c r="W170" s="205" t="b">
        <f t="shared" si="17"/>
        <v>0</v>
      </c>
    </row>
    <row r="171" spans="2:23" ht="12.9" customHeight="1">
      <c r="B171" s="8">
        <f>SUBTOTAL(3,C$4:$C171)</f>
        <v>168</v>
      </c>
      <c r="C171" s="197" t="s">
        <v>112</v>
      </c>
      <c r="D171" s="144" t="s">
        <v>113</v>
      </c>
      <c r="E171" s="144" t="s">
        <v>60</v>
      </c>
      <c r="F171" s="144">
        <v>26</v>
      </c>
      <c r="G171" s="144" t="s">
        <v>56</v>
      </c>
      <c r="H171" s="144" t="s">
        <v>56</v>
      </c>
      <c r="I171" s="199">
        <f t="shared" si="12"/>
        <v>26</v>
      </c>
      <c r="J171" s="144">
        <v>26</v>
      </c>
      <c r="K171" s="144" t="s">
        <v>56</v>
      </c>
      <c r="L171" s="144">
        <v>3</v>
      </c>
      <c r="M171" s="144">
        <f t="shared" si="13"/>
        <v>29</v>
      </c>
      <c r="N171" s="203">
        <f t="shared" si="14"/>
        <v>26</v>
      </c>
      <c r="O171" s="201">
        <f t="shared" si="15"/>
        <v>3</v>
      </c>
      <c r="P171" s="202">
        <v>22</v>
      </c>
      <c r="Q171" s="202">
        <v>4</v>
      </c>
      <c r="R171" s="203">
        <f t="shared" si="16"/>
        <v>26</v>
      </c>
      <c r="S171" s="144" t="s">
        <v>96</v>
      </c>
      <c r="T171" s="144" t="s">
        <v>96</v>
      </c>
      <c r="U171" s="144" t="s">
        <v>114</v>
      </c>
      <c r="V171" s="144"/>
      <c r="W171" s="205" t="b">
        <f t="shared" si="17"/>
        <v>0</v>
      </c>
    </row>
    <row r="172" spans="2:23" ht="12.9" customHeight="1">
      <c r="B172" s="8">
        <f>SUBTOTAL(3,C$4:$C172)</f>
        <v>169</v>
      </c>
      <c r="C172" s="197" t="s">
        <v>115</v>
      </c>
      <c r="D172" s="144">
        <v>2025</v>
      </c>
      <c r="E172" s="144" t="s">
        <v>60</v>
      </c>
      <c r="F172" s="144" t="s">
        <v>56</v>
      </c>
      <c r="G172" s="144" t="s">
        <v>56</v>
      </c>
      <c r="H172" s="144" t="s">
        <v>56</v>
      </c>
      <c r="I172" s="199" t="str">
        <f t="shared" si="12"/>
        <v>-</v>
      </c>
      <c r="J172" s="144">
        <v>80</v>
      </c>
      <c r="K172" s="144" t="s">
        <v>56</v>
      </c>
      <c r="L172" s="144" t="s">
        <v>56</v>
      </c>
      <c r="M172" s="144">
        <f t="shared" si="13"/>
        <v>80</v>
      </c>
      <c r="N172" s="203">
        <f t="shared" si="14"/>
        <v>80</v>
      </c>
      <c r="O172" s="201" t="str">
        <f t="shared" si="15"/>
        <v>-</v>
      </c>
      <c r="P172" s="202">
        <v>76</v>
      </c>
      <c r="Q172" s="202">
        <v>4</v>
      </c>
      <c r="R172" s="203">
        <f t="shared" si="16"/>
        <v>80</v>
      </c>
      <c r="S172" s="144" t="s">
        <v>96</v>
      </c>
      <c r="T172" s="144" t="s">
        <v>96</v>
      </c>
      <c r="U172" s="144" t="s">
        <v>116</v>
      </c>
      <c r="V172" s="204">
        <v>45791</v>
      </c>
      <c r="W172" s="205" t="b">
        <f t="shared" si="17"/>
        <v>0</v>
      </c>
    </row>
    <row r="173" spans="2:23" ht="12.9" customHeight="1">
      <c r="B173" s="8">
        <f>SUBTOTAL(3,C$4:$C173)</f>
        <v>170</v>
      </c>
      <c r="C173" s="197" t="s">
        <v>117</v>
      </c>
      <c r="D173" s="144" t="s">
        <v>118</v>
      </c>
      <c r="E173" s="144" t="s">
        <v>60</v>
      </c>
      <c r="F173" s="144">
        <v>6</v>
      </c>
      <c r="G173" s="144" t="s">
        <v>56</v>
      </c>
      <c r="H173" s="144" t="s">
        <v>56</v>
      </c>
      <c r="I173" s="199">
        <f t="shared" si="12"/>
        <v>6</v>
      </c>
      <c r="J173" s="144">
        <v>4</v>
      </c>
      <c r="K173" s="144" t="s">
        <v>56</v>
      </c>
      <c r="L173" s="144">
        <v>2</v>
      </c>
      <c r="M173" s="144">
        <f t="shared" si="13"/>
        <v>6</v>
      </c>
      <c r="N173" s="203">
        <f t="shared" si="14"/>
        <v>4</v>
      </c>
      <c r="O173" s="201">
        <f t="shared" si="15"/>
        <v>2</v>
      </c>
      <c r="P173" s="202">
        <v>2</v>
      </c>
      <c r="Q173" s="202">
        <v>2</v>
      </c>
      <c r="R173" s="203">
        <f t="shared" si="16"/>
        <v>4</v>
      </c>
      <c r="S173" s="144" t="s">
        <v>96</v>
      </c>
      <c r="T173" s="144" t="s">
        <v>96</v>
      </c>
      <c r="U173" s="144" t="s">
        <v>116</v>
      </c>
      <c r="V173" s="144"/>
      <c r="W173" s="205" t="b">
        <f t="shared" si="17"/>
        <v>0</v>
      </c>
    </row>
    <row r="174" spans="2:23" ht="12.9" customHeight="1">
      <c r="B174" s="8">
        <f>SUBTOTAL(3,C$4:$C174)</f>
        <v>171</v>
      </c>
      <c r="C174" s="197" t="s">
        <v>119</v>
      </c>
      <c r="D174" s="144">
        <v>2015</v>
      </c>
      <c r="E174" s="144" t="s">
        <v>60</v>
      </c>
      <c r="F174" s="144">
        <v>9</v>
      </c>
      <c r="G174" s="144" t="s">
        <v>56</v>
      </c>
      <c r="H174" s="144" t="s">
        <v>56</v>
      </c>
      <c r="I174" s="199">
        <f t="shared" si="12"/>
        <v>9</v>
      </c>
      <c r="J174" s="144">
        <v>9</v>
      </c>
      <c r="K174" s="144" t="s">
        <v>56</v>
      </c>
      <c r="L174" s="144" t="s">
        <v>56</v>
      </c>
      <c r="M174" s="144">
        <f t="shared" si="13"/>
        <v>9</v>
      </c>
      <c r="N174" s="150">
        <f t="shared" si="14"/>
        <v>9</v>
      </c>
      <c r="O174" s="201" t="str">
        <f t="shared" si="15"/>
        <v>-</v>
      </c>
      <c r="P174" s="202">
        <v>9</v>
      </c>
      <c r="Q174" s="201">
        <v>0</v>
      </c>
      <c r="R174" s="203">
        <f t="shared" si="16"/>
        <v>9</v>
      </c>
      <c r="S174" s="144" t="s">
        <v>96</v>
      </c>
      <c r="T174" s="144" t="s">
        <v>96</v>
      </c>
      <c r="U174" s="144"/>
      <c r="V174" s="144"/>
      <c r="W174" s="94" t="b">
        <f t="shared" si="17"/>
        <v>1</v>
      </c>
    </row>
    <row r="175" spans="2:23" ht="12.9" customHeight="1">
      <c r="B175" s="8">
        <f>SUBTOTAL(3,C$4:$C175)</f>
        <v>172</v>
      </c>
      <c r="C175" s="197" t="s">
        <v>120</v>
      </c>
      <c r="D175" s="144">
        <v>2010</v>
      </c>
      <c r="E175" s="144" t="s">
        <v>60</v>
      </c>
      <c r="F175" s="144">
        <v>1</v>
      </c>
      <c r="G175" s="144" t="s">
        <v>56</v>
      </c>
      <c r="H175" s="144" t="s">
        <v>56</v>
      </c>
      <c r="I175" s="199">
        <f t="shared" si="12"/>
        <v>1</v>
      </c>
      <c r="J175" s="144">
        <v>1</v>
      </c>
      <c r="K175" s="144" t="s">
        <v>56</v>
      </c>
      <c r="L175" s="144" t="s">
        <v>56</v>
      </c>
      <c r="M175" s="144">
        <f t="shared" si="13"/>
        <v>1</v>
      </c>
      <c r="N175" s="150">
        <f t="shared" si="14"/>
        <v>1</v>
      </c>
      <c r="O175" s="201" t="str">
        <f t="shared" si="15"/>
        <v>-</v>
      </c>
      <c r="P175" s="202">
        <v>1</v>
      </c>
      <c r="Q175" s="201">
        <v>0</v>
      </c>
      <c r="R175" s="203">
        <f t="shared" si="16"/>
        <v>1</v>
      </c>
      <c r="S175" s="144" t="s">
        <v>96</v>
      </c>
      <c r="T175" s="144" t="s">
        <v>96</v>
      </c>
      <c r="U175" s="144"/>
      <c r="V175" s="144"/>
      <c r="W175" s="94" t="b">
        <f t="shared" si="17"/>
        <v>1</v>
      </c>
    </row>
    <row r="176" spans="2:23" ht="12.9" customHeight="1">
      <c r="B176" s="8">
        <f>SUBTOTAL(3,C$4:$C176)</f>
        <v>173</v>
      </c>
      <c r="C176" s="197" t="s">
        <v>121</v>
      </c>
      <c r="D176" s="144">
        <v>2010</v>
      </c>
      <c r="E176" s="144" t="s">
        <v>60</v>
      </c>
      <c r="F176" s="144">
        <v>5</v>
      </c>
      <c r="G176" s="144" t="s">
        <v>56</v>
      </c>
      <c r="H176" s="144" t="s">
        <v>56</v>
      </c>
      <c r="I176" s="199">
        <f t="shared" si="12"/>
        <v>5</v>
      </c>
      <c r="J176" s="144">
        <v>5</v>
      </c>
      <c r="K176" s="144" t="s">
        <v>56</v>
      </c>
      <c r="L176" s="144" t="s">
        <v>56</v>
      </c>
      <c r="M176" s="144">
        <f t="shared" si="13"/>
        <v>5</v>
      </c>
      <c r="N176" s="203">
        <f t="shared" si="14"/>
        <v>5</v>
      </c>
      <c r="O176" s="201" t="str">
        <f t="shared" si="15"/>
        <v>-</v>
      </c>
      <c r="P176" s="202">
        <v>5</v>
      </c>
      <c r="Q176" s="201">
        <v>0</v>
      </c>
      <c r="R176" s="203">
        <f t="shared" si="16"/>
        <v>5</v>
      </c>
      <c r="S176" s="144" t="s">
        <v>96</v>
      </c>
      <c r="T176" s="144" t="s">
        <v>96</v>
      </c>
      <c r="U176" s="144"/>
      <c r="V176" s="144"/>
      <c r="W176" s="94" t="b">
        <f t="shared" si="17"/>
        <v>1</v>
      </c>
    </row>
    <row r="177" spans="2:23" ht="12.9" customHeight="1">
      <c r="B177" s="8">
        <f>SUBTOTAL(3,C$4:$C177)</f>
        <v>174</v>
      </c>
      <c r="C177" s="197" t="s">
        <v>122</v>
      </c>
      <c r="D177" s="144">
        <v>2010</v>
      </c>
      <c r="E177" s="144" t="s">
        <v>60</v>
      </c>
      <c r="F177" s="144">
        <v>2</v>
      </c>
      <c r="G177" s="144" t="s">
        <v>56</v>
      </c>
      <c r="H177" s="144" t="s">
        <v>56</v>
      </c>
      <c r="I177" s="199">
        <f t="shared" si="12"/>
        <v>2</v>
      </c>
      <c r="J177" s="144">
        <v>2</v>
      </c>
      <c r="K177" s="144" t="s">
        <v>56</v>
      </c>
      <c r="L177" s="144" t="s">
        <v>56</v>
      </c>
      <c r="M177" s="144">
        <f t="shared" si="13"/>
        <v>2</v>
      </c>
      <c r="N177" s="203">
        <f t="shared" si="14"/>
        <v>2</v>
      </c>
      <c r="O177" s="201" t="str">
        <f t="shared" si="15"/>
        <v>-</v>
      </c>
      <c r="P177" s="202">
        <v>2</v>
      </c>
      <c r="Q177" s="201">
        <v>0</v>
      </c>
      <c r="R177" s="203">
        <f t="shared" si="16"/>
        <v>2</v>
      </c>
      <c r="S177" s="144" t="s">
        <v>96</v>
      </c>
      <c r="T177" s="144" t="s">
        <v>96</v>
      </c>
      <c r="U177" s="144"/>
      <c r="V177" s="144"/>
      <c r="W177" s="94" t="b">
        <f t="shared" si="17"/>
        <v>1</v>
      </c>
    </row>
    <row r="178" spans="2:23" ht="12.9" customHeight="1">
      <c r="B178" s="8">
        <f>SUBTOTAL(3,C$4:$C178)</f>
        <v>175</v>
      </c>
      <c r="C178" s="197" t="s">
        <v>123</v>
      </c>
      <c r="D178" s="144">
        <v>2010</v>
      </c>
      <c r="E178" s="144" t="s">
        <v>60</v>
      </c>
      <c r="F178" s="144">
        <v>1</v>
      </c>
      <c r="G178" s="144" t="s">
        <v>56</v>
      </c>
      <c r="H178" s="144" t="s">
        <v>56</v>
      </c>
      <c r="I178" s="199">
        <f t="shared" si="12"/>
        <v>1</v>
      </c>
      <c r="J178" s="144">
        <v>1</v>
      </c>
      <c r="K178" s="144" t="s">
        <v>56</v>
      </c>
      <c r="L178" s="144" t="s">
        <v>56</v>
      </c>
      <c r="M178" s="144">
        <f t="shared" si="13"/>
        <v>1</v>
      </c>
      <c r="N178" s="203">
        <f t="shared" si="14"/>
        <v>1</v>
      </c>
      <c r="O178" s="201" t="str">
        <f t="shared" si="15"/>
        <v>-</v>
      </c>
      <c r="P178" s="202">
        <v>1</v>
      </c>
      <c r="Q178" s="201">
        <v>0</v>
      </c>
      <c r="R178" s="203">
        <f t="shared" si="16"/>
        <v>1</v>
      </c>
      <c r="S178" s="144" t="s">
        <v>96</v>
      </c>
      <c r="T178" s="144" t="s">
        <v>96</v>
      </c>
      <c r="U178" s="144"/>
      <c r="V178" s="144"/>
      <c r="W178" s="94" t="b">
        <f t="shared" si="17"/>
        <v>1</v>
      </c>
    </row>
    <row r="179" spans="2:23" ht="12.9" customHeight="1">
      <c r="B179" s="8">
        <f>SUBTOTAL(3,C$4:$C179)</f>
        <v>176</v>
      </c>
      <c r="C179" s="197" t="s">
        <v>124</v>
      </c>
      <c r="D179" s="144">
        <v>2010</v>
      </c>
      <c r="E179" s="144" t="s">
        <v>60</v>
      </c>
      <c r="F179" s="144">
        <v>1</v>
      </c>
      <c r="G179" s="144" t="s">
        <v>56</v>
      </c>
      <c r="H179" s="144" t="s">
        <v>56</v>
      </c>
      <c r="I179" s="199">
        <f t="shared" si="12"/>
        <v>1</v>
      </c>
      <c r="J179" s="144">
        <v>0</v>
      </c>
      <c r="K179" s="144" t="s">
        <v>56</v>
      </c>
      <c r="L179" s="144">
        <v>1</v>
      </c>
      <c r="M179" s="144">
        <f t="shared" si="13"/>
        <v>1</v>
      </c>
      <c r="N179" s="150">
        <f t="shared" si="14"/>
        <v>0</v>
      </c>
      <c r="O179" s="201">
        <f t="shared" si="15"/>
        <v>1</v>
      </c>
      <c r="P179" s="202">
        <v>0</v>
      </c>
      <c r="Q179" s="202">
        <v>1</v>
      </c>
      <c r="R179" s="203">
        <f t="shared" si="16"/>
        <v>1</v>
      </c>
      <c r="S179" s="144" t="s">
        <v>96</v>
      </c>
      <c r="T179" s="144" t="s">
        <v>96</v>
      </c>
      <c r="U179" s="144" t="s">
        <v>125</v>
      </c>
      <c r="V179" s="144"/>
      <c r="W179" s="94" t="b">
        <f t="shared" si="17"/>
        <v>1</v>
      </c>
    </row>
    <row r="180" spans="2:23" ht="12.9" customHeight="1">
      <c r="B180" s="8">
        <f>SUBTOTAL(3,C$4:$C180)</f>
        <v>177</v>
      </c>
      <c r="C180" s="197" t="s">
        <v>126</v>
      </c>
      <c r="D180" s="144" t="s">
        <v>127</v>
      </c>
      <c r="E180" s="144" t="s">
        <v>55</v>
      </c>
      <c r="F180" s="144">
        <v>2</v>
      </c>
      <c r="G180" s="144" t="s">
        <v>56</v>
      </c>
      <c r="H180" s="144" t="s">
        <v>56</v>
      </c>
      <c r="I180" s="199">
        <f t="shared" si="12"/>
        <v>2</v>
      </c>
      <c r="J180" s="144">
        <f>2+1</f>
        <v>3</v>
      </c>
      <c r="K180" s="144" t="s">
        <v>56</v>
      </c>
      <c r="L180" s="144" t="s">
        <v>56</v>
      </c>
      <c r="M180" s="144">
        <f t="shared" si="13"/>
        <v>3</v>
      </c>
      <c r="N180" s="203">
        <f t="shared" si="14"/>
        <v>3</v>
      </c>
      <c r="O180" s="201" t="str">
        <f t="shared" si="15"/>
        <v>-</v>
      </c>
      <c r="P180" s="202">
        <v>3</v>
      </c>
      <c r="Q180" s="201">
        <v>0</v>
      </c>
      <c r="R180" s="203">
        <f t="shared" si="16"/>
        <v>3</v>
      </c>
      <c r="S180" s="144" t="s">
        <v>96</v>
      </c>
      <c r="T180" s="144" t="s">
        <v>96</v>
      </c>
      <c r="U180" s="144"/>
      <c r="V180" s="144"/>
      <c r="W180" s="94" t="b">
        <f t="shared" si="17"/>
        <v>1</v>
      </c>
    </row>
    <row r="181" spans="2:23" ht="12.9" customHeight="1">
      <c r="B181" s="8">
        <f>SUBTOTAL(3,C$4:$C181)</f>
        <v>178</v>
      </c>
      <c r="C181" s="197" t="s">
        <v>128</v>
      </c>
      <c r="D181" s="144" t="s">
        <v>105</v>
      </c>
      <c r="E181" s="144" t="s">
        <v>60</v>
      </c>
      <c r="F181" s="144">
        <v>1</v>
      </c>
      <c r="G181" s="144" t="s">
        <v>56</v>
      </c>
      <c r="H181" s="144" t="s">
        <v>56</v>
      </c>
      <c r="I181" s="199">
        <f t="shared" si="12"/>
        <v>1</v>
      </c>
      <c r="J181" s="144">
        <f>1+1</f>
        <v>2</v>
      </c>
      <c r="K181" s="144" t="s">
        <v>56</v>
      </c>
      <c r="L181" s="144" t="s">
        <v>56</v>
      </c>
      <c r="M181" s="144">
        <f t="shared" si="13"/>
        <v>2</v>
      </c>
      <c r="N181" s="203">
        <f t="shared" si="14"/>
        <v>2</v>
      </c>
      <c r="O181" s="201" t="str">
        <f t="shared" si="15"/>
        <v>-</v>
      </c>
      <c r="P181" s="202">
        <v>2</v>
      </c>
      <c r="Q181" s="201">
        <v>0</v>
      </c>
      <c r="R181" s="203">
        <f t="shared" si="16"/>
        <v>2</v>
      </c>
      <c r="S181" s="144" t="s">
        <v>96</v>
      </c>
      <c r="T181" s="144" t="s">
        <v>96</v>
      </c>
      <c r="U181" s="144"/>
      <c r="V181" s="204">
        <v>45756</v>
      </c>
      <c r="W181" s="94" t="b">
        <f t="shared" si="17"/>
        <v>1</v>
      </c>
    </row>
    <row r="182" spans="2:23" ht="12.9" customHeight="1">
      <c r="B182" s="8">
        <f>SUBTOTAL(3,C$4:$C182)</f>
        <v>179</v>
      </c>
      <c r="C182" s="197" t="s">
        <v>129</v>
      </c>
      <c r="D182" s="144">
        <v>2010</v>
      </c>
      <c r="E182" s="144" t="s">
        <v>60</v>
      </c>
      <c r="F182" s="144">
        <v>1</v>
      </c>
      <c r="G182" s="144" t="s">
        <v>56</v>
      </c>
      <c r="H182" s="144" t="s">
        <v>56</v>
      </c>
      <c r="I182" s="199">
        <f t="shared" si="12"/>
        <v>1</v>
      </c>
      <c r="J182" s="144">
        <v>1</v>
      </c>
      <c r="K182" s="144" t="s">
        <v>56</v>
      </c>
      <c r="L182" s="144" t="s">
        <v>56</v>
      </c>
      <c r="M182" s="144">
        <f t="shared" si="13"/>
        <v>1</v>
      </c>
      <c r="N182" s="203">
        <f t="shared" si="14"/>
        <v>1</v>
      </c>
      <c r="O182" s="201" t="str">
        <f t="shared" si="15"/>
        <v>-</v>
      </c>
      <c r="P182" s="202">
        <v>1</v>
      </c>
      <c r="Q182" s="201">
        <v>0</v>
      </c>
      <c r="R182" s="203">
        <f t="shared" si="16"/>
        <v>1</v>
      </c>
      <c r="S182" s="144" t="s">
        <v>96</v>
      </c>
      <c r="T182" s="144" t="s">
        <v>96</v>
      </c>
      <c r="U182" s="144"/>
      <c r="V182" s="144"/>
      <c r="W182" s="94" t="b">
        <f t="shared" si="17"/>
        <v>1</v>
      </c>
    </row>
    <row r="183" spans="2:23" ht="12.9" customHeight="1">
      <c r="B183" s="8">
        <f>SUBTOTAL(3,C$4:$C183)</f>
        <v>180</v>
      </c>
      <c r="C183" s="197" t="s">
        <v>130</v>
      </c>
      <c r="D183" s="144">
        <v>2010</v>
      </c>
      <c r="E183" s="144" t="s">
        <v>131</v>
      </c>
      <c r="F183" s="144">
        <v>5</v>
      </c>
      <c r="G183" s="144" t="s">
        <v>56</v>
      </c>
      <c r="H183" s="144" t="s">
        <v>56</v>
      </c>
      <c r="I183" s="199">
        <f t="shared" si="12"/>
        <v>5</v>
      </c>
      <c r="J183" s="144">
        <v>5</v>
      </c>
      <c r="K183" s="144" t="s">
        <v>56</v>
      </c>
      <c r="L183" s="144" t="s">
        <v>56</v>
      </c>
      <c r="M183" s="144">
        <f t="shared" si="13"/>
        <v>5</v>
      </c>
      <c r="N183" s="203">
        <f t="shared" si="14"/>
        <v>5</v>
      </c>
      <c r="O183" s="201" t="str">
        <f t="shared" si="15"/>
        <v>-</v>
      </c>
      <c r="P183" s="202">
        <v>5</v>
      </c>
      <c r="Q183" s="201">
        <v>0</v>
      </c>
      <c r="R183" s="203">
        <f t="shared" si="16"/>
        <v>5</v>
      </c>
      <c r="S183" s="144" t="s">
        <v>96</v>
      </c>
      <c r="T183" s="144" t="s">
        <v>96</v>
      </c>
      <c r="U183" s="144"/>
      <c r="V183" s="144"/>
      <c r="W183" s="94" t="b">
        <f t="shared" si="17"/>
        <v>1</v>
      </c>
    </row>
    <row r="184" spans="2:23" ht="12.9" customHeight="1">
      <c r="B184" s="8">
        <f>SUBTOTAL(3,C$4:$C184)</f>
        <v>181</v>
      </c>
      <c r="C184" s="197" t="s">
        <v>132</v>
      </c>
      <c r="D184" s="144">
        <v>2014</v>
      </c>
      <c r="E184" s="144" t="s">
        <v>55</v>
      </c>
      <c r="F184" s="144">
        <v>1</v>
      </c>
      <c r="G184" s="144" t="s">
        <v>56</v>
      </c>
      <c r="H184" s="144" t="s">
        <v>56</v>
      </c>
      <c r="I184" s="199">
        <f t="shared" si="12"/>
        <v>1</v>
      </c>
      <c r="J184" s="144">
        <v>1</v>
      </c>
      <c r="K184" s="144" t="s">
        <v>56</v>
      </c>
      <c r="L184" s="144" t="s">
        <v>56</v>
      </c>
      <c r="M184" s="144">
        <f t="shared" si="13"/>
        <v>1</v>
      </c>
      <c r="N184" s="203">
        <f t="shared" si="14"/>
        <v>1</v>
      </c>
      <c r="O184" s="201" t="str">
        <f t="shared" si="15"/>
        <v>-</v>
      </c>
      <c r="P184" s="202">
        <v>1</v>
      </c>
      <c r="Q184" s="201">
        <v>0</v>
      </c>
      <c r="R184" s="203">
        <f t="shared" si="16"/>
        <v>1</v>
      </c>
      <c r="S184" s="144" t="s">
        <v>96</v>
      </c>
      <c r="T184" s="144" t="s">
        <v>96</v>
      </c>
      <c r="U184" s="144"/>
      <c r="V184" s="144"/>
      <c r="W184" s="94" t="b">
        <f t="shared" si="17"/>
        <v>1</v>
      </c>
    </row>
    <row r="185" spans="2:23" ht="12.9" customHeight="1">
      <c r="B185" s="8">
        <f>SUBTOTAL(3,C$4:$C185)</f>
        <v>182</v>
      </c>
      <c r="C185" s="197" t="s">
        <v>133</v>
      </c>
      <c r="D185" s="144">
        <v>2010</v>
      </c>
      <c r="E185" s="144" t="s">
        <v>60</v>
      </c>
      <c r="F185" s="144">
        <v>1</v>
      </c>
      <c r="G185" s="144" t="s">
        <v>56</v>
      </c>
      <c r="H185" s="144" t="s">
        <v>56</v>
      </c>
      <c r="I185" s="199">
        <f t="shared" si="12"/>
        <v>1</v>
      </c>
      <c r="J185" s="144">
        <v>1</v>
      </c>
      <c r="K185" s="144" t="s">
        <v>56</v>
      </c>
      <c r="L185" s="144" t="s">
        <v>56</v>
      </c>
      <c r="M185" s="144">
        <f t="shared" si="13"/>
        <v>1</v>
      </c>
      <c r="N185" s="203">
        <f t="shared" si="14"/>
        <v>1</v>
      </c>
      <c r="O185" s="201" t="str">
        <f t="shared" si="15"/>
        <v>-</v>
      </c>
      <c r="P185" s="202">
        <v>1</v>
      </c>
      <c r="Q185" s="201">
        <v>0</v>
      </c>
      <c r="R185" s="203">
        <f t="shared" si="16"/>
        <v>1</v>
      </c>
      <c r="S185" s="144" t="s">
        <v>96</v>
      </c>
      <c r="T185" s="144" t="s">
        <v>96</v>
      </c>
      <c r="U185" s="144"/>
      <c r="V185" s="144"/>
      <c r="W185" s="94" t="b">
        <f t="shared" si="17"/>
        <v>1</v>
      </c>
    </row>
    <row r="186" spans="2:23" ht="12.9" customHeight="1">
      <c r="B186" s="8">
        <f>SUBTOTAL(3,C$4:$C186)</f>
        <v>183</v>
      </c>
      <c r="C186" s="197" t="s">
        <v>134</v>
      </c>
      <c r="D186" s="144">
        <v>2018</v>
      </c>
      <c r="E186" s="144" t="s">
        <v>60</v>
      </c>
      <c r="F186" s="144">
        <v>10</v>
      </c>
      <c r="G186" s="144" t="s">
        <v>56</v>
      </c>
      <c r="H186" s="144" t="s">
        <v>56</v>
      </c>
      <c r="I186" s="199">
        <f t="shared" si="12"/>
        <v>10</v>
      </c>
      <c r="J186" s="144">
        <v>0</v>
      </c>
      <c r="K186" s="144">
        <v>10</v>
      </c>
      <c r="L186" s="144" t="s">
        <v>56</v>
      </c>
      <c r="M186" s="144">
        <f t="shared" si="13"/>
        <v>10</v>
      </c>
      <c r="N186" s="203">
        <f t="shared" si="14"/>
        <v>0</v>
      </c>
      <c r="O186" s="201" t="str">
        <f t="shared" si="15"/>
        <v>-</v>
      </c>
      <c r="P186" s="202">
        <v>0</v>
      </c>
      <c r="Q186" s="202">
        <v>10</v>
      </c>
      <c r="R186" s="203">
        <f t="shared" si="16"/>
        <v>10</v>
      </c>
      <c r="S186" s="144" t="s">
        <v>96</v>
      </c>
      <c r="T186" s="144" t="s">
        <v>96</v>
      </c>
      <c r="U186" s="144" t="s">
        <v>135</v>
      </c>
      <c r="V186" s="144"/>
      <c r="W186" s="94" t="b">
        <f t="shared" si="17"/>
        <v>1</v>
      </c>
    </row>
    <row r="187" spans="2:23" ht="12.9" customHeight="1">
      <c r="B187" s="8">
        <f>SUBTOTAL(3,C$4:$C187)</f>
        <v>184</v>
      </c>
      <c r="C187" s="197" t="s">
        <v>136</v>
      </c>
      <c r="D187" s="144">
        <v>2010</v>
      </c>
      <c r="E187" s="144" t="s">
        <v>60</v>
      </c>
      <c r="F187" s="144">
        <v>2</v>
      </c>
      <c r="G187" s="144" t="s">
        <v>56</v>
      </c>
      <c r="H187" s="144" t="s">
        <v>56</v>
      </c>
      <c r="I187" s="199">
        <f t="shared" si="12"/>
        <v>2</v>
      </c>
      <c r="J187" s="144">
        <v>0</v>
      </c>
      <c r="K187" s="144" t="s">
        <v>56</v>
      </c>
      <c r="L187" s="144">
        <v>2</v>
      </c>
      <c r="M187" s="144">
        <f t="shared" si="13"/>
        <v>2</v>
      </c>
      <c r="N187" s="203">
        <f t="shared" si="14"/>
        <v>0</v>
      </c>
      <c r="O187" s="201">
        <f t="shared" si="15"/>
        <v>2</v>
      </c>
      <c r="P187" s="202">
        <v>0</v>
      </c>
      <c r="Q187" s="202">
        <v>2</v>
      </c>
      <c r="R187" s="203">
        <f t="shared" si="16"/>
        <v>2</v>
      </c>
      <c r="S187" s="144" t="s">
        <v>96</v>
      </c>
      <c r="T187" s="144" t="s">
        <v>96</v>
      </c>
      <c r="U187" s="144" t="s">
        <v>137</v>
      </c>
      <c r="V187" s="144"/>
      <c r="W187" s="94" t="b">
        <f t="shared" si="17"/>
        <v>1</v>
      </c>
    </row>
    <row r="188" spans="2:23" ht="12.9" customHeight="1">
      <c r="B188" s="8">
        <f>SUBTOTAL(3,C$4:$C188)</f>
        <v>185</v>
      </c>
      <c r="C188" s="197" t="s">
        <v>138</v>
      </c>
      <c r="D188" s="144">
        <v>2025</v>
      </c>
      <c r="E188" s="144" t="s">
        <v>60</v>
      </c>
      <c r="F188" s="144" t="s">
        <v>56</v>
      </c>
      <c r="G188" s="144" t="s">
        <v>56</v>
      </c>
      <c r="H188" s="144" t="s">
        <v>56</v>
      </c>
      <c r="I188" s="199" t="str">
        <f t="shared" si="12"/>
        <v>-</v>
      </c>
      <c r="J188" s="144">
        <v>1</v>
      </c>
      <c r="K188" s="144" t="s">
        <v>56</v>
      </c>
      <c r="L188" s="144" t="s">
        <v>56</v>
      </c>
      <c r="M188" s="144">
        <f t="shared" si="13"/>
        <v>1</v>
      </c>
      <c r="N188" s="203">
        <f t="shared" si="14"/>
        <v>1</v>
      </c>
      <c r="O188" s="201" t="str">
        <f t="shared" si="15"/>
        <v>-</v>
      </c>
      <c r="P188" s="202">
        <v>1</v>
      </c>
      <c r="Q188" s="201">
        <v>0</v>
      </c>
      <c r="R188" s="203">
        <f t="shared" si="16"/>
        <v>1</v>
      </c>
      <c r="S188" s="144" t="s">
        <v>96</v>
      </c>
      <c r="T188" s="144" t="s">
        <v>96</v>
      </c>
      <c r="U188" s="144"/>
      <c r="V188" s="204">
        <v>45763</v>
      </c>
      <c r="W188" s="94" t="b">
        <f t="shared" si="17"/>
        <v>1</v>
      </c>
    </row>
    <row r="189" spans="2:23" ht="12.9" customHeight="1">
      <c r="B189" s="8">
        <f>SUBTOTAL(3,C$4:$C189)</f>
        <v>186</v>
      </c>
      <c r="C189" s="197" t="s">
        <v>139</v>
      </c>
      <c r="D189" s="144">
        <v>2010</v>
      </c>
      <c r="E189" s="144" t="s">
        <v>55</v>
      </c>
      <c r="F189" s="144">
        <v>1</v>
      </c>
      <c r="G189" s="144" t="s">
        <v>56</v>
      </c>
      <c r="H189" s="144" t="s">
        <v>56</v>
      </c>
      <c r="I189" s="199">
        <f t="shared" si="12"/>
        <v>1</v>
      </c>
      <c r="J189" s="144">
        <v>1</v>
      </c>
      <c r="K189" s="144" t="s">
        <v>56</v>
      </c>
      <c r="L189" s="144" t="s">
        <v>56</v>
      </c>
      <c r="M189" s="144">
        <f t="shared" si="13"/>
        <v>1</v>
      </c>
      <c r="N189" s="203">
        <f t="shared" si="14"/>
        <v>1</v>
      </c>
      <c r="O189" s="201" t="str">
        <f t="shared" si="15"/>
        <v>-</v>
      </c>
      <c r="P189" s="202">
        <v>1</v>
      </c>
      <c r="Q189" s="201">
        <v>0</v>
      </c>
      <c r="R189" s="203">
        <f t="shared" si="16"/>
        <v>1</v>
      </c>
      <c r="S189" s="144" t="s">
        <v>96</v>
      </c>
      <c r="T189" s="144" t="s">
        <v>96</v>
      </c>
      <c r="U189" s="144"/>
      <c r="V189" s="144"/>
      <c r="W189" s="94" t="b">
        <f t="shared" si="17"/>
        <v>1</v>
      </c>
    </row>
    <row r="190" spans="2:23" ht="12.9" customHeight="1">
      <c r="B190" s="8">
        <f>SUBTOTAL(3,C$4:$C190)</f>
        <v>187</v>
      </c>
      <c r="C190" s="197" t="s">
        <v>140</v>
      </c>
      <c r="D190" s="144">
        <v>2018</v>
      </c>
      <c r="E190" s="144" t="s">
        <v>55</v>
      </c>
      <c r="F190" s="144">
        <v>2</v>
      </c>
      <c r="G190" s="144" t="s">
        <v>56</v>
      </c>
      <c r="H190" s="144" t="s">
        <v>56</v>
      </c>
      <c r="I190" s="199">
        <f t="shared" si="12"/>
        <v>2</v>
      </c>
      <c r="J190" s="144">
        <v>2</v>
      </c>
      <c r="K190" s="144" t="s">
        <v>56</v>
      </c>
      <c r="L190" s="144" t="s">
        <v>56</v>
      </c>
      <c r="M190" s="144">
        <f t="shared" si="13"/>
        <v>2</v>
      </c>
      <c r="N190" s="203">
        <f t="shared" si="14"/>
        <v>2</v>
      </c>
      <c r="O190" s="201" t="str">
        <f t="shared" si="15"/>
        <v>-</v>
      </c>
      <c r="P190" s="202">
        <v>2</v>
      </c>
      <c r="Q190" s="201">
        <v>0</v>
      </c>
      <c r="R190" s="203">
        <f t="shared" si="16"/>
        <v>2</v>
      </c>
      <c r="S190" s="144" t="s">
        <v>96</v>
      </c>
      <c r="T190" s="144" t="s">
        <v>96</v>
      </c>
      <c r="U190" s="144"/>
      <c r="V190" s="144"/>
      <c r="W190" s="94" t="b">
        <f t="shared" si="17"/>
        <v>1</v>
      </c>
    </row>
    <row r="191" spans="2:23" ht="12.9" customHeight="1">
      <c r="B191" s="8">
        <f>SUBTOTAL(3,C$4:$C191)</f>
        <v>188</v>
      </c>
      <c r="C191" s="197" t="s">
        <v>141</v>
      </c>
      <c r="D191" s="144" t="s">
        <v>105</v>
      </c>
      <c r="E191" s="144" t="s">
        <v>60</v>
      </c>
      <c r="F191" s="144">
        <v>2</v>
      </c>
      <c r="G191" s="144" t="s">
        <v>56</v>
      </c>
      <c r="H191" s="144" t="s">
        <v>56</v>
      </c>
      <c r="I191" s="199">
        <f t="shared" si="12"/>
        <v>2</v>
      </c>
      <c r="J191" s="144">
        <v>2</v>
      </c>
      <c r="K191" s="144" t="s">
        <v>56</v>
      </c>
      <c r="L191" s="144">
        <v>2</v>
      </c>
      <c r="M191" s="144">
        <f t="shared" si="13"/>
        <v>4</v>
      </c>
      <c r="N191" s="203">
        <f t="shared" si="14"/>
        <v>2</v>
      </c>
      <c r="O191" s="201">
        <f t="shared" si="15"/>
        <v>2</v>
      </c>
      <c r="P191" s="202">
        <v>2</v>
      </c>
      <c r="Q191" s="201">
        <v>0</v>
      </c>
      <c r="R191" s="203">
        <f t="shared" si="16"/>
        <v>2</v>
      </c>
      <c r="S191" s="144" t="s">
        <v>96</v>
      </c>
      <c r="T191" s="144" t="s">
        <v>96</v>
      </c>
      <c r="U191" s="144"/>
      <c r="V191" s="204">
        <v>45772</v>
      </c>
      <c r="W191" s="94" t="b">
        <f t="shared" si="17"/>
        <v>1</v>
      </c>
    </row>
    <row r="192" spans="2:23" ht="12.9" customHeight="1">
      <c r="B192" s="8">
        <f>SUBTOTAL(3,C$4:$C192)</f>
        <v>189</v>
      </c>
      <c r="C192" s="197" t="s">
        <v>142</v>
      </c>
      <c r="D192" s="144" t="s">
        <v>127</v>
      </c>
      <c r="E192" s="144" t="s">
        <v>60</v>
      </c>
      <c r="F192" s="144">
        <v>62</v>
      </c>
      <c r="G192" s="144" t="s">
        <v>56</v>
      </c>
      <c r="H192" s="144" t="s">
        <v>56</v>
      </c>
      <c r="I192" s="199">
        <f t="shared" si="12"/>
        <v>62</v>
      </c>
      <c r="J192" s="144">
        <v>62</v>
      </c>
      <c r="K192" s="144" t="s">
        <v>56</v>
      </c>
      <c r="L192" s="144" t="s">
        <v>56</v>
      </c>
      <c r="M192" s="144">
        <f t="shared" si="13"/>
        <v>62</v>
      </c>
      <c r="N192" s="203">
        <f t="shared" si="14"/>
        <v>62</v>
      </c>
      <c r="O192" s="201" t="str">
        <f t="shared" si="15"/>
        <v>-</v>
      </c>
      <c r="P192" s="202">
        <v>62</v>
      </c>
      <c r="Q192" s="201">
        <v>0</v>
      </c>
      <c r="R192" s="203">
        <f t="shared" si="16"/>
        <v>62</v>
      </c>
      <c r="S192" s="144" t="s">
        <v>96</v>
      </c>
      <c r="T192" s="144" t="s">
        <v>96</v>
      </c>
      <c r="U192" s="144"/>
      <c r="V192" s="144"/>
      <c r="W192" s="94" t="b">
        <f t="shared" si="17"/>
        <v>1</v>
      </c>
    </row>
    <row r="193" spans="2:23" ht="12.9" customHeight="1">
      <c r="B193" s="8">
        <f>SUBTOTAL(3,C$4:$C193)</f>
        <v>190</v>
      </c>
      <c r="C193" s="197" t="s">
        <v>143</v>
      </c>
      <c r="D193" s="144">
        <v>2010</v>
      </c>
      <c r="E193" s="144" t="s">
        <v>60</v>
      </c>
      <c r="F193" s="144">
        <v>2</v>
      </c>
      <c r="G193" s="144" t="s">
        <v>56</v>
      </c>
      <c r="H193" s="144" t="s">
        <v>56</v>
      </c>
      <c r="I193" s="199">
        <f t="shared" si="12"/>
        <v>2</v>
      </c>
      <c r="J193" s="144">
        <v>2</v>
      </c>
      <c r="K193" s="144" t="s">
        <v>56</v>
      </c>
      <c r="L193" s="144" t="s">
        <v>56</v>
      </c>
      <c r="M193" s="144">
        <f t="shared" si="13"/>
        <v>2</v>
      </c>
      <c r="N193" s="203">
        <f t="shared" si="14"/>
        <v>2</v>
      </c>
      <c r="O193" s="201" t="str">
        <f t="shared" si="15"/>
        <v>-</v>
      </c>
      <c r="P193" s="202">
        <v>1</v>
      </c>
      <c r="Q193" s="202">
        <v>1</v>
      </c>
      <c r="R193" s="203">
        <f t="shared" si="16"/>
        <v>2</v>
      </c>
      <c r="S193" s="144" t="s">
        <v>96</v>
      </c>
      <c r="T193" s="144" t="s">
        <v>96</v>
      </c>
      <c r="U193" s="144" t="s">
        <v>116</v>
      </c>
      <c r="V193" s="144"/>
      <c r="W193" s="205" t="b">
        <f t="shared" si="17"/>
        <v>0</v>
      </c>
    </row>
    <row r="194" spans="2:23" ht="12.9" customHeight="1">
      <c r="B194" s="8">
        <f>SUBTOTAL(3,C$4:$C194)</f>
        <v>191</v>
      </c>
      <c r="C194" s="197" t="s">
        <v>144</v>
      </c>
      <c r="D194" s="144">
        <v>2010</v>
      </c>
      <c r="E194" s="144" t="s">
        <v>60</v>
      </c>
      <c r="F194" s="144">
        <v>1</v>
      </c>
      <c r="G194" s="144" t="s">
        <v>56</v>
      </c>
      <c r="H194" s="144" t="s">
        <v>56</v>
      </c>
      <c r="I194" s="199">
        <f t="shared" si="12"/>
        <v>1</v>
      </c>
      <c r="J194" s="144">
        <v>0</v>
      </c>
      <c r="K194" s="144" t="s">
        <v>56</v>
      </c>
      <c r="L194" s="144">
        <v>1</v>
      </c>
      <c r="M194" s="144">
        <f t="shared" si="13"/>
        <v>1</v>
      </c>
      <c r="N194" s="203">
        <f t="shared" si="14"/>
        <v>0</v>
      </c>
      <c r="O194" s="201">
        <f t="shared" si="15"/>
        <v>1</v>
      </c>
      <c r="P194" s="202">
        <v>0</v>
      </c>
      <c r="Q194" s="202">
        <v>1</v>
      </c>
      <c r="R194" s="203">
        <f t="shared" si="16"/>
        <v>1</v>
      </c>
      <c r="S194" s="144" t="s">
        <v>96</v>
      </c>
      <c r="T194" s="144" t="s">
        <v>96</v>
      </c>
      <c r="U194" s="144" t="s">
        <v>116</v>
      </c>
      <c r="V194" s="144"/>
      <c r="W194" s="94" t="b">
        <f t="shared" si="17"/>
        <v>1</v>
      </c>
    </row>
    <row r="195" spans="2:23" ht="12.9" customHeight="1">
      <c r="B195" s="8">
        <f>SUBTOTAL(3,C$4:$C195)</f>
        <v>192</v>
      </c>
      <c r="C195" s="197" t="s">
        <v>145</v>
      </c>
      <c r="D195" s="144">
        <v>2021</v>
      </c>
      <c r="E195" s="144" t="s">
        <v>55</v>
      </c>
      <c r="F195" s="144">
        <v>1</v>
      </c>
      <c r="G195" s="144" t="s">
        <v>56</v>
      </c>
      <c r="H195" s="144" t="s">
        <v>56</v>
      </c>
      <c r="I195" s="199">
        <f t="shared" si="12"/>
        <v>1</v>
      </c>
      <c r="J195" s="144">
        <v>1</v>
      </c>
      <c r="K195" s="144" t="s">
        <v>56</v>
      </c>
      <c r="L195" s="144" t="s">
        <v>56</v>
      </c>
      <c r="M195" s="144">
        <f t="shared" si="13"/>
        <v>1</v>
      </c>
      <c r="N195" s="203">
        <f t="shared" si="14"/>
        <v>1</v>
      </c>
      <c r="O195" s="201" t="str">
        <f t="shared" si="15"/>
        <v>-</v>
      </c>
      <c r="P195" s="202">
        <v>1</v>
      </c>
      <c r="Q195" s="201">
        <v>0</v>
      </c>
      <c r="R195" s="203">
        <f t="shared" si="16"/>
        <v>1</v>
      </c>
      <c r="S195" s="144" t="s">
        <v>96</v>
      </c>
      <c r="T195" s="144" t="s">
        <v>96</v>
      </c>
      <c r="U195" s="144"/>
      <c r="V195" s="144"/>
      <c r="W195" s="94" t="b">
        <f t="shared" si="17"/>
        <v>1</v>
      </c>
    </row>
    <row r="196" spans="2:23" ht="12.9" customHeight="1">
      <c r="B196" s="8">
        <f>SUBTOTAL(3,C$4:$C196)</f>
        <v>193</v>
      </c>
      <c r="C196" s="197" t="s">
        <v>146</v>
      </c>
      <c r="D196" s="144">
        <v>2021</v>
      </c>
      <c r="E196" s="144" t="s">
        <v>55</v>
      </c>
      <c r="F196" s="144">
        <v>1</v>
      </c>
      <c r="G196" s="144" t="s">
        <v>56</v>
      </c>
      <c r="H196" s="144" t="s">
        <v>56</v>
      </c>
      <c r="I196" s="199">
        <f t="shared" ref="I196:I256" si="18">F196</f>
        <v>1</v>
      </c>
      <c r="J196" s="144">
        <v>1</v>
      </c>
      <c r="K196" s="144" t="s">
        <v>56</v>
      </c>
      <c r="L196" s="144" t="s">
        <v>56</v>
      </c>
      <c r="M196" s="144">
        <f t="shared" ref="M196:M256" si="19">SUM(J196:L196)</f>
        <v>1</v>
      </c>
      <c r="N196" s="203">
        <f t="shared" ref="N196:N256" si="20">J196</f>
        <v>1</v>
      </c>
      <c r="O196" s="201" t="str">
        <f t="shared" ref="O196:O259" si="21">L196</f>
        <v>-</v>
      </c>
      <c r="P196" s="202">
        <v>1</v>
      </c>
      <c r="Q196" s="201">
        <v>0</v>
      </c>
      <c r="R196" s="203">
        <f t="shared" si="16"/>
        <v>1</v>
      </c>
      <c r="S196" s="144" t="s">
        <v>96</v>
      </c>
      <c r="T196" s="144" t="s">
        <v>96</v>
      </c>
      <c r="U196" s="144"/>
      <c r="V196" s="144"/>
      <c r="W196" s="94" t="b">
        <f t="shared" si="17"/>
        <v>1</v>
      </c>
    </row>
    <row r="197" spans="2:23" ht="12.9" customHeight="1">
      <c r="B197" s="8">
        <f>SUBTOTAL(3,C$4:$C197)</f>
        <v>194</v>
      </c>
      <c r="C197" s="197" t="s">
        <v>147</v>
      </c>
      <c r="D197" s="144"/>
      <c r="E197" s="144" t="s">
        <v>60</v>
      </c>
      <c r="F197" s="144">
        <v>1</v>
      </c>
      <c r="G197" s="144" t="s">
        <v>56</v>
      </c>
      <c r="H197" s="144" t="s">
        <v>56</v>
      </c>
      <c r="I197" s="199">
        <f t="shared" si="18"/>
        <v>1</v>
      </c>
      <c r="J197" s="144">
        <v>1</v>
      </c>
      <c r="K197" s="144" t="s">
        <v>56</v>
      </c>
      <c r="L197" s="144" t="s">
        <v>56</v>
      </c>
      <c r="M197" s="144">
        <f t="shared" si="19"/>
        <v>1</v>
      </c>
      <c r="N197" s="203">
        <f t="shared" si="20"/>
        <v>1</v>
      </c>
      <c r="O197" s="201" t="str">
        <f t="shared" si="21"/>
        <v>-</v>
      </c>
      <c r="P197" s="202">
        <v>1</v>
      </c>
      <c r="Q197" s="201">
        <v>0</v>
      </c>
      <c r="R197" s="203">
        <f t="shared" ref="R197:R257" si="22">P197+Q197</f>
        <v>1</v>
      </c>
      <c r="S197" s="144" t="s">
        <v>96</v>
      </c>
      <c r="T197" s="144" t="s">
        <v>96</v>
      </c>
      <c r="U197" s="144"/>
      <c r="V197" s="144"/>
      <c r="W197" s="94" t="b">
        <f t="shared" ref="W197:W260" si="23">N197=P197</f>
        <v>1</v>
      </c>
    </row>
    <row r="198" spans="2:23" ht="12.9" customHeight="1">
      <c r="B198" s="8">
        <f>SUBTOTAL(3,C$4:$C198)</f>
        <v>195</v>
      </c>
      <c r="C198" s="197" t="s">
        <v>148</v>
      </c>
      <c r="D198" s="144">
        <v>2024</v>
      </c>
      <c r="E198" s="144" t="s">
        <v>55</v>
      </c>
      <c r="F198" s="144">
        <v>1</v>
      </c>
      <c r="G198" s="144" t="s">
        <v>56</v>
      </c>
      <c r="H198" s="144" t="s">
        <v>56</v>
      </c>
      <c r="I198" s="199">
        <f t="shared" si="18"/>
        <v>1</v>
      </c>
      <c r="J198" s="144">
        <v>1</v>
      </c>
      <c r="K198" s="144" t="s">
        <v>56</v>
      </c>
      <c r="L198" s="144" t="s">
        <v>56</v>
      </c>
      <c r="M198" s="144">
        <f t="shared" si="19"/>
        <v>1</v>
      </c>
      <c r="N198" s="203">
        <f t="shared" si="20"/>
        <v>1</v>
      </c>
      <c r="O198" s="201" t="str">
        <f t="shared" si="21"/>
        <v>-</v>
      </c>
      <c r="P198" s="202">
        <v>0</v>
      </c>
      <c r="Q198" s="202">
        <v>1</v>
      </c>
      <c r="R198" s="203">
        <f t="shared" si="22"/>
        <v>1</v>
      </c>
      <c r="S198" s="144" t="s">
        <v>96</v>
      </c>
      <c r="T198" s="144" t="s">
        <v>96</v>
      </c>
      <c r="U198" s="144" t="s">
        <v>135</v>
      </c>
      <c r="V198" s="144"/>
      <c r="W198" s="205" t="b">
        <f t="shared" si="23"/>
        <v>0</v>
      </c>
    </row>
    <row r="199" spans="2:23" ht="12.9" customHeight="1">
      <c r="B199" s="8">
        <f>SUBTOTAL(3,C$4:$C199)</f>
        <v>196</v>
      </c>
      <c r="C199" s="197" t="s">
        <v>149</v>
      </c>
      <c r="D199" s="144">
        <v>2025</v>
      </c>
      <c r="E199" s="144" t="s">
        <v>60</v>
      </c>
      <c r="F199" s="144" t="s">
        <v>56</v>
      </c>
      <c r="G199" s="144" t="s">
        <v>56</v>
      </c>
      <c r="H199" s="144" t="s">
        <v>56</v>
      </c>
      <c r="I199" s="199" t="str">
        <f t="shared" si="18"/>
        <v>-</v>
      </c>
      <c r="J199" s="144">
        <v>2</v>
      </c>
      <c r="K199" s="144" t="s">
        <v>56</v>
      </c>
      <c r="L199" s="144" t="s">
        <v>56</v>
      </c>
      <c r="M199" s="144">
        <f t="shared" si="19"/>
        <v>2</v>
      </c>
      <c r="N199" s="150">
        <f t="shared" si="20"/>
        <v>2</v>
      </c>
      <c r="O199" s="201" t="str">
        <f t="shared" si="21"/>
        <v>-</v>
      </c>
      <c r="P199" s="202">
        <v>2</v>
      </c>
      <c r="Q199" s="201">
        <v>0</v>
      </c>
      <c r="R199" s="203">
        <f t="shared" si="22"/>
        <v>2</v>
      </c>
      <c r="S199" s="144" t="s">
        <v>96</v>
      </c>
      <c r="T199" s="144" t="s">
        <v>96</v>
      </c>
      <c r="U199" s="144"/>
      <c r="V199" s="204">
        <v>45791</v>
      </c>
      <c r="W199" s="94" t="b">
        <f t="shared" si="23"/>
        <v>1</v>
      </c>
    </row>
    <row r="200" spans="2:23" ht="12.9" customHeight="1">
      <c r="B200" s="8">
        <f>SUBTOTAL(3,C$4:$C200)</f>
        <v>197</v>
      </c>
      <c r="C200" s="197" t="s">
        <v>150</v>
      </c>
      <c r="D200" s="144">
        <v>2025</v>
      </c>
      <c r="E200" s="144" t="s">
        <v>60</v>
      </c>
      <c r="F200" s="144" t="s">
        <v>56</v>
      </c>
      <c r="G200" s="144" t="s">
        <v>56</v>
      </c>
      <c r="H200" s="144" t="s">
        <v>56</v>
      </c>
      <c r="I200" s="199" t="str">
        <f t="shared" si="18"/>
        <v>-</v>
      </c>
      <c r="J200" s="144">
        <v>1</v>
      </c>
      <c r="K200" s="144" t="s">
        <v>56</v>
      </c>
      <c r="L200" s="144" t="s">
        <v>56</v>
      </c>
      <c r="M200" s="144">
        <f t="shared" si="19"/>
        <v>1</v>
      </c>
      <c r="N200" s="150">
        <f t="shared" si="20"/>
        <v>1</v>
      </c>
      <c r="O200" s="201" t="str">
        <f t="shared" si="21"/>
        <v>-</v>
      </c>
      <c r="P200" s="202">
        <v>1</v>
      </c>
      <c r="Q200" s="201">
        <v>0</v>
      </c>
      <c r="R200" s="203">
        <f t="shared" si="22"/>
        <v>1</v>
      </c>
      <c r="S200" s="144" t="s">
        <v>96</v>
      </c>
      <c r="T200" s="144" t="s">
        <v>96</v>
      </c>
      <c r="U200" s="144"/>
      <c r="V200" s="204">
        <v>45887</v>
      </c>
      <c r="W200" s="94" t="b">
        <f t="shared" si="23"/>
        <v>1</v>
      </c>
    </row>
    <row r="201" spans="2:23" ht="12.9" customHeight="1">
      <c r="B201" s="8">
        <f>SUBTOTAL(3,C$4:$C201)</f>
        <v>198</v>
      </c>
      <c r="C201" s="197" t="s">
        <v>151</v>
      </c>
      <c r="D201" s="144">
        <v>2025</v>
      </c>
      <c r="E201" s="144" t="s">
        <v>60</v>
      </c>
      <c r="F201" s="144" t="s">
        <v>56</v>
      </c>
      <c r="G201" s="144" t="s">
        <v>56</v>
      </c>
      <c r="H201" s="144" t="s">
        <v>56</v>
      </c>
      <c r="I201" s="199" t="str">
        <f t="shared" si="18"/>
        <v>-</v>
      </c>
      <c r="J201" s="144">
        <v>1</v>
      </c>
      <c r="K201" s="144" t="s">
        <v>56</v>
      </c>
      <c r="L201" s="144" t="s">
        <v>56</v>
      </c>
      <c r="M201" s="144">
        <f t="shared" si="19"/>
        <v>1</v>
      </c>
      <c r="N201" s="150">
        <f t="shared" si="20"/>
        <v>1</v>
      </c>
      <c r="O201" s="201" t="str">
        <f t="shared" si="21"/>
        <v>-</v>
      </c>
      <c r="P201" s="202">
        <v>1</v>
      </c>
      <c r="Q201" s="201">
        <v>0</v>
      </c>
      <c r="R201" s="203">
        <f t="shared" si="22"/>
        <v>1</v>
      </c>
      <c r="S201" s="144" t="s">
        <v>96</v>
      </c>
      <c r="T201" s="144" t="s">
        <v>96</v>
      </c>
      <c r="U201" s="144"/>
      <c r="V201" s="204">
        <v>45887</v>
      </c>
      <c r="W201" s="94" t="b">
        <f t="shared" si="23"/>
        <v>1</v>
      </c>
    </row>
    <row r="202" spans="2:23" ht="12.9" customHeight="1">
      <c r="B202" s="8">
        <f>SUBTOTAL(3,C$4:$C202)</f>
        <v>199</v>
      </c>
      <c r="C202" s="197" t="s">
        <v>152</v>
      </c>
      <c r="D202" s="144">
        <v>2021</v>
      </c>
      <c r="E202" s="144" t="s">
        <v>55</v>
      </c>
      <c r="F202" s="144">
        <v>1</v>
      </c>
      <c r="G202" s="144" t="s">
        <v>56</v>
      </c>
      <c r="H202" s="144" t="s">
        <v>56</v>
      </c>
      <c r="I202" s="199">
        <f t="shared" si="18"/>
        <v>1</v>
      </c>
      <c r="J202" s="144">
        <v>1</v>
      </c>
      <c r="K202" s="144" t="s">
        <v>56</v>
      </c>
      <c r="L202" s="144" t="s">
        <v>56</v>
      </c>
      <c r="M202" s="144">
        <f t="shared" si="19"/>
        <v>1</v>
      </c>
      <c r="N202" s="203">
        <f t="shared" si="20"/>
        <v>1</v>
      </c>
      <c r="O202" s="201" t="str">
        <f t="shared" si="21"/>
        <v>-</v>
      </c>
      <c r="P202" s="202">
        <v>1</v>
      </c>
      <c r="Q202" s="201">
        <v>0</v>
      </c>
      <c r="R202" s="203">
        <f t="shared" si="22"/>
        <v>1</v>
      </c>
      <c r="S202" s="144" t="s">
        <v>153</v>
      </c>
      <c r="T202" s="144" t="s">
        <v>153</v>
      </c>
      <c r="U202" s="144" t="s">
        <v>154</v>
      </c>
      <c r="V202" s="144"/>
      <c r="W202" s="94" t="b">
        <f t="shared" si="23"/>
        <v>1</v>
      </c>
    </row>
    <row r="203" spans="2:23" ht="12.9" customHeight="1">
      <c r="B203" s="8">
        <f>SUBTOTAL(3,C$4:$C203)</f>
        <v>200</v>
      </c>
      <c r="C203" s="197" t="s">
        <v>155</v>
      </c>
      <c r="D203" s="144">
        <v>2010</v>
      </c>
      <c r="E203" s="144" t="s">
        <v>60</v>
      </c>
      <c r="F203" s="144">
        <v>4</v>
      </c>
      <c r="G203" s="144" t="s">
        <v>56</v>
      </c>
      <c r="H203" s="144">
        <v>1</v>
      </c>
      <c r="I203" s="199">
        <f t="shared" si="18"/>
        <v>4</v>
      </c>
      <c r="J203" s="144">
        <v>2</v>
      </c>
      <c r="K203" s="144" t="s">
        <v>56</v>
      </c>
      <c r="L203" s="144">
        <v>2</v>
      </c>
      <c r="M203" s="144">
        <f t="shared" si="19"/>
        <v>4</v>
      </c>
      <c r="N203" s="203">
        <f t="shared" si="20"/>
        <v>2</v>
      </c>
      <c r="O203" s="201">
        <f t="shared" si="21"/>
        <v>2</v>
      </c>
      <c r="P203" s="202">
        <v>0</v>
      </c>
      <c r="Q203" s="201">
        <v>2</v>
      </c>
      <c r="R203" s="203">
        <f t="shared" si="22"/>
        <v>2</v>
      </c>
      <c r="S203" s="144" t="s">
        <v>153</v>
      </c>
      <c r="T203" s="144" t="s">
        <v>153</v>
      </c>
      <c r="U203" s="144" t="s">
        <v>135</v>
      </c>
      <c r="V203" s="144"/>
      <c r="W203" s="205" t="b">
        <f t="shared" si="23"/>
        <v>0</v>
      </c>
    </row>
    <row r="204" spans="2:23" ht="12.9" customHeight="1">
      <c r="B204" s="8">
        <f>SUBTOTAL(3,C$4:$C204)</f>
        <v>201</v>
      </c>
      <c r="C204" s="197" t="s">
        <v>156</v>
      </c>
      <c r="D204" s="144">
        <v>2024</v>
      </c>
      <c r="E204" s="144" t="s">
        <v>60</v>
      </c>
      <c r="F204" s="144">
        <v>15</v>
      </c>
      <c r="G204" s="144" t="s">
        <v>56</v>
      </c>
      <c r="H204" s="144" t="s">
        <v>56</v>
      </c>
      <c r="I204" s="199">
        <f t="shared" si="18"/>
        <v>15</v>
      </c>
      <c r="J204" s="144">
        <v>15</v>
      </c>
      <c r="K204" s="144" t="s">
        <v>56</v>
      </c>
      <c r="L204" s="144" t="s">
        <v>56</v>
      </c>
      <c r="M204" s="144">
        <f t="shared" si="19"/>
        <v>15</v>
      </c>
      <c r="N204" s="203">
        <f t="shared" si="20"/>
        <v>15</v>
      </c>
      <c r="O204" s="201" t="str">
        <f t="shared" si="21"/>
        <v>-</v>
      </c>
      <c r="P204" s="202">
        <v>15</v>
      </c>
      <c r="Q204" s="201">
        <v>0</v>
      </c>
      <c r="R204" s="203">
        <f t="shared" si="22"/>
        <v>15</v>
      </c>
      <c r="S204" s="144" t="s">
        <v>153</v>
      </c>
      <c r="T204" s="144" t="s">
        <v>153</v>
      </c>
      <c r="U204" s="144"/>
      <c r="V204" s="144"/>
      <c r="W204" s="94" t="b">
        <f t="shared" si="23"/>
        <v>1</v>
      </c>
    </row>
    <row r="205" spans="2:23" ht="12.9" customHeight="1">
      <c r="B205" s="8">
        <f>SUBTOTAL(3,C$4:$C205)</f>
        <v>202</v>
      </c>
      <c r="C205" s="197" t="s">
        <v>157</v>
      </c>
      <c r="D205" s="144">
        <v>2010</v>
      </c>
      <c r="E205" s="144" t="s">
        <v>60</v>
      </c>
      <c r="F205" s="144">
        <v>4</v>
      </c>
      <c r="G205" s="144" t="s">
        <v>56</v>
      </c>
      <c r="H205" s="144" t="s">
        <v>56</v>
      </c>
      <c r="I205" s="199">
        <f t="shared" si="18"/>
        <v>4</v>
      </c>
      <c r="J205" s="144">
        <v>4</v>
      </c>
      <c r="K205" s="144" t="s">
        <v>56</v>
      </c>
      <c r="L205" s="144" t="s">
        <v>56</v>
      </c>
      <c r="M205" s="144">
        <f t="shared" si="19"/>
        <v>4</v>
      </c>
      <c r="N205" s="203">
        <f t="shared" si="20"/>
        <v>4</v>
      </c>
      <c r="O205" s="201" t="str">
        <f t="shared" si="21"/>
        <v>-</v>
      </c>
      <c r="P205" s="202">
        <v>0</v>
      </c>
      <c r="Q205" s="201">
        <v>4</v>
      </c>
      <c r="R205" s="203">
        <f t="shared" si="22"/>
        <v>4</v>
      </c>
      <c r="S205" s="144" t="s">
        <v>153</v>
      </c>
      <c r="T205" s="144" t="s">
        <v>153</v>
      </c>
      <c r="U205" s="144" t="s">
        <v>116</v>
      </c>
      <c r="V205" s="144"/>
      <c r="W205" s="205" t="b">
        <f t="shared" si="23"/>
        <v>0</v>
      </c>
    </row>
    <row r="206" spans="2:23" ht="12.9" customHeight="1">
      <c r="B206" s="8">
        <f>SUBTOTAL(3,C$4:$C206)</f>
        <v>203</v>
      </c>
      <c r="C206" s="197" t="s">
        <v>158</v>
      </c>
      <c r="D206" s="144">
        <v>2024</v>
      </c>
      <c r="E206" s="144" t="s">
        <v>55</v>
      </c>
      <c r="F206" s="144">
        <v>2</v>
      </c>
      <c r="G206" s="144" t="s">
        <v>56</v>
      </c>
      <c r="H206" s="144" t="s">
        <v>56</v>
      </c>
      <c r="I206" s="199">
        <f t="shared" si="18"/>
        <v>2</v>
      </c>
      <c r="J206" s="144">
        <v>2</v>
      </c>
      <c r="K206" s="144" t="s">
        <v>56</v>
      </c>
      <c r="L206" s="144" t="s">
        <v>56</v>
      </c>
      <c r="M206" s="144">
        <f t="shared" si="19"/>
        <v>2</v>
      </c>
      <c r="N206" s="203">
        <f t="shared" si="20"/>
        <v>2</v>
      </c>
      <c r="O206" s="201" t="str">
        <f t="shared" si="21"/>
        <v>-</v>
      </c>
      <c r="P206" s="202">
        <v>2</v>
      </c>
      <c r="Q206" s="201">
        <v>0</v>
      </c>
      <c r="R206" s="203">
        <f t="shared" si="22"/>
        <v>2</v>
      </c>
      <c r="S206" s="144" t="s">
        <v>153</v>
      </c>
      <c r="T206" s="144" t="s">
        <v>153</v>
      </c>
      <c r="U206" s="144"/>
      <c r="V206" s="144"/>
      <c r="W206" s="94" t="b">
        <f t="shared" si="23"/>
        <v>1</v>
      </c>
    </row>
    <row r="207" spans="2:23" ht="12.9" customHeight="1">
      <c r="B207" s="8">
        <f>SUBTOTAL(3,C$4:$C207)</f>
        <v>204</v>
      </c>
      <c r="C207" s="197" t="s">
        <v>64</v>
      </c>
      <c r="D207" s="144">
        <v>2018</v>
      </c>
      <c r="E207" s="144" t="s">
        <v>63</v>
      </c>
      <c r="F207" s="144">
        <v>29</v>
      </c>
      <c r="G207" s="144" t="s">
        <v>56</v>
      </c>
      <c r="H207" s="144" t="s">
        <v>56</v>
      </c>
      <c r="I207" s="199">
        <f t="shared" si="18"/>
        <v>29</v>
      </c>
      <c r="J207" s="144">
        <v>56</v>
      </c>
      <c r="K207" s="144" t="s">
        <v>56</v>
      </c>
      <c r="L207" s="144">
        <v>10</v>
      </c>
      <c r="M207" s="144">
        <f t="shared" si="19"/>
        <v>66</v>
      </c>
      <c r="N207" s="203">
        <f t="shared" si="20"/>
        <v>56</v>
      </c>
      <c r="O207" s="201">
        <f t="shared" si="21"/>
        <v>10</v>
      </c>
      <c r="P207" s="202">
        <v>56</v>
      </c>
      <c r="Q207" s="144">
        <v>10</v>
      </c>
      <c r="R207" s="203">
        <f t="shared" si="22"/>
        <v>66</v>
      </c>
      <c r="S207" s="144" t="s">
        <v>153</v>
      </c>
      <c r="T207" s="144" t="s">
        <v>159</v>
      </c>
      <c r="U207" s="144" t="s">
        <v>160</v>
      </c>
      <c r="V207" s="144"/>
      <c r="W207" s="94" t="b">
        <f t="shared" si="23"/>
        <v>1</v>
      </c>
    </row>
    <row r="208" spans="2:23" s="65" customFormat="1" ht="12.9" customHeight="1">
      <c r="B208" s="8">
        <f>SUBTOTAL(3,C$4:$C208)</f>
        <v>205</v>
      </c>
      <c r="C208" s="143" t="s">
        <v>161</v>
      </c>
      <c r="D208" s="144">
        <v>2016</v>
      </c>
      <c r="E208" s="144" t="s">
        <v>63</v>
      </c>
      <c r="F208" s="144"/>
      <c r="G208" s="144"/>
      <c r="H208" s="144"/>
      <c r="I208" s="203"/>
      <c r="J208" s="208">
        <v>6</v>
      </c>
      <c r="K208" s="208" t="s">
        <v>56</v>
      </c>
      <c r="L208" s="208" t="s">
        <v>56</v>
      </c>
      <c r="M208" s="144">
        <f t="shared" ref="M208:M209" si="24">SUM(J208:L208)</f>
        <v>6</v>
      </c>
      <c r="N208" s="203">
        <f t="shared" ref="N208:N209" si="25">J208</f>
        <v>6</v>
      </c>
      <c r="O208" s="201" t="str">
        <f t="shared" si="21"/>
        <v>-</v>
      </c>
      <c r="P208" s="202">
        <v>6</v>
      </c>
      <c r="Q208" s="201">
        <v>0</v>
      </c>
      <c r="R208" s="203">
        <f t="shared" ref="R208:R209" si="26">P208+Q208</f>
        <v>6</v>
      </c>
      <c r="S208" s="144" t="s">
        <v>153</v>
      </c>
      <c r="T208" s="144" t="s">
        <v>159</v>
      </c>
      <c r="U208" s="144"/>
      <c r="V208" s="204"/>
      <c r="W208" s="94" t="b">
        <f t="shared" si="23"/>
        <v>1</v>
      </c>
    </row>
    <row r="209" spans="2:23" s="65" customFormat="1" ht="12.9" customHeight="1">
      <c r="B209" s="8">
        <f>SUBTOTAL(3,C$4:$C209)</f>
        <v>206</v>
      </c>
      <c r="C209" s="143" t="s">
        <v>162</v>
      </c>
      <c r="D209" s="144">
        <v>2010</v>
      </c>
      <c r="E209" s="143" t="s">
        <v>63</v>
      </c>
      <c r="F209" s="143"/>
      <c r="G209" s="143"/>
      <c r="H209" s="143"/>
      <c r="I209" s="143"/>
      <c r="J209" s="208">
        <v>18</v>
      </c>
      <c r="K209" s="208" t="s">
        <v>56</v>
      </c>
      <c r="L209" s="208" t="s">
        <v>56</v>
      </c>
      <c r="M209" s="208">
        <f t="shared" si="24"/>
        <v>18</v>
      </c>
      <c r="N209" s="209">
        <f t="shared" si="25"/>
        <v>18</v>
      </c>
      <c r="O209" s="201" t="str">
        <f t="shared" si="21"/>
        <v>-</v>
      </c>
      <c r="P209" s="210">
        <v>18</v>
      </c>
      <c r="Q209" s="201">
        <v>0</v>
      </c>
      <c r="R209" s="208">
        <f t="shared" si="26"/>
        <v>18</v>
      </c>
      <c r="S209" s="144" t="s">
        <v>153</v>
      </c>
      <c r="T209" s="144" t="s">
        <v>159</v>
      </c>
      <c r="U209" s="144"/>
      <c r="V209" s="143"/>
      <c r="W209" s="94" t="b">
        <f t="shared" si="23"/>
        <v>1</v>
      </c>
    </row>
    <row r="210" spans="2:23" ht="12.9" customHeight="1">
      <c r="B210" s="8">
        <f>SUBTOTAL(3,C$4:$C210)</f>
        <v>207</v>
      </c>
      <c r="C210" s="197" t="s">
        <v>99</v>
      </c>
      <c r="D210" s="144">
        <v>2010</v>
      </c>
      <c r="E210" s="144" t="s">
        <v>60</v>
      </c>
      <c r="F210" s="144">
        <v>30</v>
      </c>
      <c r="G210" s="144" t="s">
        <v>56</v>
      </c>
      <c r="H210" s="144" t="s">
        <v>56</v>
      </c>
      <c r="I210" s="199">
        <f t="shared" si="18"/>
        <v>30</v>
      </c>
      <c r="J210" s="144">
        <v>33</v>
      </c>
      <c r="K210" s="144" t="s">
        <v>56</v>
      </c>
      <c r="L210" s="144" t="s">
        <v>56</v>
      </c>
      <c r="M210" s="144">
        <f t="shared" si="19"/>
        <v>33</v>
      </c>
      <c r="N210" s="150">
        <f t="shared" si="20"/>
        <v>33</v>
      </c>
      <c r="O210" s="201" t="str">
        <f t="shared" si="21"/>
        <v>-</v>
      </c>
      <c r="P210" s="202">
        <v>33</v>
      </c>
      <c r="Q210" s="201">
        <v>0</v>
      </c>
      <c r="R210" s="203">
        <f t="shared" si="22"/>
        <v>33</v>
      </c>
      <c r="S210" s="144" t="s">
        <v>163</v>
      </c>
      <c r="T210" s="144" t="s">
        <v>164</v>
      </c>
      <c r="U210" s="144"/>
      <c r="V210" s="144"/>
      <c r="W210" s="94" t="b">
        <f t="shared" si="23"/>
        <v>1</v>
      </c>
    </row>
    <row r="211" spans="2:23" ht="12.9" customHeight="1">
      <c r="B211" s="8">
        <f>SUBTOTAL(3,C$4:$C211)</f>
        <v>208</v>
      </c>
      <c r="C211" s="197" t="s">
        <v>165</v>
      </c>
      <c r="D211" s="144">
        <v>2010</v>
      </c>
      <c r="E211" s="144" t="s">
        <v>60</v>
      </c>
      <c r="F211" s="144">
        <v>4</v>
      </c>
      <c r="G211" s="144" t="s">
        <v>56</v>
      </c>
      <c r="H211" s="144" t="s">
        <v>56</v>
      </c>
      <c r="I211" s="199">
        <f t="shared" si="18"/>
        <v>4</v>
      </c>
      <c r="J211" s="144">
        <v>4</v>
      </c>
      <c r="K211" s="144" t="s">
        <v>56</v>
      </c>
      <c r="L211" s="144" t="s">
        <v>56</v>
      </c>
      <c r="M211" s="144">
        <f t="shared" si="19"/>
        <v>4</v>
      </c>
      <c r="N211" s="150">
        <f t="shared" si="20"/>
        <v>4</v>
      </c>
      <c r="O211" s="201" t="str">
        <f t="shared" si="21"/>
        <v>-</v>
      </c>
      <c r="P211" s="202">
        <v>4</v>
      </c>
      <c r="Q211" s="201">
        <v>0</v>
      </c>
      <c r="R211" s="203">
        <f t="shared" si="22"/>
        <v>4</v>
      </c>
      <c r="S211" s="144" t="s">
        <v>163</v>
      </c>
      <c r="T211" s="144" t="s">
        <v>164</v>
      </c>
      <c r="U211" s="144"/>
      <c r="V211" s="144"/>
      <c r="W211" s="94" t="b">
        <f t="shared" si="23"/>
        <v>1</v>
      </c>
    </row>
    <row r="212" spans="2:23" ht="12.9" customHeight="1">
      <c r="B212" s="8">
        <f>SUBTOTAL(3,C$4:$C212)</f>
        <v>209</v>
      </c>
      <c r="C212" s="197" t="s">
        <v>166</v>
      </c>
      <c r="D212" s="144">
        <v>2018</v>
      </c>
      <c r="E212" s="144" t="s">
        <v>63</v>
      </c>
      <c r="F212" s="144">
        <v>4</v>
      </c>
      <c r="G212" s="144" t="s">
        <v>56</v>
      </c>
      <c r="H212" s="144" t="s">
        <v>56</v>
      </c>
      <c r="I212" s="199">
        <f t="shared" si="18"/>
        <v>4</v>
      </c>
      <c r="J212" s="144">
        <v>4</v>
      </c>
      <c r="K212" s="144" t="s">
        <v>56</v>
      </c>
      <c r="L212" s="144" t="s">
        <v>56</v>
      </c>
      <c r="M212" s="144">
        <f t="shared" si="19"/>
        <v>4</v>
      </c>
      <c r="N212" s="150">
        <f t="shared" si="20"/>
        <v>4</v>
      </c>
      <c r="O212" s="201" t="str">
        <f t="shared" si="21"/>
        <v>-</v>
      </c>
      <c r="P212" s="202">
        <v>4</v>
      </c>
      <c r="Q212" s="201">
        <v>0</v>
      </c>
      <c r="R212" s="203">
        <f t="shared" si="22"/>
        <v>4</v>
      </c>
      <c r="S212" s="144" t="s">
        <v>163</v>
      </c>
      <c r="T212" s="144" t="s">
        <v>164</v>
      </c>
      <c r="U212" s="144"/>
      <c r="V212" s="144"/>
      <c r="W212" s="94" t="b">
        <f t="shared" si="23"/>
        <v>1</v>
      </c>
    </row>
    <row r="213" spans="2:23" ht="12.9" customHeight="1">
      <c r="B213" s="8">
        <f>SUBTOTAL(3,C$4:$C213)</f>
        <v>210</v>
      </c>
      <c r="C213" s="197" t="s">
        <v>167</v>
      </c>
      <c r="D213" s="144">
        <v>2018</v>
      </c>
      <c r="E213" s="144" t="s">
        <v>63</v>
      </c>
      <c r="F213" s="144">
        <v>1</v>
      </c>
      <c r="G213" s="144" t="s">
        <v>56</v>
      </c>
      <c r="H213" s="144" t="s">
        <v>56</v>
      </c>
      <c r="I213" s="199">
        <f t="shared" si="18"/>
        <v>1</v>
      </c>
      <c r="J213" s="144">
        <v>1</v>
      </c>
      <c r="K213" s="144" t="s">
        <v>56</v>
      </c>
      <c r="L213" s="144" t="s">
        <v>56</v>
      </c>
      <c r="M213" s="144">
        <f t="shared" si="19"/>
        <v>1</v>
      </c>
      <c r="N213" s="150">
        <f t="shared" si="20"/>
        <v>1</v>
      </c>
      <c r="O213" s="201" t="str">
        <f t="shared" si="21"/>
        <v>-</v>
      </c>
      <c r="P213" s="202">
        <v>1</v>
      </c>
      <c r="Q213" s="201">
        <v>0</v>
      </c>
      <c r="R213" s="203">
        <f t="shared" si="22"/>
        <v>1</v>
      </c>
      <c r="S213" s="144" t="s">
        <v>163</v>
      </c>
      <c r="T213" s="144" t="s">
        <v>164</v>
      </c>
      <c r="U213" s="144"/>
      <c r="V213" s="144"/>
      <c r="W213" s="94" t="b">
        <f t="shared" si="23"/>
        <v>1</v>
      </c>
    </row>
    <row r="214" spans="2:23" ht="12.9" customHeight="1">
      <c r="B214" s="8">
        <f>SUBTOTAL(3,C$4:$C214)</f>
        <v>211</v>
      </c>
      <c r="C214" s="197" t="s">
        <v>168</v>
      </c>
      <c r="D214" s="144">
        <v>2010</v>
      </c>
      <c r="E214" s="144" t="s">
        <v>60</v>
      </c>
      <c r="F214" s="144">
        <v>1</v>
      </c>
      <c r="G214" s="144" t="s">
        <v>56</v>
      </c>
      <c r="H214" s="144" t="s">
        <v>56</v>
      </c>
      <c r="I214" s="199">
        <f t="shared" si="18"/>
        <v>1</v>
      </c>
      <c r="J214" s="144">
        <v>1</v>
      </c>
      <c r="K214" s="144" t="s">
        <v>56</v>
      </c>
      <c r="L214" s="144" t="s">
        <v>56</v>
      </c>
      <c r="M214" s="144">
        <f t="shared" si="19"/>
        <v>1</v>
      </c>
      <c r="N214" s="150">
        <f t="shared" si="20"/>
        <v>1</v>
      </c>
      <c r="O214" s="201" t="str">
        <f t="shared" si="21"/>
        <v>-</v>
      </c>
      <c r="P214" s="202">
        <v>1</v>
      </c>
      <c r="Q214" s="201">
        <v>0</v>
      </c>
      <c r="R214" s="203">
        <f t="shared" si="22"/>
        <v>1</v>
      </c>
      <c r="S214" s="144" t="s">
        <v>163</v>
      </c>
      <c r="T214" s="144" t="s">
        <v>164</v>
      </c>
      <c r="U214" s="144"/>
      <c r="V214" s="144"/>
      <c r="W214" s="94" t="b">
        <f t="shared" si="23"/>
        <v>1</v>
      </c>
    </row>
    <row r="215" spans="2:23" ht="12.9" customHeight="1">
      <c r="B215" s="8">
        <f>SUBTOTAL(3,C$4:$C215)</f>
        <v>212</v>
      </c>
      <c r="C215" s="197" t="s">
        <v>169</v>
      </c>
      <c r="D215" s="144">
        <v>2010</v>
      </c>
      <c r="E215" s="144" t="s">
        <v>71</v>
      </c>
      <c r="F215" s="144">
        <v>1</v>
      </c>
      <c r="G215" s="144" t="s">
        <v>56</v>
      </c>
      <c r="H215" s="144" t="s">
        <v>56</v>
      </c>
      <c r="I215" s="199">
        <f t="shared" si="18"/>
        <v>1</v>
      </c>
      <c r="J215" s="144">
        <v>1</v>
      </c>
      <c r="K215" s="144" t="s">
        <v>56</v>
      </c>
      <c r="L215" s="144" t="s">
        <v>56</v>
      </c>
      <c r="M215" s="144">
        <f t="shared" si="19"/>
        <v>1</v>
      </c>
      <c r="N215" s="150">
        <f t="shared" si="20"/>
        <v>1</v>
      </c>
      <c r="O215" s="201" t="str">
        <f t="shared" si="21"/>
        <v>-</v>
      </c>
      <c r="P215" s="202">
        <v>1</v>
      </c>
      <c r="Q215" s="201">
        <v>0</v>
      </c>
      <c r="R215" s="203">
        <f t="shared" si="22"/>
        <v>1</v>
      </c>
      <c r="S215" s="144" t="s">
        <v>163</v>
      </c>
      <c r="T215" s="144" t="s">
        <v>164</v>
      </c>
      <c r="U215" s="144"/>
      <c r="V215" s="144"/>
      <c r="W215" s="94" t="b">
        <f t="shared" si="23"/>
        <v>1</v>
      </c>
    </row>
    <row r="216" spans="2:23" ht="12.9" customHeight="1">
      <c r="B216" s="8">
        <f>SUBTOTAL(3,C$4:$C216)</f>
        <v>213</v>
      </c>
      <c r="C216" s="197" t="s">
        <v>170</v>
      </c>
      <c r="D216" s="144">
        <v>2010</v>
      </c>
      <c r="E216" s="144" t="s">
        <v>71</v>
      </c>
      <c r="F216" s="144">
        <v>1</v>
      </c>
      <c r="G216" s="144" t="s">
        <v>56</v>
      </c>
      <c r="H216" s="144" t="s">
        <v>56</v>
      </c>
      <c r="I216" s="199">
        <f t="shared" si="18"/>
        <v>1</v>
      </c>
      <c r="J216" s="144">
        <v>1</v>
      </c>
      <c r="K216" s="144" t="s">
        <v>56</v>
      </c>
      <c r="L216" s="144" t="s">
        <v>56</v>
      </c>
      <c r="M216" s="144">
        <f t="shared" si="19"/>
        <v>1</v>
      </c>
      <c r="N216" s="150">
        <f t="shared" si="20"/>
        <v>1</v>
      </c>
      <c r="O216" s="201" t="str">
        <f t="shared" si="21"/>
        <v>-</v>
      </c>
      <c r="P216" s="202">
        <v>1</v>
      </c>
      <c r="Q216" s="201">
        <v>0</v>
      </c>
      <c r="R216" s="203">
        <f t="shared" si="22"/>
        <v>1</v>
      </c>
      <c r="S216" s="144" t="s">
        <v>163</v>
      </c>
      <c r="T216" s="144" t="s">
        <v>164</v>
      </c>
      <c r="U216" s="144"/>
      <c r="V216" s="144"/>
      <c r="W216" s="94" t="b">
        <f t="shared" si="23"/>
        <v>1</v>
      </c>
    </row>
    <row r="217" spans="2:23" ht="12.9" customHeight="1">
      <c r="B217" s="8">
        <f>SUBTOTAL(3,C$4:$C217)</f>
        <v>214</v>
      </c>
      <c r="C217" s="197" t="s">
        <v>171</v>
      </c>
      <c r="D217" s="144"/>
      <c r="E217" s="144" t="s">
        <v>60</v>
      </c>
      <c r="F217" s="144">
        <v>1</v>
      </c>
      <c r="G217" s="144" t="s">
        <v>56</v>
      </c>
      <c r="H217" s="144" t="s">
        <v>56</v>
      </c>
      <c r="I217" s="199">
        <f t="shared" si="18"/>
        <v>1</v>
      </c>
      <c r="J217" s="144">
        <v>1</v>
      </c>
      <c r="K217" s="144" t="s">
        <v>56</v>
      </c>
      <c r="L217" s="144" t="s">
        <v>56</v>
      </c>
      <c r="M217" s="144">
        <f t="shared" si="19"/>
        <v>1</v>
      </c>
      <c r="N217" s="150">
        <f t="shared" si="20"/>
        <v>1</v>
      </c>
      <c r="O217" s="201" t="str">
        <f t="shared" si="21"/>
        <v>-</v>
      </c>
      <c r="P217" s="202">
        <v>1</v>
      </c>
      <c r="Q217" s="201">
        <v>0</v>
      </c>
      <c r="R217" s="203">
        <f t="shared" si="22"/>
        <v>1</v>
      </c>
      <c r="S217" s="144" t="s">
        <v>163</v>
      </c>
      <c r="T217" s="144" t="s">
        <v>164</v>
      </c>
      <c r="U217" s="144"/>
      <c r="V217" s="144"/>
      <c r="W217" s="94" t="b">
        <f t="shared" si="23"/>
        <v>1</v>
      </c>
    </row>
    <row r="218" spans="2:23" ht="12.9" customHeight="1">
      <c r="B218" s="8">
        <f>SUBTOTAL(3,C$4:$C218)</f>
        <v>215</v>
      </c>
      <c r="C218" s="197" t="s">
        <v>172</v>
      </c>
      <c r="D218" s="144">
        <v>2010</v>
      </c>
      <c r="E218" s="144" t="s">
        <v>55</v>
      </c>
      <c r="F218" s="144">
        <v>3</v>
      </c>
      <c r="G218" s="144" t="s">
        <v>56</v>
      </c>
      <c r="H218" s="144" t="s">
        <v>56</v>
      </c>
      <c r="I218" s="199">
        <f t="shared" si="18"/>
        <v>3</v>
      </c>
      <c r="J218" s="144">
        <v>3</v>
      </c>
      <c r="K218" s="144" t="s">
        <v>56</v>
      </c>
      <c r="L218" s="144" t="s">
        <v>56</v>
      </c>
      <c r="M218" s="144">
        <f t="shared" si="19"/>
        <v>3</v>
      </c>
      <c r="N218" s="150">
        <f t="shared" si="20"/>
        <v>3</v>
      </c>
      <c r="O218" s="201" t="str">
        <f t="shared" si="21"/>
        <v>-</v>
      </c>
      <c r="P218" s="202">
        <v>3</v>
      </c>
      <c r="Q218" s="201">
        <v>0</v>
      </c>
      <c r="R218" s="203">
        <f t="shared" si="22"/>
        <v>3</v>
      </c>
      <c r="S218" s="144" t="s">
        <v>163</v>
      </c>
      <c r="T218" s="144" t="s">
        <v>164</v>
      </c>
      <c r="U218" s="144"/>
      <c r="V218" s="144"/>
      <c r="W218" s="94" t="b">
        <f t="shared" si="23"/>
        <v>1</v>
      </c>
    </row>
    <row r="219" spans="2:23" ht="12.9" customHeight="1">
      <c r="B219" s="8">
        <f>SUBTOTAL(3,C$4:$C219)</f>
        <v>216</v>
      </c>
      <c r="C219" s="197" t="s">
        <v>173</v>
      </c>
      <c r="D219" s="144">
        <v>2010</v>
      </c>
      <c r="E219" s="144" t="s">
        <v>60</v>
      </c>
      <c r="F219" s="144">
        <v>1</v>
      </c>
      <c r="G219" s="144" t="s">
        <v>56</v>
      </c>
      <c r="H219" s="144" t="s">
        <v>56</v>
      </c>
      <c r="I219" s="199">
        <f t="shared" si="18"/>
        <v>1</v>
      </c>
      <c r="J219" s="144">
        <v>1</v>
      </c>
      <c r="K219" s="144" t="s">
        <v>56</v>
      </c>
      <c r="L219" s="144" t="s">
        <v>56</v>
      </c>
      <c r="M219" s="144">
        <f t="shared" si="19"/>
        <v>1</v>
      </c>
      <c r="N219" s="150">
        <f t="shared" si="20"/>
        <v>1</v>
      </c>
      <c r="O219" s="201" t="str">
        <f t="shared" si="21"/>
        <v>-</v>
      </c>
      <c r="P219" s="202">
        <v>1</v>
      </c>
      <c r="Q219" s="201">
        <v>0</v>
      </c>
      <c r="R219" s="203">
        <f t="shared" si="22"/>
        <v>1</v>
      </c>
      <c r="S219" s="144" t="s">
        <v>163</v>
      </c>
      <c r="T219" s="144" t="s">
        <v>164</v>
      </c>
      <c r="U219" s="144"/>
      <c r="V219" s="144"/>
      <c r="W219" s="94" t="b">
        <f t="shared" si="23"/>
        <v>1</v>
      </c>
    </row>
    <row r="220" spans="2:23" ht="12.9" customHeight="1">
      <c r="B220" s="8">
        <f>SUBTOTAL(3,C$4:$C220)</f>
        <v>217</v>
      </c>
      <c r="C220" s="197" t="s">
        <v>70</v>
      </c>
      <c r="D220" s="144">
        <v>2010</v>
      </c>
      <c r="E220" s="144" t="s">
        <v>71</v>
      </c>
      <c r="F220" s="144">
        <v>3</v>
      </c>
      <c r="G220" s="144" t="s">
        <v>56</v>
      </c>
      <c r="H220" s="144" t="s">
        <v>56</v>
      </c>
      <c r="I220" s="199">
        <f t="shared" si="18"/>
        <v>3</v>
      </c>
      <c r="J220" s="144">
        <v>3</v>
      </c>
      <c r="K220" s="144" t="s">
        <v>56</v>
      </c>
      <c r="L220" s="144" t="s">
        <v>56</v>
      </c>
      <c r="M220" s="144">
        <f t="shared" si="19"/>
        <v>3</v>
      </c>
      <c r="N220" s="150">
        <f t="shared" si="20"/>
        <v>3</v>
      </c>
      <c r="O220" s="201" t="str">
        <f t="shared" si="21"/>
        <v>-</v>
      </c>
      <c r="P220" s="202">
        <v>3</v>
      </c>
      <c r="Q220" s="201">
        <v>0</v>
      </c>
      <c r="R220" s="203">
        <f t="shared" si="22"/>
        <v>3</v>
      </c>
      <c r="S220" s="144" t="s">
        <v>163</v>
      </c>
      <c r="T220" s="144" t="s">
        <v>164</v>
      </c>
      <c r="U220" s="144"/>
      <c r="V220" s="144"/>
      <c r="W220" s="94" t="b">
        <f t="shared" si="23"/>
        <v>1</v>
      </c>
    </row>
    <row r="221" spans="2:23" ht="12.9" customHeight="1">
      <c r="B221" s="8">
        <f>SUBTOTAL(3,C$4:$C221)</f>
        <v>218</v>
      </c>
      <c r="C221" s="197" t="s">
        <v>174</v>
      </c>
      <c r="D221" s="144">
        <v>2010</v>
      </c>
      <c r="E221" s="144" t="s">
        <v>55</v>
      </c>
      <c r="F221" s="144">
        <v>1</v>
      </c>
      <c r="G221" s="144" t="s">
        <v>56</v>
      </c>
      <c r="H221" s="144" t="s">
        <v>56</v>
      </c>
      <c r="I221" s="199">
        <f t="shared" si="18"/>
        <v>1</v>
      </c>
      <c r="J221" s="144">
        <v>1</v>
      </c>
      <c r="K221" s="144" t="s">
        <v>56</v>
      </c>
      <c r="L221" s="144" t="s">
        <v>56</v>
      </c>
      <c r="M221" s="144">
        <f t="shared" si="19"/>
        <v>1</v>
      </c>
      <c r="N221" s="150">
        <f t="shared" si="20"/>
        <v>1</v>
      </c>
      <c r="O221" s="201" t="str">
        <f t="shared" si="21"/>
        <v>-</v>
      </c>
      <c r="P221" s="202">
        <v>1</v>
      </c>
      <c r="Q221" s="201">
        <v>0</v>
      </c>
      <c r="R221" s="203">
        <f t="shared" si="22"/>
        <v>1</v>
      </c>
      <c r="S221" s="144" t="s">
        <v>163</v>
      </c>
      <c r="T221" s="144" t="s">
        <v>164</v>
      </c>
      <c r="U221" s="144"/>
      <c r="V221" s="144"/>
      <c r="W221" s="94" t="b">
        <f t="shared" si="23"/>
        <v>1</v>
      </c>
    </row>
    <row r="222" spans="2:23" ht="12.9" customHeight="1">
      <c r="B222" s="8">
        <f>SUBTOTAL(3,C$4:$C222)</f>
        <v>219</v>
      </c>
      <c r="C222" s="197" t="s">
        <v>147</v>
      </c>
      <c r="D222" s="144"/>
      <c r="E222" s="144" t="s">
        <v>55</v>
      </c>
      <c r="F222" s="144">
        <v>1</v>
      </c>
      <c r="G222" s="144" t="s">
        <v>56</v>
      </c>
      <c r="H222" s="144" t="s">
        <v>56</v>
      </c>
      <c r="I222" s="199">
        <f t="shared" si="18"/>
        <v>1</v>
      </c>
      <c r="J222" s="144">
        <v>1</v>
      </c>
      <c r="K222" s="144" t="s">
        <v>56</v>
      </c>
      <c r="L222" s="144" t="s">
        <v>56</v>
      </c>
      <c r="M222" s="144">
        <f t="shared" si="19"/>
        <v>1</v>
      </c>
      <c r="N222" s="150">
        <f t="shared" si="20"/>
        <v>1</v>
      </c>
      <c r="O222" s="201" t="str">
        <f t="shared" si="21"/>
        <v>-</v>
      </c>
      <c r="P222" s="202">
        <v>1</v>
      </c>
      <c r="Q222" s="201">
        <v>0</v>
      </c>
      <c r="R222" s="203">
        <f t="shared" si="22"/>
        <v>1</v>
      </c>
      <c r="S222" s="144" t="s">
        <v>163</v>
      </c>
      <c r="T222" s="144" t="s">
        <v>164</v>
      </c>
      <c r="U222" s="144"/>
      <c r="V222" s="144"/>
      <c r="W222" s="94" t="b">
        <f t="shared" si="23"/>
        <v>1</v>
      </c>
    </row>
    <row r="223" spans="2:23" ht="12.9" customHeight="1">
      <c r="B223" s="8">
        <f>SUBTOTAL(3,C$4:$C223)</f>
        <v>220</v>
      </c>
      <c r="C223" s="197" t="s">
        <v>139</v>
      </c>
      <c r="D223" s="144">
        <v>2010</v>
      </c>
      <c r="E223" s="144" t="s">
        <v>55</v>
      </c>
      <c r="F223" s="144">
        <v>1</v>
      </c>
      <c r="G223" s="144" t="s">
        <v>56</v>
      </c>
      <c r="H223" s="144" t="s">
        <v>56</v>
      </c>
      <c r="I223" s="199">
        <f t="shared" si="18"/>
        <v>1</v>
      </c>
      <c r="J223" s="144">
        <v>1</v>
      </c>
      <c r="K223" s="144" t="s">
        <v>56</v>
      </c>
      <c r="L223" s="144" t="s">
        <v>56</v>
      </c>
      <c r="M223" s="144">
        <f t="shared" si="19"/>
        <v>1</v>
      </c>
      <c r="N223" s="150">
        <f t="shared" si="20"/>
        <v>1</v>
      </c>
      <c r="O223" s="201" t="str">
        <f t="shared" si="21"/>
        <v>-</v>
      </c>
      <c r="P223" s="202">
        <v>1</v>
      </c>
      <c r="Q223" s="201">
        <v>0</v>
      </c>
      <c r="R223" s="203">
        <f t="shared" si="22"/>
        <v>1</v>
      </c>
      <c r="S223" s="144" t="s">
        <v>163</v>
      </c>
      <c r="T223" s="144" t="s">
        <v>164</v>
      </c>
      <c r="U223" s="144"/>
      <c r="V223" s="144"/>
      <c r="W223" s="94" t="b">
        <f t="shared" si="23"/>
        <v>1</v>
      </c>
    </row>
    <row r="224" spans="2:23" ht="12.9" customHeight="1">
      <c r="B224" s="8">
        <f>SUBTOTAL(3,C$4:$C224)</f>
        <v>221</v>
      </c>
      <c r="C224" s="197" t="s">
        <v>175</v>
      </c>
      <c r="D224" s="144">
        <v>2018</v>
      </c>
      <c r="E224" s="144" t="s">
        <v>55</v>
      </c>
      <c r="F224" s="144">
        <v>1</v>
      </c>
      <c r="G224" s="144" t="s">
        <v>56</v>
      </c>
      <c r="H224" s="144" t="s">
        <v>56</v>
      </c>
      <c r="I224" s="199">
        <f t="shared" si="18"/>
        <v>1</v>
      </c>
      <c r="J224" s="144">
        <v>1</v>
      </c>
      <c r="K224" s="144" t="s">
        <v>56</v>
      </c>
      <c r="L224" s="144" t="s">
        <v>56</v>
      </c>
      <c r="M224" s="144">
        <f t="shared" si="19"/>
        <v>1</v>
      </c>
      <c r="N224" s="150">
        <f t="shared" si="20"/>
        <v>1</v>
      </c>
      <c r="O224" s="201" t="str">
        <f t="shared" si="21"/>
        <v>-</v>
      </c>
      <c r="P224" s="202">
        <v>1</v>
      </c>
      <c r="Q224" s="201">
        <v>0</v>
      </c>
      <c r="R224" s="203">
        <f t="shared" si="22"/>
        <v>1</v>
      </c>
      <c r="S224" s="144" t="s">
        <v>163</v>
      </c>
      <c r="T224" s="144" t="s">
        <v>164</v>
      </c>
      <c r="U224" s="144"/>
      <c r="V224" s="144"/>
      <c r="W224" s="94" t="b">
        <f t="shared" si="23"/>
        <v>1</v>
      </c>
    </row>
    <row r="225" spans="2:23" ht="12.9" customHeight="1">
      <c r="B225" s="8">
        <f>SUBTOTAL(3,C$4:$C225)</f>
        <v>222</v>
      </c>
      <c r="C225" s="197" t="s">
        <v>75</v>
      </c>
      <c r="D225" s="144">
        <v>2010</v>
      </c>
      <c r="E225" s="144" t="s">
        <v>60</v>
      </c>
      <c r="F225" s="144">
        <v>2</v>
      </c>
      <c r="G225" s="144" t="s">
        <v>56</v>
      </c>
      <c r="H225" s="144" t="s">
        <v>56</v>
      </c>
      <c r="I225" s="199">
        <f t="shared" si="18"/>
        <v>2</v>
      </c>
      <c r="J225" s="144">
        <v>2</v>
      </c>
      <c r="K225" s="144" t="s">
        <v>56</v>
      </c>
      <c r="L225" s="144" t="s">
        <v>56</v>
      </c>
      <c r="M225" s="144">
        <f t="shared" si="19"/>
        <v>2</v>
      </c>
      <c r="N225" s="150">
        <f t="shared" si="20"/>
        <v>2</v>
      </c>
      <c r="O225" s="201" t="str">
        <f t="shared" si="21"/>
        <v>-</v>
      </c>
      <c r="P225" s="202">
        <v>2</v>
      </c>
      <c r="Q225" s="201">
        <v>0</v>
      </c>
      <c r="R225" s="203">
        <f t="shared" si="22"/>
        <v>2</v>
      </c>
      <c r="S225" s="144" t="s">
        <v>163</v>
      </c>
      <c r="T225" s="144" t="s">
        <v>164</v>
      </c>
      <c r="U225" s="144"/>
      <c r="V225" s="144"/>
      <c r="W225" s="94" t="b">
        <f t="shared" si="23"/>
        <v>1</v>
      </c>
    </row>
    <row r="226" spans="2:23" ht="12.9" customHeight="1">
      <c r="B226" s="8">
        <f>SUBTOTAL(3,C$4:$C226)</f>
        <v>223</v>
      </c>
      <c r="C226" s="197" t="s">
        <v>76</v>
      </c>
      <c r="D226" s="144">
        <v>2010</v>
      </c>
      <c r="E226" s="144" t="s">
        <v>60</v>
      </c>
      <c r="F226" s="144">
        <v>1</v>
      </c>
      <c r="G226" s="144" t="s">
        <v>56</v>
      </c>
      <c r="H226" s="144" t="s">
        <v>56</v>
      </c>
      <c r="I226" s="199">
        <f t="shared" si="18"/>
        <v>1</v>
      </c>
      <c r="J226" s="144">
        <v>1</v>
      </c>
      <c r="K226" s="144" t="s">
        <v>56</v>
      </c>
      <c r="L226" s="144" t="s">
        <v>56</v>
      </c>
      <c r="M226" s="144">
        <f t="shared" si="19"/>
        <v>1</v>
      </c>
      <c r="N226" s="150">
        <f t="shared" si="20"/>
        <v>1</v>
      </c>
      <c r="O226" s="201" t="str">
        <f t="shared" si="21"/>
        <v>-</v>
      </c>
      <c r="P226" s="202">
        <v>1</v>
      </c>
      <c r="Q226" s="201">
        <v>0</v>
      </c>
      <c r="R226" s="203">
        <f t="shared" si="22"/>
        <v>1</v>
      </c>
      <c r="S226" s="144" t="s">
        <v>163</v>
      </c>
      <c r="T226" s="144" t="s">
        <v>164</v>
      </c>
      <c r="U226" s="144"/>
      <c r="V226" s="144"/>
      <c r="W226" s="94" t="b">
        <f t="shared" si="23"/>
        <v>1</v>
      </c>
    </row>
    <row r="227" spans="2:23" ht="12.9" customHeight="1">
      <c r="B227" s="8">
        <f>SUBTOTAL(3,C$4:$C227)</f>
        <v>224</v>
      </c>
      <c r="C227" s="197" t="s">
        <v>176</v>
      </c>
      <c r="D227" s="144">
        <v>2010</v>
      </c>
      <c r="E227" s="144" t="s">
        <v>55</v>
      </c>
      <c r="F227" s="144">
        <v>1</v>
      </c>
      <c r="G227" s="144" t="s">
        <v>56</v>
      </c>
      <c r="H227" s="144" t="s">
        <v>56</v>
      </c>
      <c r="I227" s="199">
        <f t="shared" si="18"/>
        <v>1</v>
      </c>
      <c r="J227" s="144">
        <v>1</v>
      </c>
      <c r="K227" s="144" t="s">
        <v>56</v>
      </c>
      <c r="L227" s="144" t="s">
        <v>56</v>
      </c>
      <c r="M227" s="144">
        <f t="shared" si="19"/>
        <v>1</v>
      </c>
      <c r="N227" s="150">
        <f t="shared" si="20"/>
        <v>1</v>
      </c>
      <c r="O227" s="201" t="str">
        <f t="shared" si="21"/>
        <v>-</v>
      </c>
      <c r="P227" s="202">
        <v>1</v>
      </c>
      <c r="Q227" s="201">
        <v>0</v>
      </c>
      <c r="R227" s="203">
        <f t="shared" si="22"/>
        <v>1</v>
      </c>
      <c r="S227" s="144" t="s">
        <v>163</v>
      </c>
      <c r="T227" s="144" t="s">
        <v>177</v>
      </c>
      <c r="U227" s="144"/>
      <c r="V227" s="144"/>
      <c r="W227" s="94" t="b">
        <f t="shared" si="23"/>
        <v>1</v>
      </c>
    </row>
    <row r="228" spans="2:23" ht="12.9" customHeight="1">
      <c r="B228" s="8">
        <f>SUBTOTAL(3,C$4:$C228)</f>
        <v>225</v>
      </c>
      <c r="C228" s="197" t="s">
        <v>178</v>
      </c>
      <c r="D228" s="144">
        <v>2015</v>
      </c>
      <c r="E228" s="144" t="s">
        <v>55</v>
      </c>
      <c r="F228" s="144">
        <v>2</v>
      </c>
      <c r="G228" s="144" t="s">
        <v>56</v>
      </c>
      <c r="H228" s="144" t="s">
        <v>56</v>
      </c>
      <c r="I228" s="199">
        <f t="shared" si="18"/>
        <v>2</v>
      </c>
      <c r="J228" s="144">
        <v>2</v>
      </c>
      <c r="K228" s="144" t="s">
        <v>56</v>
      </c>
      <c r="L228" s="144" t="s">
        <v>56</v>
      </c>
      <c r="M228" s="144">
        <f t="shared" si="19"/>
        <v>2</v>
      </c>
      <c r="N228" s="150">
        <f t="shared" si="20"/>
        <v>2</v>
      </c>
      <c r="O228" s="201" t="str">
        <f t="shared" si="21"/>
        <v>-</v>
      </c>
      <c r="P228" s="202">
        <v>2</v>
      </c>
      <c r="Q228" s="201">
        <v>0</v>
      </c>
      <c r="R228" s="203">
        <f t="shared" si="22"/>
        <v>2</v>
      </c>
      <c r="S228" s="144" t="s">
        <v>163</v>
      </c>
      <c r="T228" s="144" t="s">
        <v>177</v>
      </c>
      <c r="U228" s="144"/>
      <c r="V228" s="144"/>
      <c r="W228" s="94" t="b">
        <f t="shared" si="23"/>
        <v>1</v>
      </c>
    </row>
    <row r="229" spans="2:23" ht="12.9" customHeight="1">
      <c r="B229" s="8">
        <f>SUBTOTAL(3,C$4:$C229)</f>
        <v>226</v>
      </c>
      <c r="C229" s="197" t="s">
        <v>61</v>
      </c>
      <c r="D229" s="144">
        <v>2010</v>
      </c>
      <c r="E229" s="144" t="s">
        <v>63</v>
      </c>
      <c r="F229" s="144">
        <v>2</v>
      </c>
      <c r="G229" s="144" t="s">
        <v>56</v>
      </c>
      <c r="H229" s="144" t="s">
        <v>56</v>
      </c>
      <c r="I229" s="199">
        <f t="shared" si="18"/>
        <v>2</v>
      </c>
      <c r="J229" s="144">
        <v>2</v>
      </c>
      <c r="K229" s="144" t="s">
        <v>56</v>
      </c>
      <c r="L229" s="144" t="s">
        <v>56</v>
      </c>
      <c r="M229" s="144">
        <f t="shared" si="19"/>
        <v>2</v>
      </c>
      <c r="N229" s="150">
        <f t="shared" si="20"/>
        <v>2</v>
      </c>
      <c r="O229" s="201" t="str">
        <f t="shared" si="21"/>
        <v>-</v>
      </c>
      <c r="P229" s="202">
        <v>2</v>
      </c>
      <c r="Q229" s="201">
        <v>0</v>
      </c>
      <c r="R229" s="203">
        <f t="shared" si="22"/>
        <v>2</v>
      </c>
      <c r="S229" s="144" t="s">
        <v>163</v>
      </c>
      <c r="T229" s="144" t="s">
        <v>177</v>
      </c>
      <c r="U229" s="144"/>
      <c r="V229" s="144"/>
      <c r="W229" s="94" t="b">
        <f t="shared" si="23"/>
        <v>1</v>
      </c>
    </row>
    <row r="230" spans="2:23" ht="12.9" customHeight="1">
      <c r="B230" s="8">
        <f>SUBTOTAL(3,C$4:$C230)</f>
        <v>227</v>
      </c>
      <c r="C230" s="197" t="s">
        <v>65</v>
      </c>
      <c r="D230" s="144">
        <v>2010</v>
      </c>
      <c r="E230" s="144" t="s">
        <v>60</v>
      </c>
      <c r="F230" s="144">
        <v>2</v>
      </c>
      <c r="G230" s="144" t="s">
        <v>56</v>
      </c>
      <c r="H230" s="144" t="s">
        <v>56</v>
      </c>
      <c r="I230" s="199">
        <f t="shared" si="18"/>
        <v>2</v>
      </c>
      <c r="J230" s="144">
        <v>2</v>
      </c>
      <c r="K230" s="144" t="s">
        <v>56</v>
      </c>
      <c r="L230" s="144" t="s">
        <v>56</v>
      </c>
      <c r="M230" s="144">
        <f t="shared" si="19"/>
        <v>2</v>
      </c>
      <c r="N230" s="150">
        <f t="shared" si="20"/>
        <v>2</v>
      </c>
      <c r="O230" s="201" t="str">
        <f t="shared" si="21"/>
        <v>-</v>
      </c>
      <c r="P230" s="202">
        <v>2</v>
      </c>
      <c r="Q230" s="201">
        <v>0</v>
      </c>
      <c r="R230" s="203">
        <f t="shared" si="22"/>
        <v>2</v>
      </c>
      <c r="S230" s="144" t="s">
        <v>163</v>
      </c>
      <c r="T230" s="144" t="s">
        <v>177</v>
      </c>
      <c r="U230" s="144"/>
      <c r="V230" s="144"/>
      <c r="W230" s="94" t="b">
        <f t="shared" si="23"/>
        <v>1</v>
      </c>
    </row>
    <row r="231" spans="2:23" ht="12.9" customHeight="1">
      <c r="B231" s="8">
        <f>SUBTOTAL(3,C$4:$C231)</f>
        <v>228</v>
      </c>
      <c r="C231" s="197" t="s">
        <v>162</v>
      </c>
      <c r="D231" s="144">
        <v>2010</v>
      </c>
      <c r="E231" s="144" t="s">
        <v>63</v>
      </c>
      <c r="F231" s="144">
        <v>2</v>
      </c>
      <c r="G231" s="144" t="s">
        <v>56</v>
      </c>
      <c r="H231" s="144" t="s">
        <v>56</v>
      </c>
      <c r="I231" s="199">
        <f t="shared" si="18"/>
        <v>2</v>
      </c>
      <c r="J231" s="144">
        <v>2</v>
      </c>
      <c r="K231" s="144" t="s">
        <v>56</v>
      </c>
      <c r="L231" s="144" t="s">
        <v>56</v>
      </c>
      <c r="M231" s="144">
        <f t="shared" si="19"/>
        <v>2</v>
      </c>
      <c r="N231" s="150">
        <f t="shared" si="20"/>
        <v>2</v>
      </c>
      <c r="O231" s="201" t="str">
        <f t="shared" si="21"/>
        <v>-</v>
      </c>
      <c r="P231" s="202">
        <v>2</v>
      </c>
      <c r="Q231" s="201">
        <v>0</v>
      </c>
      <c r="R231" s="203">
        <f t="shared" si="22"/>
        <v>2</v>
      </c>
      <c r="S231" s="144" t="s">
        <v>163</v>
      </c>
      <c r="T231" s="144" t="s">
        <v>177</v>
      </c>
      <c r="U231" s="144"/>
      <c r="V231" s="144"/>
      <c r="W231" s="94" t="b">
        <f t="shared" si="23"/>
        <v>1</v>
      </c>
    </row>
    <row r="232" spans="2:23" ht="12.9" customHeight="1">
      <c r="B232" s="8">
        <f>SUBTOTAL(3,C$4:$C232)</f>
        <v>229</v>
      </c>
      <c r="C232" s="197" t="s">
        <v>179</v>
      </c>
      <c r="D232" s="144">
        <v>2010</v>
      </c>
      <c r="E232" s="144" t="s">
        <v>55</v>
      </c>
      <c r="F232" s="144">
        <v>1</v>
      </c>
      <c r="G232" s="144" t="s">
        <v>56</v>
      </c>
      <c r="H232" s="144" t="s">
        <v>56</v>
      </c>
      <c r="I232" s="199">
        <f t="shared" si="18"/>
        <v>1</v>
      </c>
      <c r="J232" s="144">
        <v>1</v>
      </c>
      <c r="K232" s="144" t="s">
        <v>56</v>
      </c>
      <c r="L232" s="144" t="s">
        <v>56</v>
      </c>
      <c r="M232" s="144">
        <f t="shared" si="19"/>
        <v>1</v>
      </c>
      <c r="N232" s="150">
        <f t="shared" si="20"/>
        <v>1</v>
      </c>
      <c r="O232" s="201" t="str">
        <f t="shared" si="21"/>
        <v>-</v>
      </c>
      <c r="P232" s="202">
        <v>1</v>
      </c>
      <c r="Q232" s="201">
        <v>0</v>
      </c>
      <c r="R232" s="203">
        <f t="shared" si="22"/>
        <v>1</v>
      </c>
      <c r="S232" s="144" t="s">
        <v>163</v>
      </c>
      <c r="T232" s="144" t="s">
        <v>177</v>
      </c>
      <c r="U232" s="144"/>
      <c r="V232" s="144"/>
      <c r="W232" s="94" t="b">
        <f t="shared" si="23"/>
        <v>1</v>
      </c>
    </row>
    <row r="233" spans="2:23" ht="12.9" customHeight="1">
      <c r="B233" s="8">
        <f>SUBTOTAL(3,C$4:$C233)</f>
        <v>230</v>
      </c>
      <c r="C233" s="197" t="s">
        <v>180</v>
      </c>
      <c r="D233" s="144">
        <v>2010</v>
      </c>
      <c r="E233" s="144" t="s">
        <v>55</v>
      </c>
      <c r="F233" s="144">
        <v>1</v>
      </c>
      <c r="G233" s="144" t="s">
        <v>56</v>
      </c>
      <c r="H233" s="144" t="s">
        <v>56</v>
      </c>
      <c r="I233" s="199">
        <f t="shared" si="18"/>
        <v>1</v>
      </c>
      <c r="J233" s="144">
        <v>1</v>
      </c>
      <c r="K233" s="144" t="s">
        <v>56</v>
      </c>
      <c r="L233" s="144" t="s">
        <v>56</v>
      </c>
      <c r="M233" s="144">
        <f t="shared" si="19"/>
        <v>1</v>
      </c>
      <c r="N233" s="150">
        <f t="shared" si="20"/>
        <v>1</v>
      </c>
      <c r="O233" s="201" t="str">
        <f t="shared" si="21"/>
        <v>-</v>
      </c>
      <c r="P233" s="202">
        <v>1</v>
      </c>
      <c r="Q233" s="201">
        <v>0</v>
      </c>
      <c r="R233" s="203">
        <f t="shared" si="22"/>
        <v>1</v>
      </c>
      <c r="S233" s="144" t="s">
        <v>163</v>
      </c>
      <c r="T233" s="144" t="s">
        <v>177</v>
      </c>
      <c r="U233" s="144"/>
      <c r="V233" s="144"/>
      <c r="W233" s="94" t="b">
        <f t="shared" si="23"/>
        <v>1</v>
      </c>
    </row>
    <row r="234" spans="2:23" ht="12.9" customHeight="1">
      <c r="B234" s="8">
        <f>SUBTOTAL(3,C$4:$C234)</f>
        <v>231</v>
      </c>
      <c r="C234" s="197" t="s">
        <v>74</v>
      </c>
      <c r="D234" s="144">
        <v>2018</v>
      </c>
      <c r="E234" s="144" t="s">
        <v>60</v>
      </c>
      <c r="F234" s="144">
        <v>1</v>
      </c>
      <c r="G234" s="144" t="s">
        <v>56</v>
      </c>
      <c r="H234" s="144" t="s">
        <v>56</v>
      </c>
      <c r="I234" s="199">
        <f t="shared" si="18"/>
        <v>1</v>
      </c>
      <c r="J234" s="144">
        <v>1</v>
      </c>
      <c r="K234" s="144" t="s">
        <v>56</v>
      </c>
      <c r="L234" s="144" t="s">
        <v>56</v>
      </c>
      <c r="M234" s="144">
        <f t="shared" si="19"/>
        <v>1</v>
      </c>
      <c r="N234" s="150">
        <f t="shared" si="20"/>
        <v>1</v>
      </c>
      <c r="O234" s="201" t="str">
        <f t="shared" si="21"/>
        <v>-</v>
      </c>
      <c r="P234" s="202">
        <v>1</v>
      </c>
      <c r="Q234" s="201">
        <v>0</v>
      </c>
      <c r="R234" s="203">
        <f t="shared" si="22"/>
        <v>1</v>
      </c>
      <c r="S234" s="144" t="s">
        <v>163</v>
      </c>
      <c r="T234" s="144" t="s">
        <v>177</v>
      </c>
      <c r="U234" s="144"/>
      <c r="V234" s="144"/>
      <c r="W234" s="94" t="b">
        <f t="shared" si="23"/>
        <v>1</v>
      </c>
    </row>
    <row r="235" spans="2:23" ht="12.9" customHeight="1">
      <c r="B235" s="8">
        <f>SUBTOTAL(3,C$4:$C235)</f>
        <v>232</v>
      </c>
      <c r="C235" s="197" t="s">
        <v>181</v>
      </c>
      <c r="D235" s="144">
        <v>2010</v>
      </c>
      <c r="E235" s="144" t="s">
        <v>55</v>
      </c>
      <c r="F235" s="144">
        <v>1</v>
      </c>
      <c r="G235" s="144" t="s">
        <v>56</v>
      </c>
      <c r="H235" s="144" t="s">
        <v>56</v>
      </c>
      <c r="I235" s="199">
        <f t="shared" si="18"/>
        <v>1</v>
      </c>
      <c r="J235" s="144">
        <v>1</v>
      </c>
      <c r="K235" s="144" t="s">
        <v>56</v>
      </c>
      <c r="L235" s="144" t="s">
        <v>56</v>
      </c>
      <c r="M235" s="144">
        <f t="shared" si="19"/>
        <v>1</v>
      </c>
      <c r="N235" s="150">
        <f t="shared" si="20"/>
        <v>1</v>
      </c>
      <c r="O235" s="201" t="str">
        <f t="shared" si="21"/>
        <v>-</v>
      </c>
      <c r="P235" s="202">
        <v>1</v>
      </c>
      <c r="Q235" s="201">
        <v>0</v>
      </c>
      <c r="R235" s="203">
        <f t="shared" si="22"/>
        <v>1</v>
      </c>
      <c r="S235" s="144" t="s">
        <v>163</v>
      </c>
      <c r="T235" s="144" t="s">
        <v>177</v>
      </c>
      <c r="U235" s="144"/>
      <c r="V235" s="144"/>
      <c r="W235" s="94" t="b">
        <f t="shared" si="23"/>
        <v>1</v>
      </c>
    </row>
    <row r="236" spans="2:23" ht="12.9" customHeight="1">
      <c r="B236" s="8">
        <f>SUBTOTAL(3,C$4:$C236)</f>
        <v>233</v>
      </c>
      <c r="C236" s="197" t="s">
        <v>73</v>
      </c>
      <c r="D236" s="144">
        <v>2010</v>
      </c>
      <c r="E236" s="144" t="s">
        <v>63</v>
      </c>
      <c r="F236" s="144">
        <v>1</v>
      </c>
      <c r="G236" s="144" t="s">
        <v>56</v>
      </c>
      <c r="H236" s="144" t="s">
        <v>56</v>
      </c>
      <c r="I236" s="199">
        <f t="shared" si="18"/>
        <v>1</v>
      </c>
      <c r="J236" s="144">
        <v>1</v>
      </c>
      <c r="K236" s="144" t="s">
        <v>56</v>
      </c>
      <c r="L236" s="144" t="s">
        <v>56</v>
      </c>
      <c r="M236" s="144">
        <f t="shared" si="19"/>
        <v>1</v>
      </c>
      <c r="N236" s="150">
        <f t="shared" si="20"/>
        <v>1</v>
      </c>
      <c r="O236" s="201" t="str">
        <f t="shared" si="21"/>
        <v>-</v>
      </c>
      <c r="P236" s="202">
        <v>1</v>
      </c>
      <c r="Q236" s="201">
        <v>0</v>
      </c>
      <c r="R236" s="203">
        <f t="shared" si="22"/>
        <v>1</v>
      </c>
      <c r="S236" s="144" t="s">
        <v>163</v>
      </c>
      <c r="T236" s="144" t="s">
        <v>177</v>
      </c>
      <c r="U236" s="144"/>
      <c r="V236" s="144"/>
      <c r="W236" s="94" t="b">
        <f t="shared" si="23"/>
        <v>1</v>
      </c>
    </row>
    <row r="237" spans="2:23" ht="12.9" customHeight="1">
      <c r="B237" s="8">
        <f>SUBTOTAL(3,C$4:$C237)</f>
        <v>234</v>
      </c>
      <c r="C237" s="197" t="s">
        <v>72</v>
      </c>
      <c r="D237" s="144">
        <v>2010</v>
      </c>
      <c r="E237" s="144" t="s">
        <v>60</v>
      </c>
      <c r="F237" s="144">
        <v>1</v>
      </c>
      <c r="G237" s="144" t="s">
        <v>56</v>
      </c>
      <c r="H237" s="144" t="s">
        <v>56</v>
      </c>
      <c r="I237" s="199">
        <f t="shared" si="18"/>
        <v>1</v>
      </c>
      <c r="J237" s="144">
        <v>1</v>
      </c>
      <c r="K237" s="144" t="s">
        <v>56</v>
      </c>
      <c r="L237" s="144" t="s">
        <v>56</v>
      </c>
      <c r="M237" s="144">
        <f t="shared" si="19"/>
        <v>1</v>
      </c>
      <c r="N237" s="150">
        <f t="shared" si="20"/>
        <v>1</v>
      </c>
      <c r="O237" s="201" t="str">
        <f t="shared" si="21"/>
        <v>-</v>
      </c>
      <c r="P237" s="202">
        <v>1</v>
      </c>
      <c r="Q237" s="201">
        <v>0</v>
      </c>
      <c r="R237" s="203">
        <f t="shared" si="22"/>
        <v>1</v>
      </c>
      <c r="S237" s="144" t="s">
        <v>163</v>
      </c>
      <c r="T237" s="144" t="s">
        <v>177</v>
      </c>
      <c r="U237" s="144"/>
      <c r="V237" s="144"/>
      <c r="W237" s="94" t="b">
        <f t="shared" si="23"/>
        <v>1</v>
      </c>
    </row>
    <row r="238" spans="2:23" ht="12.9" customHeight="1">
      <c r="B238" s="8">
        <f>SUBTOTAL(3,C$4:$C238)</f>
        <v>235</v>
      </c>
      <c r="C238" s="197" t="s">
        <v>172</v>
      </c>
      <c r="D238" s="144">
        <v>2010</v>
      </c>
      <c r="E238" s="144" t="s">
        <v>55</v>
      </c>
      <c r="F238" s="144">
        <v>1</v>
      </c>
      <c r="G238" s="144" t="s">
        <v>56</v>
      </c>
      <c r="H238" s="144" t="s">
        <v>56</v>
      </c>
      <c r="I238" s="199">
        <f t="shared" si="18"/>
        <v>1</v>
      </c>
      <c r="J238" s="144">
        <v>1</v>
      </c>
      <c r="K238" s="144" t="s">
        <v>56</v>
      </c>
      <c r="L238" s="144" t="s">
        <v>56</v>
      </c>
      <c r="M238" s="144">
        <f t="shared" si="19"/>
        <v>1</v>
      </c>
      <c r="N238" s="150">
        <f t="shared" si="20"/>
        <v>1</v>
      </c>
      <c r="O238" s="201" t="str">
        <f t="shared" si="21"/>
        <v>-</v>
      </c>
      <c r="P238" s="202">
        <v>1</v>
      </c>
      <c r="Q238" s="201">
        <v>0</v>
      </c>
      <c r="R238" s="203">
        <f t="shared" si="22"/>
        <v>1</v>
      </c>
      <c r="S238" s="144" t="s">
        <v>163</v>
      </c>
      <c r="T238" s="144" t="s">
        <v>177</v>
      </c>
      <c r="U238" s="144"/>
      <c r="V238" s="144"/>
      <c r="W238" s="94" t="b">
        <f t="shared" si="23"/>
        <v>1</v>
      </c>
    </row>
    <row r="239" spans="2:23" ht="12.9" customHeight="1">
      <c r="B239" s="8">
        <f>SUBTOTAL(3,C$4:$C239)</f>
        <v>236</v>
      </c>
      <c r="C239" s="197" t="s">
        <v>70</v>
      </c>
      <c r="D239" s="144">
        <v>2010</v>
      </c>
      <c r="E239" s="144" t="s">
        <v>71</v>
      </c>
      <c r="F239" s="144">
        <v>1</v>
      </c>
      <c r="G239" s="144" t="s">
        <v>56</v>
      </c>
      <c r="H239" s="144" t="s">
        <v>56</v>
      </c>
      <c r="I239" s="199">
        <f t="shared" si="18"/>
        <v>1</v>
      </c>
      <c r="J239" s="144">
        <v>1</v>
      </c>
      <c r="K239" s="144" t="s">
        <v>56</v>
      </c>
      <c r="L239" s="144" t="s">
        <v>56</v>
      </c>
      <c r="M239" s="144">
        <f t="shared" si="19"/>
        <v>1</v>
      </c>
      <c r="N239" s="150">
        <f t="shared" si="20"/>
        <v>1</v>
      </c>
      <c r="O239" s="201" t="str">
        <f t="shared" si="21"/>
        <v>-</v>
      </c>
      <c r="P239" s="202">
        <v>1</v>
      </c>
      <c r="Q239" s="201">
        <v>0</v>
      </c>
      <c r="R239" s="203">
        <f t="shared" si="22"/>
        <v>1</v>
      </c>
      <c r="S239" s="144" t="s">
        <v>163</v>
      </c>
      <c r="T239" s="144" t="s">
        <v>177</v>
      </c>
      <c r="U239" s="144"/>
      <c r="V239" s="144"/>
      <c r="W239" s="94" t="b">
        <f t="shared" si="23"/>
        <v>1</v>
      </c>
    </row>
    <row r="240" spans="2:23" ht="12.9" customHeight="1">
      <c r="B240" s="8">
        <f>SUBTOTAL(3,C$4:$C240)</f>
        <v>237</v>
      </c>
      <c r="C240" s="197" t="s">
        <v>173</v>
      </c>
      <c r="D240" s="144">
        <v>2010</v>
      </c>
      <c r="E240" s="144" t="s">
        <v>60</v>
      </c>
      <c r="F240" s="144">
        <v>1</v>
      </c>
      <c r="G240" s="144" t="s">
        <v>56</v>
      </c>
      <c r="H240" s="144" t="s">
        <v>56</v>
      </c>
      <c r="I240" s="199">
        <f t="shared" si="18"/>
        <v>1</v>
      </c>
      <c r="J240" s="144">
        <v>1</v>
      </c>
      <c r="K240" s="144" t="s">
        <v>56</v>
      </c>
      <c r="L240" s="144" t="s">
        <v>56</v>
      </c>
      <c r="M240" s="144">
        <f t="shared" si="19"/>
        <v>1</v>
      </c>
      <c r="N240" s="150">
        <f t="shared" si="20"/>
        <v>1</v>
      </c>
      <c r="O240" s="201" t="str">
        <f t="shared" si="21"/>
        <v>-</v>
      </c>
      <c r="P240" s="202">
        <v>1</v>
      </c>
      <c r="Q240" s="201">
        <v>0</v>
      </c>
      <c r="R240" s="203">
        <f t="shared" si="22"/>
        <v>1</v>
      </c>
      <c r="S240" s="144" t="s">
        <v>163</v>
      </c>
      <c r="T240" s="144" t="s">
        <v>177</v>
      </c>
      <c r="U240" s="144"/>
      <c r="V240" s="144"/>
      <c r="W240" s="94" t="b">
        <f t="shared" si="23"/>
        <v>1</v>
      </c>
    </row>
    <row r="241" spans="2:23" ht="12.9" customHeight="1">
      <c r="B241" s="8">
        <f>SUBTOTAL(3,C$4:$C241)</f>
        <v>238</v>
      </c>
      <c r="C241" s="197" t="s">
        <v>75</v>
      </c>
      <c r="D241" s="144">
        <v>2010</v>
      </c>
      <c r="E241" s="144" t="s">
        <v>60</v>
      </c>
      <c r="F241" s="144">
        <v>1</v>
      </c>
      <c r="G241" s="144" t="s">
        <v>56</v>
      </c>
      <c r="H241" s="144" t="s">
        <v>56</v>
      </c>
      <c r="I241" s="199">
        <f t="shared" si="18"/>
        <v>1</v>
      </c>
      <c r="J241" s="144">
        <v>1</v>
      </c>
      <c r="K241" s="144" t="s">
        <v>56</v>
      </c>
      <c r="L241" s="144" t="s">
        <v>56</v>
      </c>
      <c r="M241" s="144">
        <f t="shared" si="19"/>
        <v>1</v>
      </c>
      <c r="N241" s="150">
        <f t="shared" si="20"/>
        <v>1</v>
      </c>
      <c r="O241" s="201" t="str">
        <f t="shared" si="21"/>
        <v>-</v>
      </c>
      <c r="P241" s="202">
        <v>1</v>
      </c>
      <c r="Q241" s="201">
        <v>0</v>
      </c>
      <c r="R241" s="203">
        <f t="shared" si="22"/>
        <v>1</v>
      </c>
      <c r="S241" s="144" t="s">
        <v>163</v>
      </c>
      <c r="T241" s="144" t="s">
        <v>177</v>
      </c>
      <c r="U241" s="144"/>
      <c r="V241" s="144"/>
      <c r="W241" s="94" t="b">
        <f t="shared" si="23"/>
        <v>1</v>
      </c>
    </row>
    <row r="242" spans="2:23" ht="12.9" customHeight="1">
      <c r="B242" s="8">
        <f>SUBTOTAL(3,C$4:$C242)</f>
        <v>239</v>
      </c>
      <c r="C242" s="197" t="s">
        <v>76</v>
      </c>
      <c r="D242" s="144">
        <v>2010</v>
      </c>
      <c r="E242" s="144" t="s">
        <v>60</v>
      </c>
      <c r="F242" s="144">
        <v>1</v>
      </c>
      <c r="G242" s="144" t="s">
        <v>56</v>
      </c>
      <c r="H242" s="144" t="s">
        <v>56</v>
      </c>
      <c r="I242" s="199">
        <f t="shared" si="18"/>
        <v>1</v>
      </c>
      <c r="J242" s="144">
        <v>1</v>
      </c>
      <c r="K242" s="144" t="s">
        <v>56</v>
      </c>
      <c r="L242" s="144" t="s">
        <v>56</v>
      </c>
      <c r="M242" s="144">
        <f t="shared" si="19"/>
        <v>1</v>
      </c>
      <c r="N242" s="150">
        <f t="shared" si="20"/>
        <v>1</v>
      </c>
      <c r="O242" s="201" t="str">
        <f t="shared" si="21"/>
        <v>-</v>
      </c>
      <c r="P242" s="202">
        <v>1</v>
      </c>
      <c r="Q242" s="201">
        <v>0</v>
      </c>
      <c r="R242" s="203">
        <f t="shared" si="22"/>
        <v>1</v>
      </c>
      <c r="S242" s="144" t="s">
        <v>163</v>
      </c>
      <c r="T242" s="144" t="s">
        <v>177</v>
      </c>
      <c r="U242" s="144"/>
      <c r="V242" s="144"/>
      <c r="W242" s="94" t="b">
        <f t="shared" si="23"/>
        <v>1</v>
      </c>
    </row>
    <row r="243" spans="2:23" ht="12.9" customHeight="1">
      <c r="B243" s="8">
        <f>SUBTOTAL(3,C$4:$C243)</f>
        <v>240</v>
      </c>
      <c r="C243" s="197" t="s">
        <v>176</v>
      </c>
      <c r="D243" s="144">
        <v>2010</v>
      </c>
      <c r="E243" s="144" t="s">
        <v>55</v>
      </c>
      <c r="F243" s="144">
        <v>1</v>
      </c>
      <c r="G243" s="144" t="s">
        <v>56</v>
      </c>
      <c r="H243" s="144" t="s">
        <v>56</v>
      </c>
      <c r="I243" s="199">
        <f t="shared" si="18"/>
        <v>1</v>
      </c>
      <c r="J243" s="144">
        <v>1</v>
      </c>
      <c r="K243" s="144" t="s">
        <v>56</v>
      </c>
      <c r="L243" s="144" t="s">
        <v>56</v>
      </c>
      <c r="M243" s="144">
        <f t="shared" si="19"/>
        <v>1</v>
      </c>
      <c r="N243" s="150">
        <f t="shared" si="20"/>
        <v>1</v>
      </c>
      <c r="O243" s="201" t="str">
        <f t="shared" si="21"/>
        <v>-</v>
      </c>
      <c r="P243" s="202">
        <v>1</v>
      </c>
      <c r="Q243" s="201">
        <v>0</v>
      </c>
      <c r="R243" s="203">
        <f t="shared" si="22"/>
        <v>1</v>
      </c>
      <c r="S243" s="144" t="s">
        <v>163</v>
      </c>
      <c r="T243" s="144" t="s">
        <v>182</v>
      </c>
      <c r="U243" s="144"/>
      <c r="V243" s="144"/>
      <c r="W243" s="94" t="b">
        <f t="shared" si="23"/>
        <v>1</v>
      </c>
    </row>
    <row r="244" spans="2:23" ht="12.9" customHeight="1">
      <c r="B244" s="8">
        <f>SUBTOTAL(3,C$4:$C244)</f>
        <v>241</v>
      </c>
      <c r="C244" s="197" t="s">
        <v>183</v>
      </c>
      <c r="D244" s="144">
        <v>2010</v>
      </c>
      <c r="E244" s="144" t="s">
        <v>55</v>
      </c>
      <c r="F244" s="144">
        <v>1</v>
      </c>
      <c r="G244" s="144" t="s">
        <v>56</v>
      </c>
      <c r="H244" s="144" t="s">
        <v>56</v>
      </c>
      <c r="I244" s="199">
        <f t="shared" si="18"/>
        <v>1</v>
      </c>
      <c r="J244" s="144">
        <v>1</v>
      </c>
      <c r="K244" s="144" t="s">
        <v>56</v>
      </c>
      <c r="L244" s="144" t="s">
        <v>56</v>
      </c>
      <c r="M244" s="144">
        <f t="shared" si="19"/>
        <v>1</v>
      </c>
      <c r="N244" s="150">
        <f t="shared" si="20"/>
        <v>1</v>
      </c>
      <c r="O244" s="201" t="str">
        <f t="shared" si="21"/>
        <v>-</v>
      </c>
      <c r="P244" s="202">
        <v>1</v>
      </c>
      <c r="Q244" s="201">
        <v>0</v>
      </c>
      <c r="R244" s="203">
        <f t="shared" si="22"/>
        <v>1</v>
      </c>
      <c r="S244" s="144" t="s">
        <v>163</v>
      </c>
      <c r="T244" s="144" t="s">
        <v>182</v>
      </c>
      <c r="U244" s="144"/>
      <c r="V244" s="144"/>
      <c r="W244" s="94" t="b">
        <f t="shared" si="23"/>
        <v>1</v>
      </c>
    </row>
    <row r="245" spans="2:23" ht="12.9" customHeight="1">
      <c r="B245" s="8">
        <f>SUBTOTAL(3,C$4:$C245)</f>
        <v>242</v>
      </c>
      <c r="C245" s="197" t="s">
        <v>61</v>
      </c>
      <c r="D245" s="144">
        <v>2016</v>
      </c>
      <c r="E245" s="144" t="s">
        <v>63</v>
      </c>
      <c r="F245" s="144">
        <v>1</v>
      </c>
      <c r="G245" s="144" t="s">
        <v>56</v>
      </c>
      <c r="H245" s="144" t="s">
        <v>56</v>
      </c>
      <c r="I245" s="199">
        <f t="shared" si="18"/>
        <v>1</v>
      </c>
      <c r="J245" s="144">
        <v>1</v>
      </c>
      <c r="K245" s="144" t="s">
        <v>56</v>
      </c>
      <c r="L245" s="144" t="s">
        <v>56</v>
      </c>
      <c r="M245" s="144">
        <f t="shared" si="19"/>
        <v>1</v>
      </c>
      <c r="N245" s="150">
        <f t="shared" si="20"/>
        <v>1</v>
      </c>
      <c r="O245" s="201" t="str">
        <f t="shared" si="21"/>
        <v>-</v>
      </c>
      <c r="P245" s="202">
        <v>1</v>
      </c>
      <c r="Q245" s="201">
        <v>0</v>
      </c>
      <c r="R245" s="203">
        <f t="shared" si="22"/>
        <v>1</v>
      </c>
      <c r="S245" s="144" t="s">
        <v>163</v>
      </c>
      <c r="T245" s="144" t="s">
        <v>182</v>
      </c>
      <c r="U245" s="144"/>
      <c r="V245" s="144"/>
      <c r="W245" s="94" t="b">
        <f t="shared" si="23"/>
        <v>1</v>
      </c>
    </row>
    <row r="246" spans="2:23" ht="12.9" customHeight="1">
      <c r="B246" s="8">
        <f>SUBTOTAL(3,C$4:$C246)</f>
        <v>243</v>
      </c>
      <c r="C246" s="197" t="s">
        <v>184</v>
      </c>
      <c r="D246" s="144">
        <v>2010</v>
      </c>
      <c r="E246" s="144" t="s">
        <v>60</v>
      </c>
      <c r="F246" s="144">
        <v>3</v>
      </c>
      <c r="G246" s="144" t="s">
        <v>56</v>
      </c>
      <c r="H246" s="144" t="s">
        <v>56</v>
      </c>
      <c r="I246" s="199">
        <f t="shared" si="18"/>
        <v>3</v>
      </c>
      <c r="J246" s="144">
        <v>3</v>
      </c>
      <c r="K246" s="144" t="s">
        <v>56</v>
      </c>
      <c r="L246" s="144" t="s">
        <v>56</v>
      </c>
      <c r="M246" s="144">
        <f t="shared" si="19"/>
        <v>3</v>
      </c>
      <c r="N246" s="150">
        <f t="shared" si="20"/>
        <v>3</v>
      </c>
      <c r="O246" s="201" t="str">
        <f t="shared" si="21"/>
        <v>-</v>
      </c>
      <c r="P246" s="202">
        <v>3</v>
      </c>
      <c r="Q246" s="201">
        <v>0</v>
      </c>
      <c r="R246" s="203">
        <f t="shared" si="22"/>
        <v>3</v>
      </c>
      <c r="S246" s="144" t="s">
        <v>163</v>
      </c>
      <c r="T246" s="144" t="s">
        <v>182</v>
      </c>
      <c r="U246" s="144"/>
      <c r="V246" s="144"/>
      <c r="W246" s="94" t="b">
        <f t="shared" si="23"/>
        <v>1</v>
      </c>
    </row>
    <row r="247" spans="2:23" ht="12.9" customHeight="1">
      <c r="B247" s="8">
        <f>SUBTOTAL(3,C$4:$C247)</f>
        <v>244</v>
      </c>
      <c r="C247" s="197" t="s">
        <v>185</v>
      </c>
      <c r="D247" s="144">
        <v>2010</v>
      </c>
      <c r="E247" s="144" t="s">
        <v>63</v>
      </c>
      <c r="F247" s="144">
        <v>1</v>
      </c>
      <c r="G247" s="144" t="s">
        <v>56</v>
      </c>
      <c r="H247" s="144" t="s">
        <v>56</v>
      </c>
      <c r="I247" s="199">
        <f t="shared" si="18"/>
        <v>1</v>
      </c>
      <c r="J247" s="144">
        <v>1</v>
      </c>
      <c r="K247" s="144" t="s">
        <v>56</v>
      </c>
      <c r="L247" s="144" t="s">
        <v>56</v>
      </c>
      <c r="M247" s="144">
        <f t="shared" si="19"/>
        <v>1</v>
      </c>
      <c r="N247" s="150">
        <f t="shared" si="20"/>
        <v>1</v>
      </c>
      <c r="O247" s="201" t="str">
        <f t="shared" si="21"/>
        <v>-</v>
      </c>
      <c r="P247" s="202">
        <v>1</v>
      </c>
      <c r="Q247" s="201">
        <v>0</v>
      </c>
      <c r="R247" s="203">
        <f t="shared" si="22"/>
        <v>1</v>
      </c>
      <c r="S247" s="144" t="s">
        <v>163</v>
      </c>
      <c r="T247" s="144" t="s">
        <v>182</v>
      </c>
      <c r="U247" s="144"/>
      <c r="V247" s="144"/>
      <c r="W247" s="94" t="b">
        <f t="shared" si="23"/>
        <v>1</v>
      </c>
    </row>
    <row r="248" spans="2:23" ht="12.9" customHeight="1">
      <c r="B248" s="8">
        <f>SUBTOTAL(3,C$4:$C248)</f>
        <v>245</v>
      </c>
      <c r="C248" s="197" t="s">
        <v>179</v>
      </c>
      <c r="D248" s="144">
        <v>2010</v>
      </c>
      <c r="E248" s="144" t="s">
        <v>55</v>
      </c>
      <c r="F248" s="144">
        <v>1</v>
      </c>
      <c r="G248" s="144" t="s">
        <v>56</v>
      </c>
      <c r="H248" s="144" t="s">
        <v>56</v>
      </c>
      <c r="I248" s="199">
        <f t="shared" si="18"/>
        <v>1</v>
      </c>
      <c r="J248" s="144">
        <v>1</v>
      </c>
      <c r="K248" s="144" t="s">
        <v>56</v>
      </c>
      <c r="L248" s="144" t="s">
        <v>56</v>
      </c>
      <c r="M248" s="144">
        <f t="shared" si="19"/>
        <v>1</v>
      </c>
      <c r="N248" s="150">
        <f t="shared" si="20"/>
        <v>1</v>
      </c>
      <c r="O248" s="201" t="str">
        <f t="shared" si="21"/>
        <v>-</v>
      </c>
      <c r="P248" s="202">
        <v>1</v>
      </c>
      <c r="Q248" s="201">
        <v>0</v>
      </c>
      <c r="R248" s="203">
        <f t="shared" si="22"/>
        <v>1</v>
      </c>
      <c r="S248" s="144" t="s">
        <v>163</v>
      </c>
      <c r="T248" s="144" t="s">
        <v>182</v>
      </c>
      <c r="U248" s="144"/>
      <c r="V248" s="144"/>
      <c r="W248" s="94" t="b">
        <f t="shared" si="23"/>
        <v>1</v>
      </c>
    </row>
    <row r="249" spans="2:23" ht="12.9" customHeight="1">
      <c r="B249" s="8">
        <f>SUBTOTAL(3,C$4:$C249)</f>
        <v>246</v>
      </c>
      <c r="C249" s="197" t="s">
        <v>180</v>
      </c>
      <c r="D249" s="144">
        <v>2010</v>
      </c>
      <c r="E249" s="144" t="s">
        <v>55</v>
      </c>
      <c r="F249" s="144">
        <v>1</v>
      </c>
      <c r="G249" s="144" t="s">
        <v>56</v>
      </c>
      <c r="H249" s="144" t="s">
        <v>56</v>
      </c>
      <c r="I249" s="199">
        <f t="shared" si="18"/>
        <v>1</v>
      </c>
      <c r="J249" s="144">
        <v>1</v>
      </c>
      <c r="K249" s="144" t="s">
        <v>56</v>
      </c>
      <c r="L249" s="144" t="s">
        <v>56</v>
      </c>
      <c r="M249" s="144">
        <f t="shared" si="19"/>
        <v>1</v>
      </c>
      <c r="N249" s="150">
        <f t="shared" si="20"/>
        <v>1</v>
      </c>
      <c r="O249" s="201" t="str">
        <f t="shared" si="21"/>
        <v>-</v>
      </c>
      <c r="P249" s="202">
        <v>1</v>
      </c>
      <c r="Q249" s="201">
        <v>0</v>
      </c>
      <c r="R249" s="203">
        <f t="shared" si="22"/>
        <v>1</v>
      </c>
      <c r="S249" s="144" t="s">
        <v>163</v>
      </c>
      <c r="T249" s="144" t="s">
        <v>182</v>
      </c>
      <c r="U249" s="144"/>
      <c r="V249" s="144"/>
      <c r="W249" s="94" t="b">
        <f t="shared" si="23"/>
        <v>1</v>
      </c>
    </row>
    <row r="250" spans="2:23" ht="12.9" customHeight="1">
      <c r="B250" s="8">
        <f>SUBTOTAL(3,C$4:$C250)</f>
        <v>247</v>
      </c>
      <c r="C250" s="197" t="s">
        <v>74</v>
      </c>
      <c r="D250" s="144">
        <v>2018</v>
      </c>
      <c r="E250" s="144" t="s">
        <v>60</v>
      </c>
      <c r="F250" s="144">
        <v>1</v>
      </c>
      <c r="G250" s="144" t="s">
        <v>56</v>
      </c>
      <c r="H250" s="144" t="s">
        <v>56</v>
      </c>
      <c r="I250" s="199">
        <f t="shared" si="18"/>
        <v>1</v>
      </c>
      <c r="J250" s="144">
        <v>1</v>
      </c>
      <c r="K250" s="144" t="s">
        <v>56</v>
      </c>
      <c r="L250" s="144" t="s">
        <v>56</v>
      </c>
      <c r="M250" s="144">
        <f t="shared" si="19"/>
        <v>1</v>
      </c>
      <c r="N250" s="150">
        <f t="shared" si="20"/>
        <v>1</v>
      </c>
      <c r="O250" s="201" t="str">
        <f t="shared" si="21"/>
        <v>-</v>
      </c>
      <c r="P250" s="202">
        <v>1</v>
      </c>
      <c r="Q250" s="201">
        <v>0</v>
      </c>
      <c r="R250" s="203">
        <f t="shared" si="22"/>
        <v>1</v>
      </c>
      <c r="S250" s="144" t="s">
        <v>163</v>
      </c>
      <c r="T250" s="144" t="s">
        <v>182</v>
      </c>
      <c r="U250" s="144"/>
      <c r="V250" s="144"/>
      <c r="W250" s="94" t="b">
        <f t="shared" si="23"/>
        <v>1</v>
      </c>
    </row>
    <row r="251" spans="2:23" ht="12.9" customHeight="1">
      <c r="B251" s="8">
        <f>SUBTOTAL(3,C$4:$C251)</f>
        <v>248</v>
      </c>
      <c r="C251" s="197" t="s">
        <v>181</v>
      </c>
      <c r="D251" s="144">
        <v>2010</v>
      </c>
      <c r="E251" s="144" t="s">
        <v>55</v>
      </c>
      <c r="F251" s="144">
        <v>1</v>
      </c>
      <c r="G251" s="144" t="s">
        <v>56</v>
      </c>
      <c r="H251" s="144" t="s">
        <v>56</v>
      </c>
      <c r="I251" s="199">
        <f t="shared" si="18"/>
        <v>1</v>
      </c>
      <c r="J251" s="144">
        <v>1</v>
      </c>
      <c r="K251" s="144" t="s">
        <v>56</v>
      </c>
      <c r="L251" s="144" t="s">
        <v>56</v>
      </c>
      <c r="M251" s="144">
        <f t="shared" si="19"/>
        <v>1</v>
      </c>
      <c r="N251" s="150">
        <f t="shared" si="20"/>
        <v>1</v>
      </c>
      <c r="O251" s="201" t="str">
        <f t="shared" si="21"/>
        <v>-</v>
      </c>
      <c r="P251" s="202">
        <v>1</v>
      </c>
      <c r="Q251" s="201">
        <v>0</v>
      </c>
      <c r="R251" s="203">
        <f t="shared" si="22"/>
        <v>1</v>
      </c>
      <c r="S251" s="144" t="s">
        <v>163</v>
      </c>
      <c r="T251" s="144" t="s">
        <v>182</v>
      </c>
      <c r="U251" s="144"/>
      <c r="V251" s="144"/>
      <c r="W251" s="94" t="b">
        <f t="shared" si="23"/>
        <v>1</v>
      </c>
    </row>
    <row r="252" spans="2:23" ht="12.9" customHeight="1">
      <c r="B252" s="8">
        <f>SUBTOTAL(3,C$4:$C252)</f>
        <v>249</v>
      </c>
      <c r="C252" s="197" t="s">
        <v>73</v>
      </c>
      <c r="D252" s="144">
        <v>2010</v>
      </c>
      <c r="E252" s="144" t="s">
        <v>63</v>
      </c>
      <c r="F252" s="144">
        <v>1</v>
      </c>
      <c r="G252" s="144" t="s">
        <v>56</v>
      </c>
      <c r="H252" s="144" t="s">
        <v>56</v>
      </c>
      <c r="I252" s="199">
        <f t="shared" si="18"/>
        <v>1</v>
      </c>
      <c r="J252" s="144">
        <v>1</v>
      </c>
      <c r="K252" s="144" t="s">
        <v>56</v>
      </c>
      <c r="L252" s="144" t="s">
        <v>56</v>
      </c>
      <c r="M252" s="144">
        <f t="shared" si="19"/>
        <v>1</v>
      </c>
      <c r="N252" s="150">
        <f t="shared" si="20"/>
        <v>1</v>
      </c>
      <c r="O252" s="201" t="str">
        <f t="shared" si="21"/>
        <v>-</v>
      </c>
      <c r="P252" s="202">
        <v>1</v>
      </c>
      <c r="Q252" s="201">
        <v>0</v>
      </c>
      <c r="R252" s="203">
        <f t="shared" si="22"/>
        <v>1</v>
      </c>
      <c r="S252" s="144" t="s">
        <v>163</v>
      </c>
      <c r="T252" s="144" t="s">
        <v>182</v>
      </c>
      <c r="U252" s="144"/>
      <c r="V252" s="144"/>
      <c r="W252" s="94" t="b">
        <f t="shared" si="23"/>
        <v>1</v>
      </c>
    </row>
    <row r="253" spans="2:23" ht="12.9" customHeight="1">
      <c r="B253" s="8">
        <f>SUBTOTAL(3,C$4:$C253)</f>
        <v>250</v>
      </c>
      <c r="C253" s="197" t="s">
        <v>72</v>
      </c>
      <c r="D253" s="144">
        <v>2010</v>
      </c>
      <c r="E253" s="144" t="s">
        <v>60</v>
      </c>
      <c r="F253" s="144">
        <v>1</v>
      </c>
      <c r="G253" s="144" t="s">
        <v>56</v>
      </c>
      <c r="H253" s="144" t="s">
        <v>56</v>
      </c>
      <c r="I253" s="199">
        <f t="shared" si="18"/>
        <v>1</v>
      </c>
      <c r="J253" s="144">
        <v>1</v>
      </c>
      <c r="K253" s="144" t="s">
        <v>56</v>
      </c>
      <c r="L253" s="144" t="s">
        <v>56</v>
      </c>
      <c r="M253" s="144">
        <f t="shared" si="19"/>
        <v>1</v>
      </c>
      <c r="N253" s="150">
        <f t="shared" si="20"/>
        <v>1</v>
      </c>
      <c r="O253" s="201" t="str">
        <f t="shared" si="21"/>
        <v>-</v>
      </c>
      <c r="P253" s="202">
        <v>1</v>
      </c>
      <c r="Q253" s="201">
        <v>0</v>
      </c>
      <c r="R253" s="203">
        <f t="shared" si="22"/>
        <v>1</v>
      </c>
      <c r="S253" s="144" t="s">
        <v>163</v>
      </c>
      <c r="T253" s="144" t="s">
        <v>182</v>
      </c>
      <c r="U253" s="144"/>
      <c r="V253" s="144"/>
      <c r="W253" s="94" t="b">
        <f t="shared" si="23"/>
        <v>1</v>
      </c>
    </row>
    <row r="254" spans="2:23" ht="12.9" customHeight="1">
      <c r="B254" s="8">
        <f>SUBTOTAL(3,C$4:$C254)</f>
        <v>251</v>
      </c>
      <c r="C254" s="197" t="s">
        <v>172</v>
      </c>
      <c r="D254" s="144">
        <v>2010</v>
      </c>
      <c r="E254" s="144" t="s">
        <v>55</v>
      </c>
      <c r="F254" s="144">
        <v>1</v>
      </c>
      <c r="G254" s="144" t="s">
        <v>56</v>
      </c>
      <c r="H254" s="144" t="s">
        <v>56</v>
      </c>
      <c r="I254" s="199">
        <f t="shared" si="18"/>
        <v>1</v>
      </c>
      <c r="J254" s="144">
        <v>1</v>
      </c>
      <c r="K254" s="144" t="s">
        <v>56</v>
      </c>
      <c r="L254" s="144" t="s">
        <v>56</v>
      </c>
      <c r="M254" s="144">
        <f t="shared" si="19"/>
        <v>1</v>
      </c>
      <c r="N254" s="150">
        <f t="shared" si="20"/>
        <v>1</v>
      </c>
      <c r="O254" s="201" t="str">
        <f t="shared" si="21"/>
        <v>-</v>
      </c>
      <c r="P254" s="202">
        <v>1</v>
      </c>
      <c r="Q254" s="201">
        <v>0</v>
      </c>
      <c r="R254" s="203">
        <f t="shared" si="22"/>
        <v>1</v>
      </c>
      <c r="S254" s="144" t="s">
        <v>163</v>
      </c>
      <c r="T254" s="144" t="s">
        <v>182</v>
      </c>
      <c r="U254" s="144"/>
      <c r="V254" s="144"/>
      <c r="W254" s="94" t="b">
        <f t="shared" si="23"/>
        <v>1</v>
      </c>
    </row>
    <row r="255" spans="2:23" ht="12.9" customHeight="1">
      <c r="B255" s="8">
        <f>SUBTOTAL(3,C$4:$C255)</f>
        <v>252</v>
      </c>
      <c r="C255" s="197" t="s">
        <v>70</v>
      </c>
      <c r="D255" s="144">
        <v>2010</v>
      </c>
      <c r="E255" s="144" t="s">
        <v>71</v>
      </c>
      <c r="F255" s="144">
        <v>1</v>
      </c>
      <c r="G255" s="144" t="s">
        <v>56</v>
      </c>
      <c r="H255" s="144" t="s">
        <v>56</v>
      </c>
      <c r="I255" s="199">
        <f t="shared" si="18"/>
        <v>1</v>
      </c>
      <c r="J255" s="144">
        <v>1</v>
      </c>
      <c r="K255" s="144" t="s">
        <v>56</v>
      </c>
      <c r="L255" s="144" t="s">
        <v>56</v>
      </c>
      <c r="M255" s="144">
        <f t="shared" si="19"/>
        <v>1</v>
      </c>
      <c r="N255" s="150">
        <f t="shared" si="20"/>
        <v>1</v>
      </c>
      <c r="O255" s="201" t="str">
        <f t="shared" si="21"/>
        <v>-</v>
      </c>
      <c r="P255" s="202">
        <v>1</v>
      </c>
      <c r="Q255" s="201">
        <v>0</v>
      </c>
      <c r="R255" s="203">
        <f t="shared" si="22"/>
        <v>1</v>
      </c>
      <c r="S255" s="144" t="s">
        <v>163</v>
      </c>
      <c r="T255" s="144" t="s">
        <v>182</v>
      </c>
      <c r="U255" s="144"/>
      <c r="V255" s="144"/>
      <c r="W255" s="94" t="b">
        <f t="shared" si="23"/>
        <v>1</v>
      </c>
    </row>
    <row r="256" spans="2:23" ht="12.9" customHeight="1">
      <c r="B256" s="8">
        <f>SUBTOTAL(3,C$4:$C256)</f>
        <v>253</v>
      </c>
      <c r="C256" s="197" t="s">
        <v>173</v>
      </c>
      <c r="D256" s="144">
        <v>2010</v>
      </c>
      <c r="E256" s="144" t="s">
        <v>60</v>
      </c>
      <c r="F256" s="144">
        <v>1</v>
      </c>
      <c r="G256" s="144" t="s">
        <v>56</v>
      </c>
      <c r="H256" s="144" t="s">
        <v>56</v>
      </c>
      <c r="I256" s="199">
        <f t="shared" si="18"/>
        <v>1</v>
      </c>
      <c r="J256" s="144">
        <v>1</v>
      </c>
      <c r="K256" s="144" t="s">
        <v>56</v>
      </c>
      <c r="L256" s="144" t="s">
        <v>56</v>
      </c>
      <c r="M256" s="144">
        <f t="shared" si="19"/>
        <v>1</v>
      </c>
      <c r="N256" s="150">
        <f t="shared" si="20"/>
        <v>1</v>
      </c>
      <c r="O256" s="201" t="str">
        <f t="shared" si="21"/>
        <v>-</v>
      </c>
      <c r="P256" s="202">
        <v>1</v>
      </c>
      <c r="Q256" s="201">
        <v>0</v>
      </c>
      <c r="R256" s="203">
        <f t="shared" si="22"/>
        <v>1</v>
      </c>
      <c r="S256" s="144" t="s">
        <v>163</v>
      </c>
      <c r="T256" s="144" t="s">
        <v>182</v>
      </c>
      <c r="U256" s="144"/>
      <c r="V256" s="144"/>
      <c r="W256" s="94" t="b">
        <f t="shared" si="23"/>
        <v>1</v>
      </c>
    </row>
    <row r="257" spans="2:23" ht="12.9" customHeight="1">
      <c r="B257" s="8">
        <f>SUBTOTAL(3,C$4:$C257)</f>
        <v>254</v>
      </c>
      <c r="C257" s="197" t="s">
        <v>75</v>
      </c>
      <c r="D257" s="144">
        <v>2010</v>
      </c>
      <c r="E257" s="144" t="s">
        <v>60</v>
      </c>
      <c r="F257" s="144">
        <v>1</v>
      </c>
      <c r="G257" s="144" t="s">
        <v>56</v>
      </c>
      <c r="H257" s="144" t="s">
        <v>56</v>
      </c>
      <c r="I257" s="199">
        <f t="shared" ref="I257:I271" si="27">F257</f>
        <v>1</v>
      </c>
      <c r="J257" s="144">
        <v>1</v>
      </c>
      <c r="K257" s="144" t="s">
        <v>56</v>
      </c>
      <c r="L257" s="144" t="s">
        <v>56</v>
      </c>
      <c r="M257" s="144">
        <f t="shared" ref="M257:M310" si="28">SUM(J257:L257)</f>
        <v>1</v>
      </c>
      <c r="N257" s="150">
        <f t="shared" ref="N257:N310" si="29">J257</f>
        <v>1</v>
      </c>
      <c r="O257" s="201" t="str">
        <f t="shared" si="21"/>
        <v>-</v>
      </c>
      <c r="P257" s="202">
        <v>1</v>
      </c>
      <c r="Q257" s="201">
        <v>0</v>
      </c>
      <c r="R257" s="203">
        <f t="shared" si="22"/>
        <v>1</v>
      </c>
      <c r="S257" s="144" t="s">
        <v>163</v>
      </c>
      <c r="T257" s="144" t="s">
        <v>182</v>
      </c>
      <c r="U257" s="144"/>
      <c r="V257" s="144"/>
      <c r="W257" s="94" t="b">
        <f t="shared" si="23"/>
        <v>1</v>
      </c>
    </row>
    <row r="258" spans="2:23" ht="12.9" customHeight="1">
      <c r="B258" s="8">
        <f>SUBTOTAL(3,C$4:$C258)</f>
        <v>255</v>
      </c>
      <c r="C258" s="197" t="s">
        <v>76</v>
      </c>
      <c r="D258" s="144">
        <v>2010</v>
      </c>
      <c r="E258" s="144" t="s">
        <v>60</v>
      </c>
      <c r="F258" s="144">
        <v>1</v>
      </c>
      <c r="G258" s="144" t="s">
        <v>56</v>
      </c>
      <c r="H258" s="144" t="s">
        <v>56</v>
      </c>
      <c r="I258" s="199">
        <f t="shared" si="27"/>
        <v>1</v>
      </c>
      <c r="J258" s="144">
        <v>1</v>
      </c>
      <c r="K258" s="144" t="s">
        <v>56</v>
      </c>
      <c r="L258" s="144" t="s">
        <v>56</v>
      </c>
      <c r="M258" s="144">
        <f t="shared" si="28"/>
        <v>1</v>
      </c>
      <c r="N258" s="150">
        <f t="shared" si="29"/>
        <v>1</v>
      </c>
      <c r="O258" s="201" t="str">
        <f t="shared" si="21"/>
        <v>-</v>
      </c>
      <c r="P258" s="202">
        <v>1</v>
      </c>
      <c r="Q258" s="201">
        <v>0</v>
      </c>
      <c r="R258" s="203">
        <f t="shared" ref="R258:R310" si="30">P258+Q258</f>
        <v>1</v>
      </c>
      <c r="S258" s="144" t="s">
        <v>163</v>
      </c>
      <c r="T258" s="144" t="s">
        <v>182</v>
      </c>
      <c r="U258" s="144"/>
      <c r="V258" s="144"/>
      <c r="W258" s="94" t="b">
        <f t="shared" si="23"/>
        <v>1</v>
      </c>
    </row>
    <row r="259" spans="2:23" ht="12.9" customHeight="1">
      <c r="B259" s="8">
        <f>SUBTOTAL(3,C$4:$C259)</f>
        <v>256</v>
      </c>
      <c r="C259" s="197" t="s">
        <v>186</v>
      </c>
      <c r="D259" s="144">
        <v>2010</v>
      </c>
      <c r="E259" s="144" t="s">
        <v>60</v>
      </c>
      <c r="F259" s="144">
        <v>1</v>
      </c>
      <c r="G259" s="144" t="s">
        <v>56</v>
      </c>
      <c r="H259" s="144" t="s">
        <v>56</v>
      </c>
      <c r="I259" s="199">
        <f t="shared" si="27"/>
        <v>1</v>
      </c>
      <c r="J259" s="144">
        <v>0</v>
      </c>
      <c r="K259" s="144" t="s">
        <v>56</v>
      </c>
      <c r="L259" s="144" t="s">
        <v>56</v>
      </c>
      <c r="M259" s="144">
        <f t="shared" si="28"/>
        <v>0</v>
      </c>
      <c r="N259" s="150">
        <f t="shared" si="29"/>
        <v>0</v>
      </c>
      <c r="O259" s="201" t="str">
        <f t="shared" si="21"/>
        <v>-</v>
      </c>
      <c r="P259" s="202">
        <v>0</v>
      </c>
      <c r="Q259" s="201">
        <v>0</v>
      </c>
      <c r="R259" s="203">
        <f t="shared" si="30"/>
        <v>0</v>
      </c>
      <c r="S259" s="144" t="s">
        <v>163</v>
      </c>
      <c r="T259" s="144" t="s">
        <v>182</v>
      </c>
      <c r="U259" s="144"/>
      <c r="V259" s="144"/>
      <c r="W259" s="94" t="b">
        <f t="shared" si="23"/>
        <v>1</v>
      </c>
    </row>
    <row r="260" spans="2:23" ht="12.9" customHeight="1">
      <c r="B260" s="8">
        <f>SUBTOTAL(3,C$4:$C260)</f>
        <v>257</v>
      </c>
      <c r="C260" s="197" t="s">
        <v>187</v>
      </c>
      <c r="D260" s="144"/>
      <c r="E260" s="144" t="s">
        <v>55</v>
      </c>
      <c r="F260" s="144">
        <v>1</v>
      </c>
      <c r="G260" s="144" t="s">
        <v>56</v>
      </c>
      <c r="H260" s="144" t="s">
        <v>56</v>
      </c>
      <c r="I260" s="199">
        <f t="shared" si="27"/>
        <v>1</v>
      </c>
      <c r="J260" s="144">
        <v>1</v>
      </c>
      <c r="K260" s="144" t="s">
        <v>56</v>
      </c>
      <c r="L260" s="144" t="s">
        <v>56</v>
      </c>
      <c r="M260" s="144">
        <f t="shared" si="28"/>
        <v>1</v>
      </c>
      <c r="N260" s="150">
        <f t="shared" si="29"/>
        <v>1</v>
      </c>
      <c r="O260" s="201" t="str">
        <f t="shared" ref="O260:O310" si="31">L260</f>
        <v>-</v>
      </c>
      <c r="P260" s="202">
        <v>1</v>
      </c>
      <c r="Q260" s="201">
        <v>0</v>
      </c>
      <c r="R260" s="203">
        <f t="shared" si="30"/>
        <v>1</v>
      </c>
      <c r="S260" s="144" t="s">
        <v>163</v>
      </c>
      <c r="T260" s="144" t="s">
        <v>182</v>
      </c>
      <c r="U260" s="144"/>
      <c r="V260" s="144"/>
      <c r="W260" s="94" t="b">
        <f t="shared" si="23"/>
        <v>1</v>
      </c>
    </row>
    <row r="261" spans="2:23" ht="12.9" customHeight="1">
      <c r="B261" s="8">
        <f>SUBTOTAL(3,C$4:$C261)</f>
        <v>258</v>
      </c>
      <c r="C261" s="197" t="s">
        <v>188</v>
      </c>
      <c r="D261" s="144">
        <v>2024</v>
      </c>
      <c r="E261" s="144" t="s">
        <v>55</v>
      </c>
      <c r="F261" s="144">
        <v>1</v>
      </c>
      <c r="G261" s="144" t="s">
        <v>56</v>
      </c>
      <c r="H261" s="144" t="s">
        <v>56</v>
      </c>
      <c r="I261" s="199">
        <f t="shared" si="27"/>
        <v>1</v>
      </c>
      <c r="J261" s="144">
        <v>1</v>
      </c>
      <c r="K261" s="144" t="s">
        <v>56</v>
      </c>
      <c r="L261" s="144" t="s">
        <v>56</v>
      </c>
      <c r="M261" s="144">
        <f t="shared" si="28"/>
        <v>1</v>
      </c>
      <c r="N261" s="150">
        <f t="shared" si="29"/>
        <v>1</v>
      </c>
      <c r="O261" s="201" t="str">
        <f t="shared" si="31"/>
        <v>-</v>
      </c>
      <c r="P261" s="202">
        <v>1</v>
      </c>
      <c r="Q261" s="201">
        <v>0</v>
      </c>
      <c r="R261" s="203">
        <f t="shared" si="30"/>
        <v>1</v>
      </c>
      <c r="S261" s="144" t="s">
        <v>163</v>
      </c>
      <c r="T261" s="144" t="s">
        <v>189</v>
      </c>
      <c r="U261" s="144"/>
      <c r="V261" s="144"/>
      <c r="W261" s="94" t="b">
        <f t="shared" ref="W261:W310" si="32">N261=P261</f>
        <v>1</v>
      </c>
    </row>
    <row r="262" spans="2:23" ht="12.9" customHeight="1">
      <c r="B262" s="8">
        <f>SUBTOTAL(3,C$4:$C262)</f>
        <v>259</v>
      </c>
      <c r="C262" s="197" t="s">
        <v>176</v>
      </c>
      <c r="D262" s="144">
        <v>2010</v>
      </c>
      <c r="E262" s="144" t="s">
        <v>55</v>
      </c>
      <c r="F262" s="144">
        <v>1</v>
      </c>
      <c r="G262" s="144" t="s">
        <v>56</v>
      </c>
      <c r="H262" s="144" t="s">
        <v>56</v>
      </c>
      <c r="I262" s="199">
        <f t="shared" si="27"/>
        <v>1</v>
      </c>
      <c r="J262" s="144">
        <v>1</v>
      </c>
      <c r="K262" s="144" t="s">
        <v>56</v>
      </c>
      <c r="L262" s="144" t="s">
        <v>56</v>
      </c>
      <c r="M262" s="144">
        <f t="shared" si="28"/>
        <v>1</v>
      </c>
      <c r="N262" s="150">
        <f t="shared" si="29"/>
        <v>1</v>
      </c>
      <c r="O262" s="201" t="str">
        <f t="shared" si="31"/>
        <v>-</v>
      </c>
      <c r="P262" s="202">
        <v>1</v>
      </c>
      <c r="Q262" s="201">
        <v>0</v>
      </c>
      <c r="R262" s="203">
        <f t="shared" si="30"/>
        <v>1</v>
      </c>
      <c r="S262" s="144" t="s">
        <v>163</v>
      </c>
      <c r="T262" s="144" t="s">
        <v>190</v>
      </c>
      <c r="U262" s="144"/>
      <c r="V262" s="144"/>
      <c r="W262" s="94" t="b">
        <f t="shared" si="32"/>
        <v>1</v>
      </c>
    </row>
    <row r="263" spans="2:23" ht="12.9" customHeight="1">
      <c r="B263" s="8">
        <f>SUBTOTAL(3,C$4:$C263)</f>
        <v>260</v>
      </c>
      <c r="C263" s="197" t="s">
        <v>183</v>
      </c>
      <c r="D263" s="144">
        <v>2010</v>
      </c>
      <c r="E263" s="144" t="s">
        <v>55</v>
      </c>
      <c r="F263" s="144">
        <v>1</v>
      </c>
      <c r="G263" s="144" t="s">
        <v>56</v>
      </c>
      <c r="H263" s="144" t="s">
        <v>56</v>
      </c>
      <c r="I263" s="199">
        <f t="shared" si="27"/>
        <v>1</v>
      </c>
      <c r="J263" s="144">
        <v>1</v>
      </c>
      <c r="K263" s="144" t="s">
        <v>56</v>
      </c>
      <c r="L263" s="144" t="s">
        <v>56</v>
      </c>
      <c r="M263" s="144">
        <f t="shared" si="28"/>
        <v>1</v>
      </c>
      <c r="N263" s="150">
        <f t="shared" si="29"/>
        <v>1</v>
      </c>
      <c r="O263" s="201" t="str">
        <f t="shared" si="31"/>
        <v>-</v>
      </c>
      <c r="P263" s="202">
        <v>1</v>
      </c>
      <c r="Q263" s="201">
        <v>0</v>
      </c>
      <c r="R263" s="203">
        <f t="shared" si="30"/>
        <v>1</v>
      </c>
      <c r="S263" s="144" t="s">
        <v>163</v>
      </c>
      <c r="T263" s="144" t="s">
        <v>190</v>
      </c>
      <c r="U263" s="144"/>
      <c r="V263" s="144"/>
      <c r="W263" s="94" t="b">
        <f t="shared" si="32"/>
        <v>1</v>
      </c>
    </row>
    <row r="264" spans="2:23" ht="12.9" customHeight="1">
      <c r="B264" s="8">
        <f>SUBTOTAL(3,C$4:$C264)</f>
        <v>261</v>
      </c>
      <c r="C264" s="197" t="s">
        <v>61</v>
      </c>
      <c r="D264" s="144">
        <v>2016</v>
      </c>
      <c r="E264" s="144" t="s">
        <v>63</v>
      </c>
      <c r="F264" s="144">
        <v>1</v>
      </c>
      <c r="G264" s="144" t="s">
        <v>56</v>
      </c>
      <c r="H264" s="144" t="s">
        <v>56</v>
      </c>
      <c r="I264" s="199">
        <f t="shared" si="27"/>
        <v>1</v>
      </c>
      <c r="J264" s="144">
        <v>0</v>
      </c>
      <c r="K264" s="144" t="s">
        <v>56</v>
      </c>
      <c r="L264" s="144">
        <v>1</v>
      </c>
      <c r="M264" s="144">
        <f t="shared" si="28"/>
        <v>1</v>
      </c>
      <c r="N264" s="150">
        <f t="shared" si="29"/>
        <v>0</v>
      </c>
      <c r="O264" s="201">
        <f t="shared" si="31"/>
        <v>1</v>
      </c>
      <c r="P264" s="202">
        <v>0</v>
      </c>
      <c r="Q264" s="202">
        <v>1</v>
      </c>
      <c r="R264" s="203">
        <f t="shared" si="30"/>
        <v>1</v>
      </c>
      <c r="S264" s="144" t="s">
        <v>163</v>
      </c>
      <c r="T264" s="144" t="s">
        <v>190</v>
      </c>
      <c r="U264" s="144" t="s">
        <v>191</v>
      </c>
      <c r="V264" s="144"/>
      <c r="W264" s="94" t="b">
        <f t="shared" si="32"/>
        <v>1</v>
      </c>
    </row>
    <row r="265" spans="2:23" ht="12.9" customHeight="1">
      <c r="B265" s="8">
        <f>SUBTOTAL(3,C$4:$C265)</f>
        <v>262</v>
      </c>
      <c r="C265" s="197" t="s">
        <v>184</v>
      </c>
      <c r="D265" s="144">
        <v>2010</v>
      </c>
      <c r="E265" s="144" t="s">
        <v>60</v>
      </c>
      <c r="F265" s="144">
        <v>3</v>
      </c>
      <c r="G265" s="144" t="s">
        <v>56</v>
      </c>
      <c r="H265" s="144" t="s">
        <v>56</v>
      </c>
      <c r="I265" s="199">
        <f t="shared" si="27"/>
        <v>3</v>
      </c>
      <c r="J265" s="144">
        <v>3</v>
      </c>
      <c r="K265" s="144" t="s">
        <v>56</v>
      </c>
      <c r="L265" s="144" t="s">
        <v>56</v>
      </c>
      <c r="M265" s="144">
        <f t="shared" si="28"/>
        <v>3</v>
      </c>
      <c r="N265" s="150">
        <f t="shared" si="29"/>
        <v>3</v>
      </c>
      <c r="O265" s="201" t="str">
        <f t="shared" si="31"/>
        <v>-</v>
      </c>
      <c r="P265" s="202">
        <v>3</v>
      </c>
      <c r="Q265" s="201">
        <v>0</v>
      </c>
      <c r="R265" s="203">
        <f t="shared" si="30"/>
        <v>3</v>
      </c>
      <c r="S265" s="144" t="s">
        <v>163</v>
      </c>
      <c r="T265" s="144" t="s">
        <v>190</v>
      </c>
      <c r="U265" s="144"/>
      <c r="V265" s="144"/>
      <c r="W265" s="94" t="b">
        <f t="shared" si="32"/>
        <v>1</v>
      </c>
    </row>
    <row r="266" spans="2:23" ht="12.9" customHeight="1">
      <c r="B266" s="8">
        <f>SUBTOTAL(3,C$4:$C266)</f>
        <v>263</v>
      </c>
      <c r="C266" s="197" t="s">
        <v>185</v>
      </c>
      <c r="D266" s="144">
        <v>2010</v>
      </c>
      <c r="E266" s="144" t="s">
        <v>63</v>
      </c>
      <c r="F266" s="144">
        <v>1</v>
      </c>
      <c r="G266" s="144" t="s">
        <v>56</v>
      </c>
      <c r="H266" s="144" t="s">
        <v>56</v>
      </c>
      <c r="I266" s="199">
        <f t="shared" si="27"/>
        <v>1</v>
      </c>
      <c r="J266" s="144">
        <v>0</v>
      </c>
      <c r="K266" s="144" t="s">
        <v>56</v>
      </c>
      <c r="L266" s="144">
        <v>1</v>
      </c>
      <c r="M266" s="144">
        <f t="shared" si="28"/>
        <v>1</v>
      </c>
      <c r="N266" s="150">
        <f t="shared" si="29"/>
        <v>0</v>
      </c>
      <c r="O266" s="201">
        <f t="shared" si="31"/>
        <v>1</v>
      </c>
      <c r="P266" s="202">
        <v>0</v>
      </c>
      <c r="Q266" s="202">
        <v>1</v>
      </c>
      <c r="R266" s="203">
        <f t="shared" si="30"/>
        <v>1</v>
      </c>
      <c r="S266" s="144" t="s">
        <v>163</v>
      </c>
      <c r="T266" s="144" t="s">
        <v>190</v>
      </c>
      <c r="U266" s="144" t="s">
        <v>191</v>
      </c>
      <c r="V266" s="144"/>
      <c r="W266" s="94" t="b">
        <f t="shared" si="32"/>
        <v>1</v>
      </c>
    </row>
    <row r="267" spans="2:23" ht="12.9" customHeight="1">
      <c r="B267" s="8">
        <f>SUBTOTAL(3,C$4:$C267)</f>
        <v>264</v>
      </c>
      <c r="C267" s="197" t="s">
        <v>179</v>
      </c>
      <c r="D267" s="144">
        <v>2010</v>
      </c>
      <c r="E267" s="144" t="s">
        <v>55</v>
      </c>
      <c r="F267" s="144">
        <v>1</v>
      </c>
      <c r="G267" s="144" t="s">
        <v>56</v>
      </c>
      <c r="H267" s="144" t="s">
        <v>56</v>
      </c>
      <c r="I267" s="199">
        <f t="shared" si="27"/>
        <v>1</v>
      </c>
      <c r="J267" s="144">
        <v>1</v>
      </c>
      <c r="K267" s="144" t="s">
        <v>56</v>
      </c>
      <c r="L267" s="144" t="s">
        <v>56</v>
      </c>
      <c r="M267" s="144">
        <f t="shared" si="28"/>
        <v>1</v>
      </c>
      <c r="N267" s="150">
        <f t="shared" si="29"/>
        <v>1</v>
      </c>
      <c r="O267" s="201" t="str">
        <f t="shared" si="31"/>
        <v>-</v>
      </c>
      <c r="P267" s="202">
        <v>1</v>
      </c>
      <c r="Q267" s="201">
        <v>0</v>
      </c>
      <c r="R267" s="203">
        <f t="shared" si="30"/>
        <v>1</v>
      </c>
      <c r="S267" s="144" t="s">
        <v>163</v>
      </c>
      <c r="T267" s="144" t="s">
        <v>190</v>
      </c>
      <c r="U267" s="144"/>
      <c r="V267" s="144"/>
      <c r="W267" s="94" t="b">
        <f t="shared" si="32"/>
        <v>1</v>
      </c>
    </row>
    <row r="268" spans="2:23" ht="12.9" customHeight="1">
      <c r="B268" s="8">
        <f>SUBTOTAL(3,C$4:$C268)</f>
        <v>265</v>
      </c>
      <c r="C268" s="197" t="s">
        <v>180</v>
      </c>
      <c r="D268" s="144">
        <v>2010</v>
      </c>
      <c r="E268" s="144" t="s">
        <v>55</v>
      </c>
      <c r="F268" s="144">
        <v>1</v>
      </c>
      <c r="G268" s="144" t="s">
        <v>56</v>
      </c>
      <c r="H268" s="144" t="s">
        <v>56</v>
      </c>
      <c r="I268" s="199">
        <f t="shared" si="27"/>
        <v>1</v>
      </c>
      <c r="J268" s="144">
        <v>1</v>
      </c>
      <c r="K268" s="144" t="s">
        <v>56</v>
      </c>
      <c r="L268" s="144" t="s">
        <v>56</v>
      </c>
      <c r="M268" s="144">
        <f t="shared" si="28"/>
        <v>1</v>
      </c>
      <c r="N268" s="150">
        <f t="shared" si="29"/>
        <v>1</v>
      </c>
      <c r="O268" s="201" t="str">
        <f t="shared" si="31"/>
        <v>-</v>
      </c>
      <c r="P268" s="202">
        <v>1</v>
      </c>
      <c r="Q268" s="201">
        <v>0</v>
      </c>
      <c r="R268" s="203">
        <f t="shared" si="30"/>
        <v>1</v>
      </c>
      <c r="S268" s="144" t="s">
        <v>163</v>
      </c>
      <c r="T268" s="144" t="s">
        <v>190</v>
      </c>
      <c r="U268" s="144"/>
      <c r="V268" s="144"/>
      <c r="W268" s="94" t="b">
        <f t="shared" si="32"/>
        <v>1</v>
      </c>
    </row>
    <row r="269" spans="2:23" ht="12.9" customHeight="1">
      <c r="B269" s="8">
        <f>SUBTOTAL(3,C$4:$C269)</f>
        <v>266</v>
      </c>
      <c r="C269" s="197" t="s">
        <v>74</v>
      </c>
      <c r="D269" s="144">
        <v>2018</v>
      </c>
      <c r="E269" s="144" t="s">
        <v>60</v>
      </c>
      <c r="F269" s="144">
        <v>1</v>
      </c>
      <c r="G269" s="144" t="s">
        <v>56</v>
      </c>
      <c r="H269" s="144" t="s">
        <v>56</v>
      </c>
      <c r="I269" s="199">
        <f t="shared" si="27"/>
        <v>1</v>
      </c>
      <c r="J269" s="144">
        <v>1</v>
      </c>
      <c r="K269" s="144" t="s">
        <v>56</v>
      </c>
      <c r="L269" s="144" t="s">
        <v>56</v>
      </c>
      <c r="M269" s="144">
        <f t="shared" si="28"/>
        <v>1</v>
      </c>
      <c r="N269" s="150">
        <f t="shared" si="29"/>
        <v>1</v>
      </c>
      <c r="O269" s="201" t="str">
        <f t="shared" si="31"/>
        <v>-</v>
      </c>
      <c r="P269" s="202">
        <v>1</v>
      </c>
      <c r="Q269" s="201">
        <v>0</v>
      </c>
      <c r="R269" s="203">
        <f t="shared" si="30"/>
        <v>1</v>
      </c>
      <c r="S269" s="144" t="s">
        <v>163</v>
      </c>
      <c r="T269" s="144" t="s">
        <v>190</v>
      </c>
      <c r="U269" s="144"/>
      <c r="V269" s="144"/>
      <c r="W269" s="94" t="b">
        <f t="shared" si="32"/>
        <v>1</v>
      </c>
    </row>
    <row r="270" spans="2:23" ht="12.9" customHeight="1">
      <c r="B270" s="8">
        <f>SUBTOTAL(3,C$4:$C270)</f>
        <v>267</v>
      </c>
      <c r="C270" s="197" t="s">
        <v>181</v>
      </c>
      <c r="D270" s="144">
        <v>2010</v>
      </c>
      <c r="E270" s="144" t="s">
        <v>55</v>
      </c>
      <c r="F270" s="144">
        <v>1</v>
      </c>
      <c r="G270" s="144" t="s">
        <v>56</v>
      </c>
      <c r="H270" s="144" t="s">
        <v>56</v>
      </c>
      <c r="I270" s="199">
        <f t="shared" si="27"/>
        <v>1</v>
      </c>
      <c r="J270" s="144">
        <v>1</v>
      </c>
      <c r="K270" s="144" t="s">
        <v>56</v>
      </c>
      <c r="L270" s="144" t="s">
        <v>56</v>
      </c>
      <c r="M270" s="144">
        <f t="shared" si="28"/>
        <v>1</v>
      </c>
      <c r="N270" s="150">
        <f t="shared" si="29"/>
        <v>1</v>
      </c>
      <c r="O270" s="201" t="str">
        <f t="shared" si="31"/>
        <v>-</v>
      </c>
      <c r="P270" s="202">
        <v>1</v>
      </c>
      <c r="Q270" s="201">
        <v>0</v>
      </c>
      <c r="R270" s="203">
        <f t="shared" si="30"/>
        <v>1</v>
      </c>
      <c r="S270" s="144" t="s">
        <v>163</v>
      </c>
      <c r="T270" s="144" t="s">
        <v>190</v>
      </c>
      <c r="U270" s="144"/>
      <c r="V270" s="144"/>
      <c r="W270" s="94" t="b">
        <f t="shared" si="32"/>
        <v>1</v>
      </c>
    </row>
    <row r="271" spans="2:23" ht="12.9" customHeight="1">
      <c r="B271" s="8">
        <f>SUBTOTAL(3,C$4:$C271)</f>
        <v>268</v>
      </c>
      <c r="C271" s="197" t="s">
        <v>73</v>
      </c>
      <c r="D271" s="144">
        <v>2010</v>
      </c>
      <c r="E271" s="144" t="s">
        <v>63</v>
      </c>
      <c r="F271" s="144">
        <v>1</v>
      </c>
      <c r="G271" s="144" t="s">
        <v>56</v>
      </c>
      <c r="H271" s="144" t="s">
        <v>56</v>
      </c>
      <c r="I271" s="199">
        <f t="shared" si="27"/>
        <v>1</v>
      </c>
      <c r="J271" s="144">
        <v>1</v>
      </c>
      <c r="K271" s="144" t="s">
        <v>56</v>
      </c>
      <c r="L271" s="144" t="s">
        <v>56</v>
      </c>
      <c r="M271" s="144">
        <f t="shared" si="28"/>
        <v>1</v>
      </c>
      <c r="N271" s="150">
        <f t="shared" si="29"/>
        <v>1</v>
      </c>
      <c r="O271" s="201" t="str">
        <f t="shared" si="31"/>
        <v>-</v>
      </c>
      <c r="P271" s="202">
        <v>1</v>
      </c>
      <c r="Q271" s="201">
        <v>0</v>
      </c>
      <c r="R271" s="203">
        <f t="shared" si="30"/>
        <v>1</v>
      </c>
      <c r="S271" s="144" t="s">
        <v>163</v>
      </c>
      <c r="T271" s="144" t="s">
        <v>190</v>
      </c>
      <c r="U271" s="144"/>
      <c r="V271" s="144"/>
      <c r="W271" s="94" t="b">
        <f t="shared" si="32"/>
        <v>1</v>
      </c>
    </row>
    <row r="272" spans="2:23" ht="12.9" customHeight="1">
      <c r="B272" s="8">
        <f>SUBTOTAL(3,C$4:$C272)</f>
        <v>269</v>
      </c>
      <c r="C272" s="197" t="s">
        <v>72</v>
      </c>
      <c r="D272" s="144">
        <v>2010</v>
      </c>
      <c r="E272" s="144" t="s">
        <v>60</v>
      </c>
      <c r="F272" s="144">
        <v>1</v>
      </c>
      <c r="G272" s="144" t="s">
        <v>56</v>
      </c>
      <c r="H272" s="144" t="s">
        <v>56</v>
      </c>
      <c r="I272" s="199">
        <f t="shared" ref="I272:I302" si="33">SUM(F272:H272)</f>
        <v>1</v>
      </c>
      <c r="J272" s="144">
        <v>1</v>
      </c>
      <c r="K272" s="144" t="s">
        <v>56</v>
      </c>
      <c r="L272" s="144" t="s">
        <v>56</v>
      </c>
      <c r="M272" s="144">
        <f t="shared" si="28"/>
        <v>1</v>
      </c>
      <c r="N272" s="150">
        <f t="shared" si="29"/>
        <v>1</v>
      </c>
      <c r="O272" s="201" t="str">
        <f t="shared" si="31"/>
        <v>-</v>
      </c>
      <c r="P272" s="202">
        <v>1</v>
      </c>
      <c r="Q272" s="201">
        <v>0</v>
      </c>
      <c r="R272" s="203">
        <f t="shared" si="30"/>
        <v>1</v>
      </c>
      <c r="S272" s="144" t="s">
        <v>163</v>
      </c>
      <c r="T272" s="144" t="s">
        <v>190</v>
      </c>
      <c r="U272" s="144"/>
      <c r="V272" s="144"/>
      <c r="W272" s="94" t="b">
        <f t="shared" si="32"/>
        <v>1</v>
      </c>
    </row>
    <row r="273" spans="2:23" ht="12.9" customHeight="1">
      <c r="B273" s="8">
        <f>SUBTOTAL(3,C$4:$C273)</f>
        <v>270</v>
      </c>
      <c r="C273" s="197" t="s">
        <v>172</v>
      </c>
      <c r="D273" s="144">
        <v>2010</v>
      </c>
      <c r="E273" s="144" t="s">
        <v>55</v>
      </c>
      <c r="F273" s="144">
        <v>1</v>
      </c>
      <c r="G273" s="144" t="s">
        <v>56</v>
      </c>
      <c r="H273" s="144" t="s">
        <v>56</v>
      </c>
      <c r="I273" s="199">
        <f t="shared" si="33"/>
        <v>1</v>
      </c>
      <c r="J273" s="144">
        <v>1</v>
      </c>
      <c r="K273" s="144" t="s">
        <v>56</v>
      </c>
      <c r="L273" s="144" t="s">
        <v>56</v>
      </c>
      <c r="M273" s="144">
        <f t="shared" si="28"/>
        <v>1</v>
      </c>
      <c r="N273" s="150">
        <f t="shared" si="29"/>
        <v>1</v>
      </c>
      <c r="O273" s="201" t="str">
        <f t="shared" si="31"/>
        <v>-</v>
      </c>
      <c r="P273" s="202">
        <v>1</v>
      </c>
      <c r="Q273" s="201">
        <v>0</v>
      </c>
      <c r="R273" s="203">
        <f t="shared" si="30"/>
        <v>1</v>
      </c>
      <c r="S273" s="144" t="s">
        <v>163</v>
      </c>
      <c r="T273" s="144" t="s">
        <v>190</v>
      </c>
      <c r="U273" s="144"/>
      <c r="V273" s="144"/>
      <c r="W273" s="94" t="b">
        <f t="shared" si="32"/>
        <v>1</v>
      </c>
    </row>
    <row r="274" spans="2:23" ht="12.9" customHeight="1">
      <c r="B274" s="8">
        <f>SUBTOTAL(3,C$4:$C274)</f>
        <v>271</v>
      </c>
      <c r="C274" s="197" t="s">
        <v>70</v>
      </c>
      <c r="D274" s="144">
        <v>2010</v>
      </c>
      <c r="E274" s="144" t="s">
        <v>71</v>
      </c>
      <c r="F274" s="144">
        <v>1</v>
      </c>
      <c r="G274" s="144" t="s">
        <v>56</v>
      </c>
      <c r="H274" s="144" t="s">
        <v>56</v>
      </c>
      <c r="I274" s="199">
        <f t="shared" si="33"/>
        <v>1</v>
      </c>
      <c r="J274" s="144">
        <v>1</v>
      </c>
      <c r="K274" s="144" t="s">
        <v>56</v>
      </c>
      <c r="L274" s="144" t="s">
        <v>56</v>
      </c>
      <c r="M274" s="144">
        <f t="shared" si="28"/>
        <v>1</v>
      </c>
      <c r="N274" s="150">
        <f t="shared" si="29"/>
        <v>1</v>
      </c>
      <c r="O274" s="201" t="str">
        <f t="shared" si="31"/>
        <v>-</v>
      </c>
      <c r="P274" s="202">
        <v>1</v>
      </c>
      <c r="Q274" s="201">
        <v>0</v>
      </c>
      <c r="R274" s="203">
        <f t="shared" si="30"/>
        <v>1</v>
      </c>
      <c r="S274" s="144" t="s">
        <v>163</v>
      </c>
      <c r="T274" s="144" t="s">
        <v>190</v>
      </c>
      <c r="U274" s="144"/>
      <c r="V274" s="144"/>
      <c r="W274" s="94" t="b">
        <f t="shared" si="32"/>
        <v>1</v>
      </c>
    </row>
    <row r="275" spans="2:23" ht="12.9" customHeight="1">
      <c r="B275" s="8">
        <f>SUBTOTAL(3,C$4:$C275)</f>
        <v>272</v>
      </c>
      <c r="C275" s="197" t="s">
        <v>173</v>
      </c>
      <c r="D275" s="144">
        <v>2010</v>
      </c>
      <c r="E275" s="144" t="s">
        <v>60</v>
      </c>
      <c r="F275" s="144">
        <v>1</v>
      </c>
      <c r="G275" s="144" t="s">
        <v>56</v>
      </c>
      <c r="H275" s="144" t="s">
        <v>56</v>
      </c>
      <c r="I275" s="199">
        <f t="shared" si="33"/>
        <v>1</v>
      </c>
      <c r="J275" s="144">
        <v>0</v>
      </c>
      <c r="K275" s="144" t="s">
        <v>56</v>
      </c>
      <c r="L275" s="144" t="s">
        <v>56</v>
      </c>
      <c r="M275" s="144">
        <f t="shared" si="28"/>
        <v>0</v>
      </c>
      <c r="N275" s="150">
        <f t="shared" si="29"/>
        <v>0</v>
      </c>
      <c r="O275" s="201" t="str">
        <f t="shared" si="31"/>
        <v>-</v>
      </c>
      <c r="P275" s="202">
        <v>0</v>
      </c>
      <c r="Q275" s="201">
        <v>0</v>
      </c>
      <c r="R275" s="203">
        <f t="shared" si="30"/>
        <v>0</v>
      </c>
      <c r="S275" s="144" t="s">
        <v>163</v>
      </c>
      <c r="T275" s="144" t="s">
        <v>190</v>
      </c>
      <c r="U275" s="144" t="s">
        <v>192</v>
      </c>
      <c r="V275" s="144"/>
      <c r="W275" s="94" t="b">
        <f t="shared" si="32"/>
        <v>1</v>
      </c>
    </row>
    <row r="276" spans="2:23" ht="12.9" customHeight="1">
      <c r="B276" s="8">
        <f>SUBTOTAL(3,C$4:$C276)</f>
        <v>273</v>
      </c>
      <c r="C276" s="197" t="s">
        <v>75</v>
      </c>
      <c r="D276" s="144">
        <v>2010</v>
      </c>
      <c r="E276" s="144" t="s">
        <v>60</v>
      </c>
      <c r="F276" s="144">
        <v>1</v>
      </c>
      <c r="G276" s="144" t="s">
        <v>56</v>
      </c>
      <c r="H276" s="144" t="s">
        <v>56</v>
      </c>
      <c r="I276" s="199">
        <f t="shared" si="33"/>
        <v>1</v>
      </c>
      <c r="J276" s="144">
        <v>1</v>
      </c>
      <c r="K276" s="144" t="s">
        <v>56</v>
      </c>
      <c r="L276" s="144" t="s">
        <v>56</v>
      </c>
      <c r="M276" s="144">
        <f t="shared" si="28"/>
        <v>1</v>
      </c>
      <c r="N276" s="150">
        <f t="shared" si="29"/>
        <v>1</v>
      </c>
      <c r="O276" s="201" t="str">
        <f t="shared" si="31"/>
        <v>-</v>
      </c>
      <c r="P276" s="202">
        <v>1</v>
      </c>
      <c r="Q276" s="201">
        <v>0</v>
      </c>
      <c r="R276" s="203">
        <f t="shared" si="30"/>
        <v>1</v>
      </c>
      <c r="S276" s="144" t="s">
        <v>163</v>
      </c>
      <c r="T276" s="144" t="s">
        <v>190</v>
      </c>
      <c r="U276" s="144"/>
      <c r="V276" s="144"/>
      <c r="W276" s="94" t="b">
        <f t="shared" si="32"/>
        <v>1</v>
      </c>
    </row>
    <row r="277" spans="2:23" ht="12.9" customHeight="1">
      <c r="B277" s="8">
        <f>SUBTOTAL(3,C$4:$C277)</f>
        <v>274</v>
      </c>
      <c r="C277" s="197" t="s">
        <v>76</v>
      </c>
      <c r="D277" s="144">
        <v>2010</v>
      </c>
      <c r="E277" s="144" t="s">
        <v>60</v>
      </c>
      <c r="F277" s="144">
        <v>1</v>
      </c>
      <c r="G277" s="144" t="s">
        <v>56</v>
      </c>
      <c r="H277" s="144" t="s">
        <v>56</v>
      </c>
      <c r="I277" s="199">
        <f t="shared" si="33"/>
        <v>1</v>
      </c>
      <c r="J277" s="144">
        <v>1</v>
      </c>
      <c r="K277" s="144" t="s">
        <v>56</v>
      </c>
      <c r="L277" s="144" t="s">
        <v>56</v>
      </c>
      <c r="M277" s="144">
        <f t="shared" si="28"/>
        <v>1</v>
      </c>
      <c r="N277" s="150">
        <f t="shared" si="29"/>
        <v>1</v>
      </c>
      <c r="O277" s="201" t="str">
        <f t="shared" si="31"/>
        <v>-</v>
      </c>
      <c r="P277" s="202">
        <v>1</v>
      </c>
      <c r="Q277" s="201">
        <v>0</v>
      </c>
      <c r="R277" s="203">
        <f t="shared" si="30"/>
        <v>1</v>
      </c>
      <c r="S277" s="144" t="s">
        <v>163</v>
      </c>
      <c r="T277" s="144" t="s">
        <v>190</v>
      </c>
      <c r="U277" s="144"/>
      <c r="V277" s="144"/>
      <c r="W277" s="94" t="b">
        <f t="shared" si="32"/>
        <v>1</v>
      </c>
    </row>
    <row r="278" spans="2:23" ht="12.9" customHeight="1">
      <c r="B278" s="8">
        <f>SUBTOTAL(3,C$4:$C278)</f>
        <v>275</v>
      </c>
      <c r="C278" s="197" t="s">
        <v>193</v>
      </c>
      <c r="D278" s="144">
        <v>2010</v>
      </c>
      <c r="E278" s="144" t="s">
        <v>60</v>
      </c>
      <c r="F278" s="144">
        <v>1</v>
      </c>
      <c r="G278" s="144" t="s">
        <v>56</v>
      </c>
      <c r="H278" s="144" t="s">
        <v>56</v>
      </c>
      <c r="I278" s="199">
        <f t="shared" si="33"/>
        <v>1</v>
      </c>
      <c r="J278" s="144">
        <v>1</v>
      </c>
      <c r="K278" s="144" t="s">
        <v>56</v>
      </c>
      <c r="L278" s="144" t="s">
        <v>56</v>
      </c>
      <c r="M278" s="144">
        <f t="shared" si="28"/>
        <v>1</v>
      </c>
      <c r="N278" s="150">
        <f t="shared" si="29"/>
        <v>1</v>
      </c>
      <c r="O278" s="201" t="str">
        <f t="shared" si="31"/>
        <v>-</v>
      </c>
      <c r="P278" s="202">
        <v>1</v>
      </c>
      <c r="Q278" s="201">
        <v>0</v>
      </c>
      <c r="R278" s="203">
        <f t="shared" si="30"/>
        <v>1</v>
      </c>
      <c r="S278" s="144" t="s">
        <v>163</v>
      </c>
      <c r="T278" s="144" t="s">
        <v>190</v>
      </c>
      <c r="U278" s="144"/>
      <c r="V278" s="144"/>
      <c r="W278" s="94" t="b">
        <f t="shared" si="32"/>
        <v>1</v>
      </c>
    </row>
    <row r="279" spans="2:23" ht="12.9" customHeight="1">
      <c r="B279" s="8">
        <f>SUBTOTAL(3,C$4:$C279)</f>
        <v>276</v>
      </c>
      <c r="C279" s="197" t="s">
        <v>194</v>
      </c>
      <c r="D279" s="144">
        <v>2010</v>
      </c>
      <c r="E279" s="144" t="s">
        <v>60</v>
      </c>
      <c r="F279" s="144">
        <v>1</v>
      </c>
      <c r="G279" s="144" t="s">
        <v>56</v>
      </c>
      <c r="H279" s="144" t="s">
        <v>56</v>
      </c>
      <c r="I279" s="199">
        <f t="shared" si="33"/>
        <v>1</v>
      </c>
      <c r="J279" s="144">
        <v>1</v>
      </c>
      <c r="K279" s="144" t="s">
        <v>56</v>
      </c>
      <c r="L279" s="144" t="s">
        <v>56</v>
      </c>
      <c r="M279" s="144">
        <f t="shared" si="28"/>
        <v>1</v>
      </c>
      <c r="N279" s="150">
        <f t="shared" si="29"/>
        <v>1</v>
      </c>
      <c r="O279" s="201" t="str">
        <f t="shared" si="31"/>
        <v>-</v>
      </c>
      <c r="P279" s="202">
        <v>1</v>
      </c>
      <c r="Q279" s="201">
        <v>0</v>
      </c>
      <c r="R279" s="203">
        <f t="shared" si="30"/>
        <v>1</v>
      </c>
      <c r="S279" s="144" t="s">
        <v>163</v>
      </c>
      <c r="T279" s="144" t="s">
        <v>190</v>
      </c>
      <c r="U279" s="144"/>
      <c r="V279" s="144"/>
      <c r="W279" s="94" t="b">
        <f t="shared" si="32"/>
        <v>1</v>
      </c>
    </row>
    <row r="280" spans="2:23" ht="12.9" customHeight="1">
      <c r="B280" s="8">
        <f>SUBTOTAL(3,C$4:$C280)</f>
        <v>277</v>
      </c>
      <c r="C280" s="197" t="s">
        <v>187</v>
      </c>
      <c r="D280" s="144"/>
      <c r="E280" s="144" t="s">
        <v>55</v>
      </c>
      <c r="F280" s="144">
        <v>1</v>
      </c>
      <c r="G280" s="144" t="s">
        <v>56</v>
      </c>
      <c r="H280" s="144" t="s">
        <v>56</v>
      </c>
      <c r="I280" s="199">
        <f t="shared" si="33"/>
        <v>1</v>
      </c>
      <c r="J280" s="144">
        <v>1</v>
      </c>
      <c r="K280" s="144" t="s">
        <v>56</v>
      </c>
      <c r="L280" s="144" t="s">
        <v>56</v>
      </c>
      <c r="M280" s="144">
        <f t="shared" si="28"/>
        <v>1</v>
      </c>
      <c r="N280" s="150">
        <f t="shared" si="29"/>
        <v>1</v>
      </c>
      <c r="O280" s="201" t="str">
        <f t="shared" si="31"/>
        <v>-</v>
      </c>
      <c r="P280" s="202">
        <v>1</v>
      </c>
      <c r="Q280" s="201">
        <v>0</v>
      </c>
      <c r="R280" s="203">
        <f t="shared" si="30"/>
        <v>1</v>
      </c>
      <c r="S280" s="144" t="s">
        <v>163</v>
      </c>
      <c r="T280" s="144" t="s">
        <v>190</v>
      </c>
      <c r="U280" s="144"/>
      <c r="V280" s="144"/>
      <c r="W280" s="94" t="b">
        <f t="shared" si="32"/>
        <v>1</v>
      </c>
    </row>
    <row r="281" spans="2:23" ht="12.9" customHeight="1">
      <c r="B281" s="8">
        <f>SUBTOTAL(3,C$4:$C281)</f>
        <v>278</v>
      </c>
      <c r="C281" s="197" t="s">
        <v>195</v>
      </c>
      <c r="D281" s="144"/>
      <c r="E281" s="144" t="s">
        <v>60</v>
      </c>
      <c r="F281" s="144">
        <v>1</v>
      </c>
      <c r="G281" s="144" t="s">
        <v>56</v>
      </c>
      <c r="H281" s="144" t="s">
        <v>56</v>
      </c>
      <c r="I281" s="199">
        <f t="shared" si="33"/>
        <v>1</v>
      </c>
      <c r="J281" s="144">
        <v>0</v>
      </c>
      <c r="K281" s="144" t="s">
        <v>56</v>
      </c>
      <c r="L281" s="144" t="s">
        <v>56</v>
      </c>
      <c r="M281" s="144">
        <f t="shared" si="28"/>
        <v>0</v>
      </c>
      <c r="N281" s="150">
        <f t="shared" si="29"/>
        <v>0</v>
      </c>
      <c r="O281" s="201" t="str">
        <f t="shared" si="31"/>
        <v>-</v>
      </c>
      <c r="P281" s="202">
        <v>0</v>
      </c>
      <c r="Q281" s="201">
        <v>0</v>
      </c>
      <c r="R281" s="203">
        <f t="shared" si="30"/>
        <v>0</v>
      </c>
      <c r="S281" s="144" t="s">
        <v>163</v>
      </c>
      <c r="T281" s="144" t="s">
        <v>190</v>
      </c>
      <c r="U281" s="144"/>
      <c r="V281" s="144"/>
      <c r="W281" s="94" t="b">
        <f t="shared" si="32"/>
        <v>1</v>
      </c>
    </row>
    <row r="282" spans="2:23" ht="12.9" customHeight="1">
      <c r="B282" s="8">
        <f>SUBTOTAL(3,C$4:$C282)</f>
        <v>279</v>
      </c>
      <c r="C282" s="197" t="s">
        <v>196</v>
      </c>
      <c r="D282" s="144"/>
      <c r="E282" s="144" t="s">
        <v>55</v>
      </c>
      <c r="F282" s="144">
        <v>6</v>
      </c>
      <c r="G282" s="144" t="s">
        <v>56</v>
      </c>
      <c r="H282" s="144" t="s">
        <v>56</v>
      </c>
      <c r="I282" s="199">
        <f t="shared" si="33"/>
        <v>6</v>
      </c>
      <c r="J282" s="144">
        <v>6</v>
      </c>
      <c r="K282" s="144" t="s">
        <v>56</v>
      </c>
      <c r="L282" s="144" t="s">
        <v>56</v>
      </c>
      <c r="M282" s="144">
        <f t="shared" si="28"/>
        <v>6</v>
      </c>
      <c r="N282" s="203">
        <f t="shared" si="29"/>
        <v>6</v>
      </c>
      <c r="O282" s="201" t="str">
        <f t="shared" si="31"/>
        <v>-</v>
      </c>
      <c r="P282" s="202">
        <v>5</v>
      </c>
      <c r="Q282" s="202">
        <v>1</v>
      </c>
      <c r="R282" s="203">
        <f t="shared" si="30"/>
        <v>6</v>
      </c>
      <c r="S282" s="144" t="s">
        <v>197</v>
      </c>
      <c r="T282" s="144" t="s">
        <v>197</v>
      </c>
      <c r="U282" s="144" t="s">
        <v>116</v>
      </c>
      <c r="V282" s="144"/>
      <c r="W282" s="205" t="b">
        <f t="shared" si="32"/>
        <v>0</v>
      </c>
    </row>
    <row r="283" spans="2:23" ht="12.9" customHeight="1">
      <c r="B283" s="8">
        <f>SUBTOTAL(3,C$4:$C283)</f>
        <v>280</v>
      </c>
      <c r="C283" s="197" t="s">
        <v>198</v>
      </c>
      <c r="D283" s="144"/>
      <c r="E283" s="144" t="s">
        <v>60</v>
      </c>
      <c r="F283" s="144">
        <v>10</v>
      </c>
      <c r="G283" s="144" t="s">
        <v>56</v>
      </c>
      <c r="H283" s="144" t="s">
        <v>56</v>
      </c>
      <c r="I283" s="199">
        <f t="shared" si="33"/>
        <v>10</v>
      </c>
      <c r="J283" s="144">
        <v>9</v>
      </c>
      <c r="K283" s="144" t="s">
        <v>56</v>
      </c>
      <c r="L283" s="144">
        <v>1</v>
      </c>
      <c r="M283" s="144">
        <f t="shared" si="28"/>
        <v>10</v>
      </c>
      <c r="N283" s="203">
        <f t="shared" si="29"/>
        <v>9</v>
      </c>
      <c r="O283" s="201">
        <f t="shared" si="31"/>
        <v>1</v>
      </c>
      <c r="P283" s="202">
        <v>9</v>
      </c>
      <c r="Q283" s="201">
        <v>0</v>
      </c>
      <c r="R283" s="203">
        <f t="shared" si="30"/>
        <v>9</v>
      </c>
      <c r="S283" s="144" t="s">
        <v>197</v>
      </c>
      <c r="T283" s="144" t="s">
        <v>197</v>
      </c>
      <c r="U283" s="144" t="s">
        <v>116</v>
      </c>
      <c r="V283" s="144"/>
      <c r="W283" s="94" t="b">
        <f t="shared" si="32"/>
        <v>1</v>
      </c>
    </row>
    <row r="284" spans="2:23" ht="12.9" customHeight="1">
      <c r="B284" s="8">
        <f>SUBTOTAL(3,C$4:$C284)</f>
        <v>281</v>
      </c>
      <c r="C284" s="197" t="s">
        <v>199</v>
      </c>
      <c r="D284" s="144">
        <v>2025</v>
      </c>
      <c r="E284" s="144" t="s">
        <v>60</v>
      </c>
      <c r="F284" s="144" t="s">
        <v>56</v>
      </c>
      <c r="G284" s="144" t="s">
        <v>56</v>
      </c>
      <c r="H284" s="144" t="s">
        <v>56</v>
      </c>
      <c r="I284" s="199">
        <f t="shared" si="33"/>
        <v>0</v>
      </c>
      <c r="J284" s="144">
        <v>30</v>
      </c>
      <c r="K284" s="144" t="s">
        <v>56</v>
      </c>
      <c r="L284" s="144" t="s">
        <v>56</v>
      </c>
      <c r="M284" s="144">
        <f t="shared" si="28"/>
        <v>30</v>
      </c>
      <c r="N284" s="203">
        <f t="shared" si="29"/>
        <v>30</v>
      </c>
      <c r="O284" s="201" t="str">
        <f t="shared" si="31"/>
        <v>-</v>
      </c>
      <c r="P284" s="202">
        <v>30</v>
      </c>
      <c r="Q284" s="201">
        <v>0</v>
      </c>
      <c r="R284" s="203">
        <f t="shared" si="30"/>
        <v>30</v>
      </c>
      <c r="S284" s="144" t="s">
        <v>197</v>
      </c>
      <c r="T284" s="144" t="s">
        <v>197</v>
      </c>
      <c r="U284" s="144"/>
      <c r="V284" s="204">
        <v>45786</v>
      </c>
      <c r="W284" s="94" t="b">
        <f t="shared" si="32"/>
        <v>1</v>
      </c>
    </row>
    <row r="285" spans="2:23" ht="12.9" customHeight="1">
      <c r="B285" s="8">
        <f>SUBTOTAL(3,C$4:$C285)</f>
        <v>282</v>
      </c>
      <c r="C285" s="197" t="s">
        <v>200</v>
      </c>
      <c r="D285" s="144"/>
      <c r="E285" s="144" t="s">
        <v>60</v>
      </c>
      <c r="F285" s="144">
        <v>2</v>
      </c>
      <c r="G285" s="144" t="s">
        <v>56</v>
      </c>
      <c r="H285" s="144" t="s">
        <v>56</v>
      </c>
      <c r="I285" s="199">
        <f t="shared" si="33"/>
        <v>2</v>
      </c>
      <c r="J285" s="144">
        <v>1</v>
      </c>
      <c r="K285" s="144">
        <v>1</v>
      </c>
      <c r="L285" s="144" t="s">
        <v>56</v>
      </c>
      <c r="M285" s="144">
        <f t="shared" si="28"/>
        <v>2</v>
      </c>
      <c r="N285" s="203">
        <f t="shared" si="29"/>
        <v>1</v>
      </c>
      <c r="O285" s="201" t="str">
        <f t="shared" si="31"/>
        <v>-</v>
      </c>
      <c r="P285" s="202">
        <v>0</v>
      </c>
      <c r="Q285" s="202">
        <v>2</v>
      </c>
      <c r="R285" s="203">
        <f t="shared" si="30"/>
        <v>2</v>
      </c>
      <c r="S285" s="144" t="s">
        <v>197</v>
      </c>
      <c r="T285" s="144" t="s">
        <v>197</v>
      </c>
      <c r="U285" s="144" t="s">
        <v>201</v>
      </c>
      <c r="V285" s="144"/>
      <c r="W285" s="205" t="b">
        <f t="shared" si="32"/>
        <v>0</v>
      </c>
    </row>
    <row r="286" spans="2:23" ht="12.9" customHeight="1">
      <c r="B286" s="8">
        <f>SUBTOTAL(3,C$4:$C286)</f>
        <v>283</v>
      </c>
      <c r="C286" s="197" t="s">
        <v>202</v>
      </c>
      <c r="D286" s="144"/>
      <c r="E286" s="144" t="s">
        <v>71</v>
      </c>
      <c r="F286" s="144">
        <v>2</v>
      </c>
      <c r="G286" s="144" t="s">
        <v>56</v>
      </c>
      <c r="H286" s="144" t="s">
        <v>56</v>
      </c>
      <c r="I286" s="199">
        <f t="shared" si="33"/>
        <v>2</v>
      </c>
      <c r="J286" s="208">
        <v>2</v>
      </c>
      <c r="K286" s="144" t="s">
        <v>56</v>
      </c>
      <c r="L286" s="144" t="s">
        <v>56</v>
      </c>
      <c r="M286" s="208">
        <f t="shared" si="28"/>
        <v>2</v>
      </c>
      <c r="N286" s="203">
        <f t="shared" si="29"/>
        <v>2</v>
      </c>
      <c r="O286" s="201" t="str">
        <f t="shared" si="31"/>
        <v>-</v>
      </c>
      <c r="P286" s="202">
        <v>2</v>
      </c>
      <c r="Q286" s="201">
        <v>0</v>
      </c>
      <c r="R286" s="203">
        <f t="shared" si="30"/>
        <v>2</v>
      </c>
      <c r="S286" s="144" t="s">
        <v>197</v>
      </c>
      <c r="T286" s="144" t="s">
        <v>197</v>
      </c>
      <c r="U286" s="144"/>
      <c r="V286" s="144"/>
      <c r="W286" s="94" t="b">
        <f t="shared" si="32"/>
        <v>1</v>
      </c>
    </row>
    <row r="287" spans="2:23" ht="12.9" customHeight="1">
      <c r="B287" s="8">
        <f>SUBTOTAL(3,C$4:$C287)</f>
        <v>284</v>
      </c>
      <c r="C287" s="197" t="s">
        <v>110</v>
      </c>
      <c r="D287" s="144">
        <v>2016</v>
      </c>
      <c r="E287" s="144" t="s">
        <v>60</v>
      </c>
      <c r="F287" s="144">
        <v>20</v>
      </c>
      <c r="G287" s="144" t="s">
        <v>56</v>
      </c>
      <c r="H287" s="144" t="s">
        <v>56</v>
      </c>
      <c r="I287" s="199">
        <f t="shared" si="33"/>
        <v>20</v>
      </c>
      <c r="J287" s="208">
        <v>20</v>
      </c>
      <c r="K287" s="144" t="s">
        <v>56</v>
      </c>
      <c r="L287" s="144" t="s">
        <v>56</v>
      </c>
      <c r="M287" s="208">
        <f t="shared" si="28"/>
        <v>20</v>
      </c>
      <c r="N287" s="203">
        <f t="shared" si="29"/>
        <v>20</v>
      </c>
      <c r="O287" s="201" t="str">
        <f t="shared" si="31"/>
        <v>-</v>
      </c>
      <c r="P287" s="202">
        <v>20</v>
      </c>
      <c r="Q287" s="201">
        <v>0</v>
      </c>
      <c r="R287" s="203">
        <f t="shared" si="30"/>
        <v>20</v>
      </c>
      <c r="S287" s="144" t="s">
        <v>197</v>
      </c>
      <c r="T287" s="144" t="s">
        <v>197</v>
      </c>
      <c r="U287" s="144"/>
      <c r="V287" s="144"/>
      <c r="W287" s="94" t="b">
        <f t="shared" si="32"/>
        <v>1</v>
      </c>
    </row>
    <row r="288" spans="2:23" ht="12.9" customHeight="1">
      <c r="B288" s="8">
        <f>SUBTOTAL(3,C$4:$C288)</f>
        <v>285</v>
      </c>
      <c r="C288" s="197" t="s">
        <v>203</v>
      </c>
      <c r="D288" s="144">
        <v>2018</v>
      </c>
      <c r="E288" s="144" t="s">
        <v>60</v>
      </c>
      <c r="F288" s="144">
        <v>23</v>
      </c>
      <c r="G288" s="144" t="s">
        <v>56</v>
      </c>
      <c r="H288" s="144" t="s">
        <v>56</v>
      </c>
      <c r="I288" s="199">
        <f t="shared" si="33"/>
        <v>23</v>
      </c>
      <c r="J288" s="144">
        <v>23</v>
      </c>
      <c r="K288" s="144" t="s">
        <v>56</v>
      </c>
      <c r="L288" s="144" t="s">
        <v>56</v>
      </c>
      <c r="M288" s="144">
        <f t="shared" si="28"/>
        <v>23</v>
      </c>
      <c r="N288" s="203">
        <f t="shared" si="29"/>
        <v>23</v>
      </c>
      <c r="O288" s="201" t="str">
        <f t="shared" si="31"/>
        <v>-</v>
      </c>
      <c r="P288" s="202">
        <v>23</v>
      </c>
      <c r="Q288" s="201">
        <v>0</v>
      </c>
      <c r="R288" s="203">
        <f t="shared" si="30"/>
        <v>23</v>
      </c>
      <c r="S288" s="144" t="s">
        <v>197</v>
      </c>
      <c r="T288" s="144" t="s">
        <v>197</v>
      </c>
      <c r="U288" s="144"/>
      <c r="V288" s="144"/>
      <c r="W288" s="94" t="b">
        <f t="shared" si="32"/>
        <v>1</v>
      </c>
    </row>
    <row r="289" spans="2:23" ht="12.9" customHeight="1">
      <c r="B289" s="8">
        <f>SUBTOTAL(3,C$4:$C289)</f>
        <v>286</v>
      </c>
      <c r="C289" s="197" t="s">
        <v>204</v>
      </c>
      <c r="D289" s="144">
        <v>2010</v>
      </c>
      <c r="E289" s="144" t="s">
        <v>60</v>
      </c>
      <c r="F289" s="144">
        <v>12</v>
      </c>
      <c r="G289" s="144" t="s">
        <v>56</v>
      </c>
      <c r="H289" s="144" t="s">
        <v>56</v>
      </c>
      <c r="I289" s="199">
        <f t="shared" si="33"/>
        <v>12</v>
      </c>
      <c r="J289" s="208">
        <v>12</v>
      </c>
      <c r="K289" s="144" t="s">
        <v>56</v>
      </c>
      <c r="L289" s="144" t="s">
        <v>56</v>
      </c>
      <c r="M289" s="208">
        <f t="shared" si="28"/>
        <v>12</v>
      </c>
      <c r="N289" s="203">
        <f t="shared" si="29"/>
        <v>12</v>
      </c>
      <c r="O289" s="201" t="str">
        <f t="shared" si="31"/>
        <v>-</v>
      </c>
      <c r="P289" s="202">
        <v>4</v>
      </c>
      <c r="Q289" s="202">
        <v>8</v>
      </c>
      <c r="R289" s="203">
        <f t="shared" si="30"/>
        <v>12</v>
      </c>
      <c r="S289" s="144" t="s">
        <v>197</v>
      </c>
      <c r="T289" s="144" t="s">
        <v>197</v>
      </c>
      <c r="U289" s="144" t="s">
        <v>116</v>
      </c>
      <c r="V289" s="144"/>
      <c r="W289" s="205" t="b">
        <f t="shared" si="32"/>
        <v>0</v>
      </c>
    </row>
    <row r="290" spans="2:23" ht="12.9" customHeight="1">
      <c r="B290" s="8">
        <f>SUBTOTAL(3,C$4:$C290)</f>
        <v>287</v>
      </c>
      <c r="C290" s="197" t="s">
        <v>205</v>
      </c>
      <c r="D290" s="144"/>
      <c r="E290" s="144" t="s">
        <v>55</v>
      </c>
      <c r="F290" s="144">
        <v>1</v>
      </c>
      <c r="G290" s="144" t="s">
        <v>56</v>
      </c>
      <c r="H290" s="144" t="s">
        <v>56</v>
      </c>
      <c r="I290" s="199">
        <f t="shared" si="33"/>
        <v>1</v>
      </c>
      <c r="J290" s="208">
        <v>1</v>
      </c>
      <c r="K290" s="144" t="s">
        <v>56</v>
      </c>
      <c r="L290" s="144" t="s">
        <v>56</v>
      </c>
      <c r="M290" s="208">
        <f t="shared" si="28"/>
        <v>1</v>
      </c>
      <c r="N290" s="203">
        <f t="shared" si="29"/>
        <v>1</v>
      </c>
      <c r="O290" s="201" t="str">
        <f t="shared" si="31"/>
        <v>-</v>
      </c>
      <c r="P290" s="202">
        <v>1</v>
      </c>
      <c r="Q290" s="201">
        <v>0</v>
      </c>
      <c r="R290" s="203">
        <f t="shared" si="30"/>
        <v>1</v>
      </c>
      <c r="S290" s="144" t="s">
        <v>197</v>
      </c>
      <c r="T290" s="144" t="s">
        <v>197</v>
      </c>
      <c r="U290" s="144"/>
      <c r="V290" s="144"/>
      <c r="W290" s="94" t="b">
        <f t="shared" si="32"/>
        <v>1</v>
      </c>
    </row>
    <row r="291" spans="2:23" ht="12.9" customHeight="1">
      <c r="B291" s="8">
        <f>SUBTOTAL(3,C$4:$C291)</f>
        <v>288</v>
      </c>
      <c r="C291" s="197" t="s">
        <v>206</v>
      </c>
      <c r="D291" s="144">
        <v>2024</v>
      </c>
      <c r="E291" s="144" t="s">
        <v>55</v>
      </c>
      <c r="F291" s="144">
        <v>1</v>
      </c>
      <c r="G291" s="144" t="s">
        <v>56</v>
      </c>
      <c r="H291" s="144" t="s">
        <v>56</v>
      </c>
      <c r="I291" s="199">
        <f t="shared" si="33"/>
        <v>1</v>
      </c>
      <c r="J291" s="208">
        <v>1</v>
      </c>
      <c r="K291" s="144" t="s">
        <v>56</v>
      </c>
      <c r="L291" s="144" t="s">
        <v>56</v>
      </c>
      <c r="M291" s="208">
        <f t="shared" si="28"/>
        <v>1</v>
      </c>
      <c r="N291" s="203">
        <f t="shared" si="29"/>
        <v>1</v>
      </c>
      <c r="O291" s="201" t="str">
        <f t="shared" si="31"/>
        <v>-</v>
      </c>
      <c r="P291" s="202">
        <v>1</v>
      </c>
      <c r="Q291" s="201">
        <v>0</v>
      </c>
      <c r="R291" s="203">
        <f t="shared" si="30"/>
        <v>1</v>
      </c>
      <c r="S291" s="144" t="s">
        <v>197</v>
      </c>
      <c r="T291" s="144" t="s">
        <v>197</v>
      </c>
      <c r="U291" s="144"/>
      <c r="V291" s="144"/>
      <c r="W291" s="94" t="b">
        <f t="shared" si="32"/>
        <v>1</v>
      </c>
    </row>
    <row r="292" spans="2:23" ht="12.9" customHeight="1">
      <c r="B292" s="8">
        <f>SUBTOTAL(3,C$4:$C292)</f>
        <v>289</v>
      </c>
      <c r="C292" s="197" t="s">
        <v>207</v>
      </c>
      <c r="D292" s="144">
        <v>2018</v>
      </c>
      <c r="E292" s="144" t="s">
        <v>60</v>
      </c>
      <c r="F292" s="144">
        <v>12</v>
      </c>
      <c r="G292" s="144" t="s">
        <v>56</v>
      </c>
      <c r="H292" s="144">
        <v>1</v>
      </c>
      <c r="I292" s="199">
        <f t="shared" si="33"/>
        <v>13</v>
      </c>
      <c r="J292" s="208">
        <v>9</v>
      </c>
      <c r="K292" s="144" t="s">
        <v>56</v>
      </c>
      <c r="L292" s="144" t="s">
        <v>56</v>
      </c>
      <c r="M292" s="208">
        <f t="shared" si="28"/>
        <v>9</v>
      </c>
      <c r="N292" s="203">
        <f t="shared" si="29"/>
        <v>9</v>
      </c>
      <c r="O292" s="201" t="str">
        <f t="shared" si="31"/>
        <v>-</v>
      </c>
      <c r="P292" s="202">
        <v>9</v>
      </c>
      <c r="Q292" s="201">
        <v>0</v>
      </c>
      <c r="R292" s="203">
        <f t="shared" si="30"/>
        <v>9</v>
      </c>
      <c r="S292" s="144" t="s">
        <v>197</v>
      </c>
      <c r="T292" s="144" t="s">
        <v>197</v>
      </c>
      <c r="U292" s="144"/>
      <c r="V292" s="144"/>
      <c r="W292" s="94" t="b">
        <f t="shared" si="32"/>
        <v>1</v>
      </c>
    </row>
    <row r="293" spans="2:23" ht="12.9" customHeight="1">
      <c r="B293" s="8">
        <f>SUBTOTAL(3,C$4:$C293)</f>
        <v>290</v>
      </c>
      <c r="C293" s="197" t="s">
        <v>208</v>
      </c>
      <c r="D293" s="144"/>
      <c r="E293" s="144" t="s">
        <v>60</v>
      </c>
      <c r="F293" s="144" t="s">
        <v>56</v>
      </c>
      <c r="G293" s="144" t="s">
        <v>56</v>
      </c>
      <c r="H293" s="144" t="s">
        <v>56</v>
      </c>
      <c r="I293" s="199">
        <f t="shared" si="33"/>
        <v>0</v>
      </c>
      <c r="J293" s="208">
        <v>36</v>
      </c>
      <c r="K293" s="144" t="s">
        <v>56</v>
      </c>
      <c r="L293" s="144" t="s">
        <v>56</v>
      </c>
      <c r="M293" s="208">
        <f t="shared" si="28"/>
        <v>36</v>
      </c>
      <c r="N293" s="203">
        <f t="shared" si="29"/>
        <v>36</v>
      </c>
      <c r="O293" s="201" t="str">
        <f t="shared" si="31"/>
        <v>-</v>
      </c>
      <c r="P293" s="202">
        <v>36</v>
      </c>
      <c r="Q293" s="201">
        <v>0</v>
      </c>
      <c r="R293" s="203">
        <f t="shared" si="30"/>
        <v>36</v>
      </c>
      <c r="S293" s="144" t="s">
        <v>197</v>
      </c>
      <c r="T293" s="144" t="s">
        <v>197</v>
      </c>
      <c r="U293" s="144"/>
      <c r="V293" s="144"/>
      <c r="W293" s="94" t="b">
        <f t="shared" si="32"/>
        <v>1</v>
      </c>
    </row>
    <row r="294" spans="2:23" ht="12.9" customHeight="1">
      <c r="B294" s="8">
        <f>SUBTOTAL(3,C$4:$C294)</f>
        <v>291</v>
      </c>
      <c r="C294" s="197" t="s">
        <v>209</v>
      </c>
      <c r="D294" s="144">
        <v>2024</v>
      </c>
      <c r="E294" s="144" t="s">
        <v>60</v>
      </c>
      <c r="F294" s="144" t="s">
        <v>56</v>
      </c>
      <c r="G294" s="144" t="s">
        <v>56</v>
      </c>
      <c r="H294" s="144" t="s">
        <v>56</v>
      </c>
      <c r="I294" s="199">
        <f t="shared" si="33"/>
        <v>0</v>
      </c>
      <c r="J294" s="208">
        <v>49</v>
      </c>
      <c r="K294" s="144" t="s">
        <v>56</v>
      </c>
      <c r="L294" s="144" t="s">
        <v>56</v>
      </c>
      <c r="M294" s="208">
        <f t="shared" si="28"/>
        <v>49</v>
      </c>
      <c r="N294" s="203">
        <f t="shared" si="29"/>
        <v>49</v>
      </c>
      <c r="O294" s="201" t="str">
        <f t="shared" si="31"/>
        <v>-</v>
      </c>
      <c r="P294" s="202">
        <v>49</v>
      </c>
      <c r="Q294" s="201">
        <v>0</v>
      </c>
      <c r="R294" s="203">
        <f t="shared" si="30"/>
        <v>49</v>
      </c>
      <c r="S294" s="144" t="s">
        <v>197</v>
      </c>
      <c r="T294" s="144" t="s">
        <v>197</v>
      </c>
      <c r="U294" s="144"/>
      <c r="V294" s="144"/>
      <c r="W294" s="94" t="b">
        <f t="shared" si="32"/>
        <v>1</v>
      </c>
    </row>
    <row r="295" spans="2:23" ht="12.9" customHeight="1">
      <c r="B295" s="8">
        <f>SUBTOTAL(3,C$4:$C295)</f>
        <v>292</v>
      </c>
      <c r="C295" s="197" t="s">
        <v>210</v>
      </c>
      <c r="D295" s="144">
        <v>2017</v>
      </c>
      <c r="E295" s="144" t="s">
        <v>60</v>
      </c>
      <c r="F295" s="144">
        <v>11</v>
      </c>
      <c r="G295" s="144" t="s">
        <v>56</v>
      </c>
      <c r="H295" s="144" t="s">
        <v>56</v>
      </c>
      <c r="I295" s="199">
        <f t="shared" si="33"/>
        <v>11</v>
      </c>
      <c r="J295" s="208">
        <v>11</v>
      </c>
      <c r="K295" s="144" t="s">
        <v>56</v>
      </c>
      <c r="L295" s="144" t="s">
        <v>56</v>
      </c>
      <c r="M295" s="208">
        <f t="shared" si="28"/>
        <v>11</v>
      </c>
      <c r="N295" s="203">
        <f t="shared" si="29"/>
        <v>11</v>
      </c>
      <c r="O295" s="201" t="str">
        <f t="shared" si="31"/>
        <v>-</v>
      </c>
      <c r="P295" s="202">
        <v>11</v>
      </c>
      <c r="Q295" s="201">
        <v>0</v>
      </c>
      <c r="R295" s="203">
        <f t="shared" si="30"/>
        <v>11</v>
      </c>
      <c r="S295" s="144" t="s">
        <v>197</v>
      </c>
      <c r="T295" s="144" t="s">
        <v>197</v>
      </c>
      <c r="U295" s="144"/>
      <c r="V295" s="144"/>
      <c r="W295" s="94" t="b">
        <f t="shared" si="32"/>
        <v>1</v>
      </c>
    </row>
    <row r="296" spans="2:23" ht="12.9" customHeight="1">
      <c r="B296" s="8">
        <f>SUBTOTAL(3,C$4:$C296)</f>
        <v>293</v>
      </c>
      <c r="C296" s="197" t="s">
        <v>107</v>
      </c>
      <c r="D296" s="144">
        <v>2023</v>
      </c>
      <c r="E296" s="144" t="s">
        <v>55</v>
      </c>
      <c r="F296" s="144">
        <v>20</v>
      </c>
      <c r="G296" s="144" t="s">
        <v>56</v>
      </c>
      <c r="H296" s="144" t="s">
        <v>56</v>
      </c>
      <c r="I296" s="199">
        <f t="shared" si="33"/>
        <v>20</v>
      </c>
      <c r="J296" s="208">
        <v>33</v>
      </c>
      <c r="K296" s="144" t="s">
        <v>56</v>
      </c>
      <c r="L296" s="144" t="s">
        <v>56</v>
      </c>
      <c r="M296" s="208">
        <f t="shared" si="28"/>
        <v>33</v>
      </c>
      <c r="N296" s="203">
        <f t="shared" si="29"/>
        <v>33</v>
      </c>
      <c r="O296" s="201" t="str">
        <f t="shared" si="31"/>
        <v>-</v>
      </c>
      <c r="P296" s="202">
        <v>33</v>
      </c>
      <c r="Q296" s="201">
        <v>0</v>
      </c>
      <c r="R296" s="203">
        <f t="shared" si="30"/>
        <v>33</v>
      </c>
      <c r="S296" s="144" t="s">
        <v>197</v>
      </c>
      <c r="T296" s="144" t="s">
        <v>197</v>
      </c>
      <c r="U296" s="144"/>
      <c r="V296" s="144"/>
      <c r="W296" s="94" t="b">
        <f t="shared" si="32"/>
        <v>1</v>
      </c>
    </row>
    <row r="297" spans="2:23" ht="12.9" customHeight="1">
      <c r="B297" s="8">
        <f>SUBTOTAL(3,C$4:$C297)</f>
        <v>294</v>
      </c>
      <c r="C297" s="197" t="s">
        <v>211</v>
      </c>
      <c r="D297" s="144">
        <v>2010</v>
      </c>
      <c r="E297" s="144" t="s">
        <v>60</v>
      </c>
      <c r="F297" s="144">
        <v>20</v>
      </c>
      <c r="G297" s="144" t="s">
        <v>56</v>
      </c>
      <c r="H297" s="144" t="s">
        <v>56</v>
      </c>
      <c r="I297" s="199">
        <f t="shared" si="33"/>
        <v>20</v>
      </c>
      <c r="J297" s="208">
        <v>20</v>
      </c>
      <c r="K297" s="144" t="s">
        <v>56</v>
      </c>
      <c r="L297" s="144" t="s">
        <v>56</v>
      </c>
      <c r="M297" s="208">
        <f t="shared" si="28"/>
        <v>20</v>
      </c>
      <c r="N297" s="203">
        <f t="shared" si="29"/>
        <v>20</v>
      </c>
      <c r="O297" s="201" t="str">
        <f t="shared" si="31"/>
        <v>-</v>
      </c>
      <c r="P297" s="202">
        <v>14</v>
      </c>
      <c r="Q297" s="202">
        <v>6</v>
      </c>
      <c r="R297" s="203">
        <f t="shared" si="30"/>
        <v>20</v>
      </c>
      <c r="S297" s="144" t="s">
        <v>197</v>
      </c>
      <c r="T297" s="144" t="s">
        <v>197</v>
      </c>
      <c r="U297" s="144" t="s">
        <v>114</v>
      </c>
      <c r="V297" s="144"/>
      <c r="W297" s="205" t="b">
        <f t="shared" si="32"/>
        <v>0</v>
      </c>
    </row>
    <row r="298" spans="2:23" ht="12.9" customHeight="1">
      <c r="B298" s="8">
        <f>SUBTOTAL(3,C$4:$C298)</f>
        <v>295</v>
      </c>
      <c r="C298" s="197" t="s">
        <v>173</v>
      </c>
      <c r="D298" s="144">
        <v>2010</v>
      </c>
      <c r="E298" s="144" t="s">
        <v>60</v>
      </c>
      <c r="F298" s="144">
        <v>1</v>
      </c>
      <c r="G298" s="144" t="s">
        <v>56</v>
      </c>
      <c r="H298" s="144" t="s">
        <v>56</v>
      </c>
      <c r="I298" s="199">
        <f t="shared" si="33"/>
        <v>1</v>
      </c>
      <c r="J298" s="208">
        <v>1</v>
      </c>
      <c r="K298" s="144" t="s">
        <v>56</v>
      </c>
      <c r="L298" s="144" t="s">
        <v>56</v>
      </c>
      <c r="M298" s="208">
        <f t="shared" si="28"/>
        <v>1</v>
      </c>
      <c r="N298" s="203">
        <f t="shared" si="29"/>
        <v>1</v>
      </c>
      <c r="O298" s="201" t="str">
        <f t="shared" si="31"/>
        <v>-</v>
      </c>
      <c r="P298" s="202">
        <v>1</v>
      </c>
      <c r="Q298" s="201">
        <v>0</v>
      </c>
      <c r="R298" s="203">
        <f t="shared" si="30"/>
        <v>1</v>
      </c>
      <c r="S298" s="144" t="s">
        <v>197</v>
      </c>
      <c r="T298" s="144" t="s">
        <v>197</v>
      </c>
      <c r="U298" s="144"/>
      <c r="V298" s="144"/>
      <c r="W298" s="94" t="b">
        <f t="shared" si="32"/>
        <v>1</v>
      </c>
    </row>
    <row r="299" spans="2:23" ht="12.9" customHeight="1">
      <c r="B299" s="8">
        <f>SUBTOTAL(3,C$4:$C299)</f>
        <v>296</v>
      </c>
      <c r="C299" s="197" t="s">
        <v>212</v>
      </c>
      <c r="D299" s="144">
        <v>2010</v>
      </c>
      <c r="E299" s="144" t="s">
        <v>60</v>
      </c>
      <c r="F299" s="144">
        <v>2</v>
      </c>
      <c r="G299" s="144" t="s">
        <v>56</v>
      </c>
      <c r="H299" s="144" t="s">
        <v>56</v>
      </c>
      <c r="I299" s="199">
        <f t="shared" si="33"/>
        <v>2</v>
      </c>
      <c r="J299" s="208">
        <v>2</v>
      </c>
      <c r="K299" s="144" t="s">
        <v>56</v>
      </c>
      <c r="L299" s="144" t="s">
        <v>56</v>
      </c>
      <c r="M299" s="208">
        <f t="shared" si="28"/>
        <v>2</v>
      </c>
      <c r="N299" s="203">
        <f t="shared" si="29"/>
        <v>2</v>
      </c>
      <c r="O299" s="201" t="str">
        <f t="shared" si="31"/>
        <v>-</v>
      </c>
      <c r="P299" s="202">
        <v>2</v>
      </c>
      <c r="Q299" s="201">
        <v>0</v>
      </c>
      <c r="R299" s="203">
        <f t="shared" si="30"/>
        <v>2</v>
      </c>
      <c r="S299" s="144" t="s">
        <v>197</v>
      </c>
      <c r="T299" s="144" t="s">
        <v>197</v>
      </c>
      <c r="U299" s="144"/>
      <c r="V299" s="144"/>
      <c r="W299" s="94" t="b">
        <f t="shared" si="32"/>
        <v>1</v>
      </c>
    </row>
    <row r="300" spans="2:23" ht="12.9" customHeight="1">
      <c r="B300" s="8">
        <f>SUBTOTAL(3,C$4:$C300)</f>
        <v>297</v>
      </c>
      <c r="C300" s="197" t="s">
        <v>213</v>
      </c>
      <c r="D300" s="144"/>
      <c r="E300" s="144" t="s">
        <v>60</v>
      </c>
      <c r="F300" s="144">
        <v>1</v>
      </c>
      <c r="G300" s="144" t="s">
        <v>56</v>
      </c>
      <c r="H300" s="144" t="s">
        <v>56</v>
      </c>
      <c r="I300" s="199">
        <f t="shared" si="33"/>
        <v>1</v>
      </c>
      <c r="J300" s="208">
        <v>1</v>
      </c>
      <c r="K300" s="144" t="s">
        <v>56</v>
      </c>
      <c r="L300" s="144" t="s">
        <v>56</v>
      </c>
      <c r="M300" s="208">
        <f t="shared" si="28"/>
        <v>1</v>
      </c>
      <c r="N300" s="203">
        <f t="shared" si="29"/>
        <v>1</v>
      </c>
      <c r="O300" s="201" t="str">
        <f t="shared" si="31"/>
        <v>-</v>
      </c>
      <c r="P300" s="202">
        <v>1</v>
      </c>
      <c r="Q300" s="201">
        <v>0</v>
      </c>
      <c r="R300" s="203">
        <f t="shared" si="30"/>
        <v>1</v>
      </c>
      <c r="S300" s="144" t="s">
        <v>197</v>
      </c>
      <c r="T300" s="144" t="s">
        <v>197</v>
      </c>
      <c r="U300" s="144"/>
      <c r="V300" s="144"/>
      <c r="W300" s="94" t="b">
        <f t="shared" si="32"/>
        <v>1</v>
      </c>
    </row>
    <row r="301" spans="2:23" s="147" customFormat="1" ht="12.9" customHeight="1">
      <c r="B301" s="8">
        <f>SUBTOTAL(3,C$4:$C301)</f>
        <v>298</v>
      </c>
      <c r="C301" s="197" t="s">
        <v>214</v>
      </c>
      <c r="D301" s="144">
        <v>2025</v>
      </c>
      <c r="E301" s="144" t="s">
        <v>60</v>
      </c>
      <c r="F301" s="144" t="s">
        <v>56</v>
      </c>
      <c r="G301" s="144" t="s">
        <v>56</v>
      </c>
      <c r="H301" s="144" t="s">
        <v>56</v>
      </c>
      <c r="I301" s="199">
        <f t="shared" si="33"/>
        <v>0</v>
      </c>
      <c r="J301" s="144">
        <v>3</v>
      </c>
      <c r="K301" s="144" t="s">
        <v>56</v>
      </c>
      <c r="L301" s="144" t="s">
        <v>56</v>
      </c>
      <c r="M301" s="144">
        <f t="shared" si="28"/>
        <v>3</v>
      </c>
      <c r="N301" s="203">
        <f t="shared" si="29"/>
        <v>3</v>
      </c>
      <c r="O301" s="201" t="str">
        <f t="shared" si="31"/>
        <v>-</v>
      </c>
      <c r="P301" s="202">
        <v>3</v>
      </c>
      <c r="Q301" s="201">
        <v>0</v>
      </c>
      <c r="R301" s="203">
        <f t="shared" si="30"/>
        <v>3</v>
      </c>
      <c r="S301" s="144" t="s">
        <v>197</v>
      </c>
      <c r="T301" s="144" t="s">
        <v>197</v>
      </c>
      <c r="U301" s="144"/>
      <c r="V301" s="204">
        <v>45772</v>
      </c>
      <c r="W301" s="94" t="b">
        <f t="shared" si="32"/>
        <v>1</v>
      </c>
    </row>
    <row r="302" spans="2:23" ht="12.9" customHeight="1">
      <c r="B302" s="8">
        <f>SUBTOTAL(3,C$4:$C302)</f>
        <v>299</v>
      </c>
      <c r="C302" s="197" t="s">
        <v>149</v>
      </c>
      <c r="D302" s="144">
        <v>2025</v>
      </c>
      <c r="E302" s="144" t="s">
        <v>60</v>
      </c>
      <c r="F302" s="144" t="s">
        <v>56</v>
      </c>
      <c r="G302" s="144" t="s">
        <v>56</v>
      </c>
      <c r="H302" s="144" t="s">
        <v>56</v>
      </c>
      <c r="I302" s="199">
        <f t="shared" si="33"/>
        <v>0</v>
      </c>
      <c r="J302" s="208">
        <v>2</v>
      </c>
      <c r="K302" s="144" t="s">
        <v>56</v>
      </c>
      <c r="L302" s="144" t="s">
        <v>56</v>
      </c>
      <c r="M302" s="208">
        <f t="shared" si="28"/>
        <v>2</v>
      </c>
      <c r="N302" s="203">
        <f t="shared" si="29"/>
        <v>2</v>
      </c>
      <c r="O302" s="201" t="str">
        <f t="shared" si="31"/>
        <v>-</v>
      </c>
      <c r="P302" s="202">
        <v>2</v>
      </c>
      <c r="Q302" s="201">
        <v>0</v>
      </c>
      <c r="R302" s="203">
        <f t="shared" si="30"/>
        <v>2</v>
      </c>
      <c r="S302" s="144" t="s">
        <v>197</v>
      </c>
      <c r="T302" s="144" t="s">
        <v>197</v>
      </c>
      <c r="U302" s="144"/>
      <c r="V302" s="204">
        <v>45791</v>
      </c>
      <c r="W302" s="94" t="b">
        <f t="shared" si="32"/>
        <v>1</v>
      </c>
    </row>
    <row r="303" spans="2:23" ht="12.9" customHeight="1">
      <c r="B303" s="8">
        <f>SUBTOTAL(3,C$4:$C303)</f>
        <v>300</v>
      </c>
      <c r="C303" s="197" t="s">
        <v>215</v>
      </c>
      <c r="D303" s="144">
        <v>2025</v>
      </c>
      <c r="E303" s="144" t="s">
        <v>60</v>
      </c>
      <c r="F303" s="144" t="s">
        <v>56</v>
      </c>
      <c r="G303" s="144" t="s">
        <v>56</v>
      </c>
      <c r="H303" s="144" t="s">
        <v>56</v>
      </c>
      <c r="I303" s="199">
        <v>0</v>
      </c>
      <c r="J303" s="208">
        <v>12</v>
      </c>
      <c r="K303" s="144" t="s">
        <v>56</v>
      </c>
      <c r="L303" s="144" t="s">
        <v>56</v>
      </c>
      <c r="M303" s="208">
        <f t="shared" si="28"/>
        <v>12</v>
      </c>
      <c r="N303" s="203">
        <f t="shared" si="29"/>
        <v>12</v>
      </c>
      <c r="O303" s="201" t="str">
        <f t="shared" si="31"/>
        <v>-</v>
      </c>
      <c r="P303" s="202">
        <v>12</v>
      </c>
      <c r="Q303" s="201">
        <v>0</v>
      </c>
      <c r="R303" s="203">
        <f t="shared" si="30"/>
        <v>12</v>
      </c>
      <c r="S303" s="144" t="s">
        <v>197</v>
      </c>
      <c r="T303" s="144" t="s">
        <v>197</v>
      </c>
      <c r="U303" s="144"/>
      <c r="V303" s="204">
        <v>45887</v>
      </c>
      <c r="W303" s="94" t="b">
        <f t="shared" si="32"/>
        <v>1</v>
      </c>
    </row>
    <row r="304" spans="2:23" ht="12.9" customHeight="1">
      <c r="B304" s="8">
        <f>SUBTOTAL(3,C$4:$C304)</f>
        <v>301</v>
      </c>
      <c r="C304" s="197" t="s">
        <v>216</v>
      </c>
      <c r="D304" s="144">
        <v>2025</v>
      </c>
      <c r="E304" s="144" t="s">
        <v>60</v>
      </c>
      <c r="F304" s="144" t="s">
        <v>56</v>
      </c>
      <c r="G304" s="144" t="s">
        <v>56</v>
      </c>
      <c r="H304" s="144" t="s">
        <v>56</v>
      </c>
      <c r="I304" s="199">
        <v>0</v>
      </c>
      <c r="J304" s="208">
        <v>6</v>
      </c>
      <c r="K304" s="144" t="s">
        <v>56</v>
      </c>
      <c r="L304" s="144" t="s">
        <v>56</v>
      </c>
      <c r="M304" s="208">
        <f t="shared" si="28"/>
        <v>6</v>
      </c>
      <c r="N304" s="203">
        <f t="shared" si="29"/>
        <v>6</v>
      </c>
      <c r="O304" s="201" t="str">
        <f t="shared" si="31"/>
        <v>-</v>
      </c>
      <c r="P304" s="202">
        <v>6</v>
      </c>
      <c r="Q304" s="201">
        <v>0</v>
      </c>
      <c r="R304" s="203">
        <f t="shared" si="30"/>
        <v>6</v>
      </c>
      <c r="S304" s="144" t="s">
        <v>197</v>
      </c>
      <c r="T304" s="144" t="s">
        <v>197</v>
      </c>
      <c r="U304" s="144"/>
      <c r="V304" s="204"/>
      <c r="W304" s="94" t="b">
        <f t="shared" si="32"/>
        <v>1</v>
      </c>
    </row>
    <row r="305" spans="2:23" ht="12.9" customHeight="1">
      <c r="B305" s="8">
        <f>SUBTOTAL(3,C$4:$C305)</f>
        <v>302</v>
      </c>
      <c r="C305" s="197" t="s">
        <v>217</v>
      </c>
      <c r="D305" s="144">
        <v>2025</v>
      </c>
      <c r="E305" s="144" t="s">
        <v>60</v>
      </c>
      <c r="F305" s="144" t="s">
        <v>56</v>
      </c>
      <c r="G305" s="144" t="s">
        <v>56</v>
      </c>
      <c r="H305" s="144" t="s">
        <v>56</v>
      </c>
      <c r="I305" s="199">
        <f t="shared" ref="I305:I310" si="34">SUM(F305:H305)</f>
        <v>0</v>
      </c>
      <c r="J305" s="208">
        <v>3</v>
      </c>
      <c r="K305" s="144" t="s">
        <v>56</v>
      </c>
      <c r="L305" s="144" t="s">
        <v>56</v>
      </c>
      <c r="M305" s="208">
        <f t="shared" si="28"/>
        <v>3</v>
      </c>
      <c r="N305" s="203">
        <f t="shared" si="29"/>
        <v>3</v>
      </c>
      <c r="O305" s="201" t="str">
        <f t="shared" si="31"/>
        <v>-</v>
      </c>
      <c r="P305" s="202">
        <v>3</v>
      </c>
      <c r="Q305" s="201">
        <v>0</v>
      </c>
      <c r="R305" s="203">
        <f t="shared" si="30"/>
        <v>3</v>
      </c>
      <c r="S305" s="144" t="s">
        <v>218</v>
      </c>
      <c r="T305" s="144" t="s">
        <v>219</v>
      </c>
      <c r="U305" s="144"/>
      <c r="V305" s="204">
        <v>45763</v>
      </c>
      <c r="W305" s="94" t="b">
        <f t="shared" si="32"/>
        <v>1</v>
      </c>
    </row>
    <row r="306" spans="2:23" ht="12.9" customHeight="1">
      <c r="B306" s="8">
        <f>SUBTOTAL(3,C$4:$C306)</f>
        <v>303</v>
      </c>
      <c r="C306" s="197" t="s">
        <v>220</v>
      </c>
      <c r="D306" s="144">
        <v>2025</v>
      </c>
      <c r="E306" s="144" t="s">
        <v>60</v>
      </c>
      <c r="F306" s="144" t="s">
        <v>56</v>
      </c>
      <c r="G306" s="144" t="s">
        <v>56</v>
      </c>
      <c r="H306" s="144" t="s">
        <v>56</v>
      </c>
      <c r="I306" s="199">
        <f t="shared" si="34"/>
        <v>0</v>
      </c>
      <c r="J306" s="208">
        <v>2</v>
      </c>
      <c r="K306" s="144" t="s">
        <v>56</v>
      </c>
      <c r="L306" s="144" t="s">
        <v>56</v>
      </c>
      <c r="M306" s="208">
        <f t="shared" si="28"/>
        <v>2</v>
      </c>
      <c r="N306" s="203">
        <f t="shared" si="29"/>
        <v>2</v>
      </c>
      <c r="O306" s="201" t="str">
        <f t="shared" si="31"/>
        <v>-</v>
      </c>
      <c r="P306" s="202">
        <v>2</v>
      </c>
      <c r="Q306" s="201">
        <v>0</v>
      </c>
      <c r="R306" s="203">
        <f t="shared" si="30"/>
        <v>2</v>
      </c>
      <c r="S306" s="144" t="s">
        <v>218</v>
      </c>
      <c r="T306" s="144" t="s">
        <v>219</v>
      </c>
      <c r="U306" s="144"/>
      <c r="V306" s="204">
        <v>45763</v>
      </c>
      <c r="W306" s="94" t="b">
        <f t="shared" si="32"/>
        <v>1</v>
      </c>
    </row>
    <row r="307" spans="2:23" ht="12.9" customHeight="1">
      <c r="B307" s="8">
        <f>SUBTOTAL(3,C$4:$C307)</f>
        <v>304</v>
      </c>
      <c r="C307" s="197" t="s">
        <v>221</v>
      </c>
      <c r="D307" s="144">
        <v>2025</v>
      </c>
      <c r="E307" s="144" t="s">
        <v>60</v>
      </c>
      <c r="F307" s="144" t="s">
        <v>56</v>
      </c>
      <c r="G307" s="144" t="s">
        <v>56</v>
      </c>
      <c r="H307" s="144" t="s">
        <v>56</v>
      </c>
      <c r="I307" s="199">
        <f t="shared" si="34"/>
        <v>0</v>
      </c>
      <c r="J307" s="208">
        <v>3</v>
      </c>
      <c r="K307" s="144" t="s">
        <v>56</v>
      </c>
      <c r="L307" s="144" t="s">
        <v>56</v>
      </c>
      <c r="M307" s="208">
        <f t="shared" si="28"/>
        <v>3</v>
      </c>
      <c r="N307" s="203">
        <f t="shared" si="29"/>
        <v>3</v>
      </c>
      <c r="O307" s="201" t="str">
        <f t="shared" si="31"/>
        <v>-</v>
      </c>
      <c r="P307" s="202">
        <v>3</v>
      </c>
      <c r="Q307" s="201">
        <v>0</v>
      </c>
      <c r="R307" s="203">
        <f t="shared" si="30"/>
        <v>3</v>
      </c>
      <c r="S307" s="144" t="s">
        <v>218</v>
      </c>
      <c r="T307" s="144" t="s">
        <v>219</v>
      </c>
      <c r="U307" s="144"/>
      <c r="V307" s="204">
        <v>45763</v>
      </c>
      <c r="W307" s="94" t="b">
        <f t="shared" si="32"/>
        <v>1</v>
      </c>
    </row>
    <row r="308" spans="2:23" ht="12.9" customHeight="1">
      <c r="B308" s="8">
        <f>SUBTOTAL(3,C$4:$C308)</f>
        <v>305</v>
      </c>
      <c r="C308" s="197" t="s">
        <v>222</v>
      </c>
      <c r="D308" s="144">
        <v>2025</v>
      </c>
      <c r="E308" s="144" t="s">
        <v>60</v>
      </c>
      <c r="F308" s="144" t="s">
        <v>56</v>
      </c>
      <c r="G308" s="144" t="s">
        <v>56</v>
      </c>
      <c r="H308" s="144" t="s">
        <v>56</v>
      </c>
      <c r="I308" s="199">
        <f t="shared" si="34"/>
        <v>0</v>
      </c>
      <c r="J308" s="208">
        <v>2</v>
      </c>
      <c r="K308" s="144" t="s">
        <v>56</v>
      </c>
      <c r="L308" s="144" t="s">
        <v>56</v>
      </c>
      <c r="M308" s="208">
        <f t="shared" si="28"/>
        <v>2</v>
      </c>
      <c r="N308" s="203">
        <f t="shared" si="29"/>
        <v>2</v>
      </c>
      <c r="O308" s="201" t="str">
        <f t="shared" si="31"/>
        <v>-</v>
      </c>
      <c r="P308" s="202">
        <v>1</v>
      </c>
      <c r="Q308" s="201">
        <v>0</v>
      </c>
      <c r="R308" s="203">
        <f t="shared" si="30"/>
        <v>1</v>
      </c>
      <c r="S308" s="144" t="s">
        <v>218</v>
      </c>
      <c r="T308" s="144" t="s">
        <v>219</v>
      </c>
      <c r="U308" s="144"/>
      <c r="V308" s="204">
        <v>45763</v>
      </c>
      <c r="W308" s="205" t="b">
        <f t="shared" si="32"/>
        <v>0</v>
      </c>
    </row>
    <row r="309" spans="2:23" ht="12.9" customHeight="1">
      <c r="B309" s="8">
        <f>SUBTOTAL(3,C$4:$C309)</f>
        <v>306</v>
      </c>
      <c r="C309" s="197" t="s">
        <v>223</v>
      </c>
      <c r="D309" s="144">
        <v>2025</v>
      </c>
      <c r="E309" s="144" t="s">
        <v>60</v>
      </c>
      <c r="F309" s="144" t="s">
        <v>56</v>
      </c>
      <c r="G309" s="144" t="s">
        <v>56</v>
      </c>
      <c r="H309" s="144" t="s">
        <v>56</v>
      </c>
      <c r="I309" s="199">
        <f t="shared" si="34"/>
        <v>0</v>
      </c>
      <c r="J309" s="208">
        <v>3</v>
      </c>
      <c r="K309" s="144" t="s">
        <v>56</v>
      </c>
      <c r="L309" s="144" t="s">
        <v>56</v>
      </c>
      <c r="M309" s="208">
        <f t="shared" si="28"/>
        <v>3</v>
      </c>
      <c r="N309" s="203">
        <f t="shared" si="29"/>
        <v>3</v>
      </c>
      <c r="O309" s="201" t="str">
        <f t="shared" si="31"/>
        <v>-</v>
      </c>
      <c r="P309" s="202">
        <v>2</v>
      </c>
      <c r="Q309" s="201">
        <v>0</v>
      </c>
      <c r="R309" s="203">
        <f t="shared" si="30"/>
        <v>2</v>
      </c>
      <c r="S309" s="144" t="s">
        <v>218</v>
      </c>
      <c r="T309" s="144" t="s">
        <v>219</v>
      </c>
      <c r="U309" s="144"/>
      <c r="V309" s="204">
        <v>45772</v>
      </c>
      <c r="W309" s="205" t="b">
        <f t="shared" si="32"/>
        <v>0</v>
      </c>
    </row>
    <row r="310" spans="2:23" ht="12.9" customHeight="1">
      <c r="B310" s="8">
        <f>SUBTOTAL(3,C$4:$C310)</f>
        <v>307</v>
      </c>
      <c r="C310" s="197" t="s">
        <v>224</v>
      </c>
      <c r="D310" s="144">
        <v>2025</v>
      </c>
      <c r="E310" s="144" t="s">
        <v>60</v>
      </c>
      <c r="F310" s="144" t="s">
        <v>56</v>
      </c>
      <c r="G310" s="144" t="s">
        <v>56</v>
      </c>
      <c r="H310" s="144" t="s">
        <v>56</v>
      </c>
      <c r="I310" s="203">
        <f t="shared" si="34"/>
        <v>0</v>
      </c>
      <c r="J310" s="208">
        <v>3</v>
      </c>
      <c r="K310" s="144" t="s">
        <v>56</v>
      </c>
      <c r="L310" s="144" t="s">
        <v>56</v>
      </c>
      <c r="M310" s="208">
        <f t="shared" si="28"/>
        <v>3</v>
      </c>
      <c r="N310" s="203">
        <f t="shared" si="29"/>
        <v>3</v>
      </c>
      <c r="O310" s="201" t="str">
        <f t="shared" si="31"/>
        <v>-</v>
      </c>
      <c r="P310" s="202">
        <v>3</v>
      </c>
      <c r="Q310" s="201">
        <v>0</v>
      </c>
      <c r="R310" s="203">
        <f t="shared" si="30"/>
        <v>3</v>
      </c>
      <c r="S310" s="144" t="s">
        <v>218</v>
      </c>
      <c r="T310" s="144" t="s">
        <v>219</v>
      </c>
      <c r="U310" s="144"/>
      <c r="V310" s="204">
        <v>45887</v>
      </c>
      <c r="W310" s="94" t="b">
        <f t="shared" si="32"/>
        <v>1</v>
      </c>
    </row>
  </sheetData>
  <autoFilter ref="B3:W310" xr:uid="{00000000-0009-0000-0000-000001000000}"/>
  <mergeCells count="3">
    <mergeCell ref="B1:U1"/>
    <mergeCell ref="J2:O2"/>
    <mergeCell ref="P2:R2"/>
  </mergeCells>
  <printOptions horizontalCentered="1"/>
  <pageMargins left="0" right="0" top="0.5" bottom="0.5" header="0.3" footer="0.3"/>
  <pageSetup paperSize="9" scale="54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252"/>
  <sheetViews>
    <sheetView showGridLines="0" workbookViewId="0">
      <selection activeCell="P3" sqref="P1:R1048576"/>
    </sheetView>
  </sheetViews>
  <sheetFormatPr defaultColWidth="9" defaultRowHeight="14.4"/>
  <cols>
    <col min="1" max="1" width="13.109375" customWidth="1"/>
    <col min="2" max="2" width="35.6640625" style="26" customWidth="1"/>
    <col min="3" max="3" width="19.88671875" style="26" customWidth="1"/>
    <col min="4" max="4" width="13.6640625" customWidth="1"/>
  </cols>
  <sheetData>
    <row r="3" spans="1:4" s="26" customFormat="1">
      <c r="A3" s="26" t="s">
        <v>225</v>
      </c>
      <c r="B3" s="26" t="s">
        <v>33</v>
      </c>
      <c r="C3" s="26" t="s">
        <v>226</v>
      </c>
      <c r="D3" s="26" t="s">
        <v>227</v>
      </c>
    </row>
    <row r="4" spans="1:4">
      <c r="A4" s="193" t="s">
        <v>96</v>
      </c>
      <c r="B4" s="193" t="s">
        <v>149</v>
      </c>
      <c r="C4" s="26">
        <v>2</v>
      </c>
      <c r="D4" s="26">
        <v>0</v>
      </c>
    </row>
    <row r="5" spans="1:4">
      <c r="B5" s="193" t="s">
        <v>134</v>
      </c>
      <c r="C5" s="26">
        <v>0</v>
      </c>
      <c r="D5" s="26">
        <v>10</v>
      </c>
    </row>
    <row r="6" spans="1:4">
      <c r="B6" s="193" t="s">
        <v>145</v>
      </c>
      <c r="C6" s="26">
        <v>1</v>
      </c>
      <c r="D6" s="26">
        <v>0</v>
      </c>
    </row>
    <row r="7" spans="1:4">
      <c r="B7" s="193" t="s">
        <v>150</v>
      </c>
      <c r="C7" s="26">
        <v>1</v>
      </c>
      <c r="D7" s="26">
        <v>0</v>
      </c>
    </row>
    <row r="8" spans="1:4">
      <c r="B8" s="193" t="s">
        <v>138</v>
      </c>
      <c r="C8" s="26">
        <v>1</v>
      </c>
      <c r="D8" s="26">
        <v>0</v>
      </c>
    </row>
    <row r="9" spans="1:4">
      <c r="B9" s="193" t="s">
        <v>136</v>
      </c>
      <c r="C9" s="26">
        <v>0</v>
      </c>
      <c r="D9" s="26">
        <v>2</v>
      </c>
    </row>
    <row r="10" spans="1:4">
      <c r="B10" s="193" t="s">
        <v>148</v>
      </c>
      <c r="C10" s="26">
        <v>0</v>
      </c>
      <c r="D10" s="26">
        <v>1</v>
      </c>
    </row>
    <row r="11" spans="1:4">
      <c r="B11" s="193" t="s">
        <v>140</v>
      </c>
      <c r="C11" s="26">
        <v>2</v>
      </c>
      <c r="D11" s="26">
        <v>0</v>
      </c>
    </row>
    <row r="12" spans="1:4">
      <c r="B12" s="193" t="s">
        <v>146</v>
      </c>
      <c r="C12" s="26">
        <v>1</v>
      </c>
      <c r="D12" s="26">
        <v>0</v>
      </c>
    </row>
    <row r="13" spans="1:4">
      <c r="B13" s="193" t="s">
        <v>110</v>
      </c>
      <c r="C13" s="26">
        <v>0</v>
      </c>
      <c r="D13" s="26">
        <v>0</v>
      </c>
    </row>
    <row r="14" spans="1:4">
      <c r="B14" s="193" t="s">
        <v>115</v>
      </c>
      <c r="C14" s="26">
        <v>76</v>
      </c>
      <c r="D14" s="26">
        <v>4</v>
      </c>
    </row>
    <row r="15" spans="1:4">
      <c r="B15" s="193" t="s">
        <v>112</v>
      </c>
      <c r="C15" s="26">
        <v>22</v>
      </c>
      <c r="D15" s="26">
        <v>4</v>
      </c>
    </row>
    <row r="16" spans="1:4">
      <c r="B16" s="193" t="s">
        <v>79</v>
      </c>
      <c r="C16" s="26">
        <v>2</v>
      </c>
      <c r="D16" s="26">
        <v>0</v>
      </c>
    </row>
    <row r="17" spans="2:4">
      <c r="B17" s="193" t="s">
        <v>126</v>
      </c>
      <c r="C17" s="26">
        <v>3</v>
      </c>
      <c r="D17" s="26">
        <v>0</v>
      </c>
    </row>
    <row r="18" spans="2:4">
      <c r="B18" s="193" t="s">
        <v>147</v>
      </c>
      <c r="C18" s="26">
        <v>1</v>
      </c>
      <c r="D18" s="26">
        <v>0</v>
      </c>
    </row>
    <row r="19" spans="2:4">
      <c r="B19" s="193" t="s">
        <v>122</v>
      </c>
      <c r="C19" s="26">
        <v>2</v>
      </c>
      <c r="D19" s="26">
        <v>0</v>
      </c>
    </row>
    <row r="20" spans="2:4">
      <c r="B20" s="193" t="s">
        <v>124</v>
      </c>
      <c r="C20" s="26">
        <v>0</v>
      </c>
      <c r="D20" s="26">
        <v>1</v>
      </c>
    </row>
    <row r="21" spans="2:4">
      <c r="B21" s="193" t="s">
        <v>123</v>
      </c>
      <c r="C21" s="26">
        <v>1</v>
      </c>
      <c r="D21" s="26">
        <v>0</v>
      </c>
    </row>
    <row r="22" spans="2:4">
      <c r="B22" s="193" t="s">
        <v>139</v>
      </c>
      <c r="C22" s="26">
        <v>1</v>
      </c>
      <c r="D22" s="26">
        <v>0</v>
      </c>
    </row>
    <row r="23" spans="2:4">
      <c r="B23" s="193" t="s">
        <v>99</v>
      </c>
      <c r="C23" s="26">
        <v>48</v>
      </c>
      <c r="D23" s="26">
        <v>0</v>
      </c>
    </row>
    <row r="24" spans="2:4">
      <c r="B24" s="193" t="s">
        <v>142</v>
      </c>
      <c r="C24" s="26">
        <v>62</v>
      </c>
      <c r="D24" s="26">
        <v>0</v>
      </c>
    </row>
    <row r="25" spans="2:4">
      <c r="B25" s="193" t="s">
        <v>120</v>
      </c>
      <c r="C25" s="26">
        <v>1</v>
      </c>
      <c r="D25" s="26">
        <v>0</v>
      </c>
    </row>
    <row r="26" spans="2:4">
      <c r="B26" s="193" t="s">
        <v>121</v>
      </c>
      <c r="C26" s="26">
        <v>5</v>
      </c>
      <c r="D26" s="26">
        <v>0</v>
      </c>
    </row>
    <row r="27" spans="2:4">
      <c r="B27" s="193" t="s">
        <v>98</v>
      </c>
      <c r="C27" s="26">
        <v>1</v>
      </c>
      <c r="D27" s="26">
        <v>0</v>
      </c>
    </row>
    <row r="28" spans="2:4">
      <c r="B28" s="193" t="s">
        <v>97</v>
      </c>
      <c r="C28" s="26">
        <v>8</v>
      </c>
      <c r="D28" s="26">
        <v>0</v>
      </c>
    </row>
    <row r="29" spans="2:4">
      <c r="B29" s="193" t="s">
        <v>102</v>
      </c>
      <c r="C29" s="26">
        <v>61</v>
      </c>
      <c r="D29" s="26">
        <v>0</v>
      </c>
    </row>
    <row r="30" spans="2:4">
      <c r="B30" s="193" t="s">
        <v>103</v>
      </c>
      <c r="C30" s="26">
        <v>41</v>
      </c>
      <c r="D30" s="26">
        <v>0</v>
      </c>
    </row>
    <row r="31" spans="2:4">
      <c r="B31" s="193" t="s">
        <v>104</v>
      </c>
      <c r="C31" s="26">
        <v>113</v>
      </c>
      <c r="D31" s="26">
        <v>0</v>
      </c>
    </row>
    <row r="32" spans="2:4">
      <c r="B32" s="193" t="s">
        <v>106</v>
      </c>
      <c r="C32" s="26">
        <v>3</v>
      </c>
      <c r="D32" s="26">
        <v>5</v>
      </c>
    </row>
    <row r="33" spans="1:4">
      <c r="B33" s="193" t="s">
        <v>133</v>
      </c>
      <c r="C33" s="26">
        <v>1</v>
      </c>
      <c r="D33" s="26">
        <v>0</v>
      </c>
    </row>
    <row r="34" spans="1:4">
      <c r="B34" s="193" t="s">
        <v>119</v>
      </c>
      <c r="C34" s="26">
        <v>9</v>
      </c>
      <c r="D34" s="26">
        <v>0</v>
      </c>
    </row>
    <row r="35" spans="1:4">
      <c r="B35" s="193" t="s">
        <v>141</v>
      </c>
      <c r="C35" s="26">
        <v>2</v>
      </c>
      <c r="D35" s="26">
        <v>0</v>
      </c>
    </row>
    <row r="36" spans="1:4">
      <c r="B36" s="193" t="s">
        <v>132</v>
      </c>
      <c r="C36" s="26">
        <v>1</v>
      </c>
      <c r="D36" s="26">
        <v>0</v>
      </c>
    </row>
    <row r="37" spans="1:4">
      <c r="B37" s="193" t="s">
        <v>128</v>
      </c>
      <c r="C37" s="26">
        <v>2</v>
      </c>
      <c r="D37" s="26">
        <v>0</v>
      </c>
    </row>
    <row r="38" spans="1:4">
      <c r="B38" s="193" t="s">
        <v>129</v>
      </c>
      <c r="C38" s="26">
        <v>1</v>
      </c>
      <c r="D38" s="26">
        <v>0</v>
      </c>
    </row>
    <row r="39" spans="1:4">
      <c r="B39" s="193" t="s">
        <v>107</v>
      </c>
      <c r="C39" s="26">
        <v>216</v>
      </c>
      <c r="D39" s="26">
        <v>18</v>
      </c>
    </row>
    <row r="40" spans="1:4">
      <c r="B40" s="193" t="s">
        <v>130</v>
      </c>
      <c r="C40" s="26">
        <v>5</v>
      </c>
      <c r="D40" s="26">
        <v>0</v>
      </c>
    </row>
    <row r="41" spans="1:4">
      <c r="B41" s="193" t="s">
        <v>100</v>
      </c>
      <c r="C41" s="26">
        <v>0</v>
      </c>
      <c r="D41" s="26">
        <v>0</v>
      </c>
    </row>
    <row r="42" spans="1:4">
      <c r="B42" s="193" t="s">
        <v>151</v>
      </c>
      <c r="C42" s="26">
        <v>1</v>
      </c>
      <c r="D42" s="26">
        <v>0</v>
      </c>
    </row>
    <row r="43" spans="1:4">
      <c r="B43" s="193" t="s">
        <v>117</v>
      </c>
      <c r="C43" s="26">
        <v>2</v>
      </c>
      <c r="D43" s="26">
        <v>2</v>
      </c>
    </row>
    <row r="44" spans="1:4">
      <c r="B44" s="193" t="s">
        <v>143</v>
      </c>
      <c r="C44" s="26">
        <v>1</v>
      </c>
      <c r="D44" s="26">
        <v>1</v>
      </c>
    </row>
    <row r="45" spans="1:4">
      <c r="B45" s="193" t="s">
        <v>144</v>
      </c>
      <c r="C45" s="26">
        <v>0</v>
      </c>
      <c r="D45" s="26">
        <v>1</v>
      </c>
    </row>
    <row r="46" spans="1:4">
      <c r="B46" s="193" t="s">
        <v>101</v>
      </c>
      <c r="C46" s="26">
        <v>8</v>
      </c>
      <c r="D46" s="26">
        <v>0</v>
      </c>
    </row>
    <row r="47" spans="1:4">
      <c r="A47" s="193" t="s">
        <v>163</v>
      </c>
      <c r="B47" s="193" t="s">
        <v>172</v>
      </c>
      <c r="C47" s="26">
        <v>6</v>
      </c>
      <c r="D47" s="26">
        <v>0</v>
      </c>
    </row>
    <row r="48" spans="1:4">
      <c r="B48" s="193" t="s">
        <v>65</v>
      </c>
      <c r="C48" s="26">
        <v>2</v>
      </c>
      <c r="D48" s="26">
        <v>0</v>
      </c>
    </row>
    <row r="49" spans="2:4">
      <c r="B49" s="193" t="s">
        <v>184</v>
      </c>
      <c r="C49" s="26">
        <v>6</v>
      </c>
      <c r="D49" s="26">
        <v>0</v>
      </c>
    </row>
    <row r="50" spans="2:4">
      <c r="B50" s="193" t="s">
        <v>185</v>
      </c>
      <c r="C50" s="26">
        <v>1</v>
      </c>
      <c r="D50" s="26">
        <v>1</v>
      </c>
    </row>
    <row r="51" spans="2:4">
      <c r="B51" s="193" t="s">
        <v>74</v>
      </c>
      <c r="C51" s="26">
        <v>3</v>
      </c>
      <c r="D51" s="26">
        <v>0</v>
      </c>
    </row>
    <row r="52" spans="2:4">
      <c r="B52" s="193" t="s">
        <v>175</v>
      </c>
      <c r="C52" s="26">
        <v>1</v>
      </c>
      <c r="D52" s="26">
        <v>0</v>
      </c>
    </row>
    <row r="53" spans="2:4">
      <c r="B53" s="193" t="s">
        <v>183</v>
      </c>
      <c r="C53" s="26">
        <v>2</v>
      </c>
      <c r="D53" s="26">
        <v>0</v>
      </c>
    </row>
    <row r="54" spans="2:4">
      <c r="B54" s="193" t="s">
        <v>72</v>
      </c>
      <c r="C54" s="26">
        <v>3</v>
      </c>
      <c r="D54" s="26">
        <v>0</v>
      </c>
    </row>
    <row r="55" spans="2:4">
      <c r="B55" s="193" t="s">
        <v>70</v>
      </c>
      <c r="C55" s="26">
        <v>6</v>
      </c>
      <c r="D55" s="26">
        <v>0</v>
      </c>
    </row>
    <row r="56" spans="2:4">
      <c r="B56" s="193" t="s">
        <v>73</v>
      </c>
      <c r="C56" s="26">
        <v>3</v>
      </c>
      <c r="D56" s="26">
        <v>0</v>
      </c>
    </row>
    <row r="57" spans="2:4">
      <c r="B57" s="193" t="s">
        <v>147</v>
      </c>
      <c r="C57" s="26">
        <v>1</v>
      </c>
      <c r="D57" s="26">
        <v>0</v>
      </c>
    </row>
    <row r="58" spans="2:4">
      <c r="B58" s="193" t="s">
        <v>139</v>
      </c>
      <c r="C58" s="26">
        <v>1</v>
      </c>
      <c r="D58" s="26">
        <v>0</v>
      </c>
    </row>
    <row r="59" spans="2:4">
      <c r="B59" s="193" t="s">
        <v>180</v>
      </c>
      <c r="C59" s="26">
        <v>3</v>
      </c>
      <c r="D59" s="26">
        <v>0</v>
      </c>
    </row>
    <row r="60" spans="2:4">
      <c r="B60" s="193" t="s">
        <v>99</v>
      </c>
      <c r="C60" s="26">
        <v>33</v>
      </c>
      <c r="D60" s="26">
        <v>0</v>
      </c>
    </row>
    <row r="61" spans="2:4">
      <c r="B61" s="193" t="s">
        <v>76</v>
      </c>
      <c r="C61" s="26">
        <v>4</v>
      </c>
      <c r="D61" s="26">
        <v>0</v>
      </c>
    </row>
    <row r="62" spans="2:4">
      <c r="B62" s="193" t="s">
        <v>188</v>
      </c>
      <c r="C62" s="26">
        <v>1</v>
      </c>
      <c r="D62" s="26">
        <v>0</v>
      </c>
    </row>
    <row r="63" spans="2:4">
      <c r="B63" s="193" t="s">
        <v>75</v>
      </c>
      <c r="C63" s="26">
        <v>5</v>
      </c>
      <c r="D63" s="26">
        <v>0</v>
      </c>
    </row>
    <row r="64" spans="2:4">
      <c r="B64" s="193" t="s">
        <v>176</v>
      </c>
      <c r="C64" s="26">
        <v>3</v>
      </c>
      <c r="D64" s="26">
        <v>0</v>
      </c>
    </row>
    <row r="65" spans="2:4">
      <c r="B65" s="193" t="s">
        <v>174</v>
      </c>
      <c r="C65" s="26">
        <v>1</v>
      </c>
      <c r="D65" s="26">
        <v>0</v>
      </c>
    </row>
    <row r="66" spans="2:4">
      <c r="B66" s="193" t="s">
        <v>170</v>
      </c>
      <c r="C66" s="26">
        <v>1</v>
      </c>
      <c r="D66" s="26">
        <v>0</v>
      </c>
    </row>
    <row r="67" spans="2:4">
      <c r="B67" s="193" t="s">
        <v>193</v>
      </c>
      <c r="C67" s="26">
        <v>1</v>
      </c>
      <c r="D67" s="26">
        <v>0</v>
      </c>
    </row>
    <row r="68" spans="2:4">
      <c r="B68" s="193" t="s">
        <v>186</v>
      </c>
      <c r="C68" s="26">
        <v>0</v>
      </c>
      <c r="D68" s="26">
        <v>0</v>
      </c>
    </row>
    <row r="69" spans="2:4">
      <c r="B69" s="193" t="s">
        <v>179</v>
      </c>
      <c r="C69" s="26">
        <v>3</v>
      </c>
      <c r="D69" s="26">
        <v>0</v>
      </c>
    </row>
    <row r="70" spans="2:4">
      <c r="B70" s="193" t="s">
        <v>165</v>
      </c>
      <c r="C70" s="26">
        <v>4</v>
      </c>
      <c r="D70" s="26">
        <v>0</v>
      </c>
    </row>
    <row r="71" spans="2:4">
      <c r="B71" s="193" t="s">
        <v>168</v>
      </c>
      <c r="C71" s="26">
        <v>1</v>
      </c>
      <c r="D71" s="26">
        <v>0</v>
      </c>
    </row>
    <row r="72" spans="2:4">
      <c r="B72" s="193" t="s">
        <v>181</v>
      </c>
      <c r="C72" s="26">
        <v>3</v>
      </c>
      <c r="D72" s="26">
        <v>0</v>
      </c>
    </row>
    <row r="73" spans="2:4">
      <c r="B73" s="193" t="s">
        <v>162</v>
      </c>
      <c r="C73" s="26">
        <v>2</v>
      </c>
      <c r="D73" s="26">
        <v>0</v>
      </c>
    </row>
    <row r="74" spans="2:4">
      <c r="B74" s="193" t="s">
        <v>61</v>
      </c>
      <c r="C74" s="26">
        <v>3</v>
      </c>
      <c r="D74" s="26">
        <v>1</v>
      </c>
    </row>
    <row r="75" spans="2:4">
      <c r="B75" s="193" t="s">
        <v>195</v>
      </c>
      <c r="C75" s="26">
        <v>0</v>
      </c>
      <c r="D75" s="26">
        <v>0</v>
      </c>
    </row>
    <row r="76" spans="2:4">
      <c r="B76" s="193" t="s">
        <v>178</v>
      </c>
      <c r="C76" s="26">
        <v>2</v>
      </c>
      <c r="D76" s="26">
        <v>0</v>
      </c>
    </row>
    <row r="77" spans="2:4">
      <c r="B77" s="193" t="s">
        <v>194</v>
      </c>
      <c r="C77" s="26">
        <v>1</v>
      </c>
      <c r="D77" s="26">
        <v>0</v>
      </c>
    </row>
    <row r="78" spans="2:4">
      <c r="B78" s="193" t="s">
        <v>169</v>
      </c>
      <c r="C78" s="26">
        <v>1</v>
      </c>
      <c r="D78" s="26">
        <v>0</v>
      </c>
    </row>
    <row r="79" spans="2:4">
      <c r="B79" s="193" t="s">
        <v>166</v>
      </c>
      <c r="C79" s="26">
        <v>4</v>
      </c>
      <c r="D79" s="26">
        <v>0</v>
      </c>
    </row>
    <row r="80" spans="2:4">
      <c r="B80" s="193" t="s">
        <v>167</v>
      </c>
      <c r="C80" s="26">
        <v>1</v>
      </c>
      <c r="D80" s="26">
        <v>0</v>
      </c>
    </row>
    <row r="81" spans="1:4">
      <c r="B81" s="193" t="s">
        <v>173</v>
      </c>
      <c r="C81" s="26">
        <v>3</v>
      </c>
      <c r="D81" s="26">
        <v>0</v>
      </c>
    </row>
    <row r="82" spans="1:4">
      <c r="B82" s="193" t="s">
        <v>171</v>
      </c>
      <c r="C82" s="26">
        <v>1</v>
      </c>
      <c r="D82" s="26">
        <v>0</v>
      </c>
    </row>
    <row r="83" spans="1:4">
      <c r="B83" s="193" t="s">
        <v>187</v>
      </c>
      <c r="C83" s="26">
        <v>2</v>
      </c>
      <c r="D83" s="26">
        <v>0</v>
      </c>
    </row>
    <row r="84" spans="1:4">
      <c r="A84" s="193" t="s">
        <v>57</v>
      </c>
      <c r="B84" s="193" t="s">
        <v>65</v>
      </c>
      <c r="C84" s="26">
        <v>88</v>
      </c>
      <c r="D84" s="26">
        <v>0</v>
      </c>
    </row>
    <row r="85" spans="1:4">
      <c r="B85" s="193" t="s">
        <v>74</v>
      </c>
      <c r="C85" s="26">
        <v>44</v>
      </c>
      <c r="D85" s="26">
        <v>0</v>
      </c>
    </row>
    <row r="86" spans="1:4">
      <c r="B86" s="193" t="s">
        <v>54</v>
      </c>
      <c r="C86" s="26">
        <v>86</v>
      </c>
      <c r="D86" s="26">
        <v>2</v>
      </c>
    </row>
    <row r="87" spans="1:4">
      <c r="B87" s="193" t="s">
        <v>72</v>
      </c>
      <c r="C87" s="26">
        <v>22</v>
      </c>
      <c r="D87" s="26">
        <v>0</v>
      </c>
    </row>
    <row r="88" spans="1:4">
      <c r="B88" s="193" t="s">
        <v>70</v>
      </c>
      <c r="C88" s="26">
        <v>44</v>
      </c>
      <c r="D88" s="26">
        <v>0</v>
      </c>
    </row>
    <row r="89" spans="1:4">
      <c r="B89" s="193" t="s">
        <v>59</v>
      </c>
      <c r="C89" s="26">
        <v>88</v>
      </c>
      <c r="D89" s="26">
        <v>0</v>
      </c>
    </row>
    <row r="90" spans="1:4">
      <c r="B90" s="193" t="s">
        <v>77</v>
      </c>
      <c r="C90" s="26">
        <v>11</v>
      </c>
      <c r="D90" s="26">
        <v>0</v>
      </c>
    </row>
    <row r="91" spans="1:4">
      <c r="B91" s="193" t="s">
        <v>73</v>
      </c>
      <c r="C91" s="26">
        <v>19</v>
      </c>
      <c r="D91" s="26">
        <v>0</v>
      </c>
    </row>
    <row r="92" spans="1:4">
      <c r="B92" s="193" t="s">
        <v>79</v>
      </c>
      <c r="C92" s="26">
        <v>32</v>
      </c>
      <c r="D92" s="26">
        <v>1</v>
      </c>
    </row>
    <row r="93" spans="1:4">
      <c r="B93" s="193" t="s">
        <v>69</v>
      </c>
      <c r="C93" s="26">
        <v>12</v>
      </c>
      <c r="D93" s="26">
        <v>0</v>
      </c>
    </row>
    <row r="94" spans="1:4">
      <c r="B94" s="193" t="s">
        <v>76</v>
      </c>
      <c r="C94" s="26">
        <v>55</v>
      </c>
      <c r="D94" s="26">
        <v>0</v>
      </c>
    </row>
    <row r="95" spans="1:4">
      <c r="B95" s="193" t="s">
        <v>75</v>
      </c>
      <c r="C95" s="26">
        <v>44</v>
      </c>
      <c r="D95" s="26">
        <v>0</v>
      </c>
    </row>
    <row r="96" spans="1:4">
      <c r="B96" s="193" t="s">
        <v>68</v>
      </c>
      <c r="C96" s="26">
        <v>44</v>
      </c>
      <c r="D96" s="26">
        <v>0</v>
      </c>
    </row>
    <row r="97" spans="1:4">
      <c r="B97" s="193" t="s">
        <v>64</v>
      </c>
      <c r="C97" s="26">
        <v>88</v>
      </c>
      <c r="D97" s="26">
        <v>0</v>
      </c>
    </row>
    <row r="98" spans="1:4">
      <c r="B98" s="193" t="s">
        <v>61</v>
      </c>
      <c r="C98" s="26">
        <v>88</v>
      </c>
      <c r="D98" s="26">
        <v>0</v>
      </c>
    </row>
    <row r="99" spans="1:4">
      <c r="A99" s="193" t="s">
        <v>153</v>
      </c>
      <c r="B99" s="193" t="s">
        <v>155</v>
      </c>
      <c r="C99" s="26">
        <v>0</v>
      </c>
      <c r="D99" s="26">
        <v>2</v>
      </c>
    </row>
    <row r="100" spans="1:4">
      <c r="B100" s="193" t="s">
        <v>161</v>
      </c>
      <c r="C100" s="26">
        <v>6</v>
      </c>
      <c r="D100" s="26">
        <v>0</v>
      </c>
    </row>
    <row r="101" spans="1:4">
      <c r="B101" s="193" t="s">
        <v>156</v>
      </c>
      <c r="C101" s="26">
        <v>15</v>
      </c>
      <c r="D101" s="26">
        <v>0</v>
      </c>
    </row>
    <row r="102" spans="1:4">
      <c r="B102" s="193" t="s">
        <v>157</v>
      </c>
      <c r="C102" s="26">
        <v>0</v>
      </c>
      <c r="D102" s="26">
        <v>4</v>
      </c>
    </row>
    <row r="103" spans="1:4">
      <c r="B103" s="193" t="s">
        <v>152</v>
      </c>
      <c r="C103" s="26">
        <v>1</v>
      </c>
      <c r="D103" s="26">
        <v>0</v>
      </c>
    </row>
    <row r="104" spans="1:4">
      <c r="B104" s="193" t="s">
        <v>64</v>
      </c>
      <c r="C104" s="26">
        <v>56</v>
      </c>
      <c r="D104" s="26">
        <v>10</v>
      </c>
    </row>
    <row r="105" spans="1:4">
      <c r="B105" s="193" t="s">
        <v>162</v>
      </c>
      <c r="C105" s="26">
        <v>18</v>
      </c>
      <c r="D105" s="26">
        <v>0</v>
      </c>
    </row>
    <row r="106" spans="1:4">
      <c r="B106" s="193" t="s">
        <v>158</v>
      </c>
      <c r="C106" s="26">
        <v>2</v>
      </c>
      <c r="D106" s="26">
        <v>0</v>
      </c>
    </row>
    <row r="107" spans="1:4">
      <c r="A107" s="193" t="s">
        <v>218</v>
      </c>
      <c r="B107" s="193" t="s">
        <v>217</v>
      </c>
      <c r="C107" s="26">
        <v>3</v>
      </c>
      <c r="D107" s="26">
        <v>0</v>
      </c>
    </row>
    <row r="108" spans="1:4">
      <c r="B108" s="193" t="s">
        <v>220</v>
      </c>
      <c r="C108" s="26">
        <v>2</v>
      </c>
      <c r="D108" s="26">
        <v>0</v>
      </c>
    </row>
    <row r="109" spans="1:4">
      <c r="B109" s="193" t="s">
        <v>223</v>
      </c>
      <c r="C109" s="26">
        <v>2</v>
      </c>
      <c r="D109" s="26">
        <v>0</v>
      </c>
    </row>
    <row r="110" spans="1:4">
      <c r="B110" s="193" t="s">
        <v>222</v>
      </c>
      <c r="C110" s="26">
        <v>1</v>
      </c>
      <c r="D110" s="26">
        <v>0</v>
      </c>
    </row>
    <row r="111" spans="1:4">
      <c r="B111" s="193" t="s">
        <v>224</v>
      </c>
      <c r="C111" s="26">
        <v>3</v>
      </c>
      <c r="D111" s="26">
        <v>0</v>
      </c>
    </row>
    <row r="112" spans="1:4">
      <c r="B112" s="193" t="s">
        <v>221</v>
      </c>
      <c r="C112" s="26">
        <v>3</v>
      </c>
      <c r="D112" s="26">
        <v>0</v>
      </c>
    </row>
    <row r="113" spans="1:4">
      <c r="A113" s="193" t="s">
        <v>197</v>
      </c>
      <c r="B113" s="193" t="s">
        <v>149</v>
      </c>
      <c r="C113" s="26">
        <v>2</v>
      </c>
      <c r="D113" s="26">
        <v>0</v>
      </c>
    </row>
    <row r="114" spans="1:4">
      <c r="B114" s="193" t="s">
        <v>199</v>
      </c>
      <c r="C114" s="26">
        <v>30</v>
      </c>
      <c r="D114" s="26">
        <v>0</v>
      </c>
    </row>
    <row r="115" spans="1:4">
      <c r="B115" s="193" t="s">
        <v>196</v>
      </c>
      <c r="C115" s="26">
        <v>5</v>
      </c>
      <c r="D115" s="26">
        <v>1</v>
      </c>
    </row>
    <row r="116" spans="1:4">
      <c r="B116" s="193" t="s">
        <v>198</v>
      </c>
      <c r="C116" s="26">
        <v>9</v>
      </c>
      <c r="D116" s="26">
        <v>0</v>
      </c>
    </row>
    <row r="117" spans="1:4">
      <c r="B117" s="193" t="s">
        <v>200</v>
      </c>
      <c r="C117" s="26">
        <v>0</v>
      </c>
      <c r="D117" s="26">
        <v>2</v>
      </c>
    </row>
    <row r="118" spans="1:4">
      <c r="B118" s="193" t="s">
        <v>202</v>
      </c>
      <c r="C118" s="26">
        <v>2</v>
      </c>
      <c r="D118" s="26">
        <v>0</v>
      </c>
    </row>
    <row r="119" spans="1:4">
      <c r="B119" s="193" t="s">
        <v>110</v>
      </c>
      <c r="C119" s="26">
        <v>20</v>
      </c>
      <c r="D119" s="26">
        <v>0</v>
      </c>
    </row>
    <row r="120" spans="1:4">
      <c r="B120" s="193" t="s">
        <v>203</v>
      </c>
      <c r="C120" s="26">
        <v>23</v>
      </c>
      <c r="D120" s="26">
        <v>0</v>
      </c>
    </row>
    <row r="121" spans="1:4">
      <c r="B121" s="193" t="s">
        <v>204</v>
      </c>
      <c r="C121" s="26">
        <v>4</v>
      </c>
      <c r="D121" s="26">
        <v>8</v>
      </c>
    </row>
    <row r="122" spans="1:4">
      <c r="B122" s="193" t="s">
        <v>205</v>
      </c>
      <c r="C122" s="26">
        <v>1</v>
      </c>
      <c r="D122" s="26">
        <v>0</v>
      </c>
    </row>
    <row r="123" spans="1:4">
      <c r="B123" s="193" t="s">
        <v>214</v>
      </c>
      <c r="C123" s="26">
        <v>3</v>
      </c>
      <c r="D123" s="26">
        <v>0</v>
      </c>
    </row>
    <row r="124" spans="1:4">
      <c r="B124" s="193" t="s">
        <v>206</v>
      </c>
      <c r="C124" s="26">
        <v>1</v>
      </c>
      <c r="D124" s="26">
        <v>0</v>
      </c>
    </row>
    <row r="125" spans="1:4">
      <c r="B125" s="193" t="s">
        <v>207</v>
      </c>
      <c r="C125" s="26">
        <v>9</v>
      </c>
      <c r="D125" s="26">
        <v>0</v>
      </c>
    </row>
    <row r="126" spans="1:4">
      <c r="B126" s="193" t="s">
        <v>208</v>
      </c>
      <c r="C126" s="26">
        <v>36</v>
      </c>
      <c r="D126" s="26">
        <v>0</v>
      </c>
    </row>
    <row r="127" spans="1:4">
      <c r="B127" s="193" t="s">
        <v>209</v>
      </c>
      <c r="C127" s="26">
        <v>49</v>
      </c>
      <c r="D127" s="26">
        <v>0</v>
      </c>
    </row>
    <row r="128" spans="1:4">
      <c r="B128" s="193" t="s">
        <v>210</v>
      </c>
      <c r="C128" s="26">
        <v>11</v>
      </c>
      <c r="D128" s="26">
        <v>0</v>
      </c>
    </row>
    <row r="129" spans="1:4">
      <c r="B129" s="193" t="s">
        <v>107</v>
      </c>
      <c r="C129" s="26">
        <v>33</v>
      </c>
      <c r="D129" s="26">
        <v>0</v>
      </c>
    </row>
    <row r="130" spans="1:4">
      <c r="B130" s="193" t="s">
        <v>211</v>
      </c>
      <c r="C130" s="26">
        <v>14</v>
      </c>
      <c r="D130" s="26">
        <v>6</v>
      </c>
    </row>
    <row r="131" spans="1:4">
      <c r="B131" s="193" t="s">
        <v>216</v>
      </c>
      <c r="C131" s="26">
        <v>6</v>
      </c>
      <c r="D131" s="26">
        <v>0</v>
      </c>
    </row>
    <row r="132" spans="1:4">
      <c r="B132" s="193" t="s">
        <v>173</v>
      </c>
      <c r="C132" s="26">
        <v>1</v>
      </c>
      <c r="D132" s="26">
        <v>0</v>
      </c>
    </row>
    <row r="133" spans="1:4">
      <c r="B133" s="193" t="s">
        <v>212</v>
      </c>
      <c r="C133" s="26">
        <v>2</v>
      </c>
      <c r="D133" s="26">
        <v>0</v>
      </c>
    </row>
    <row r="134" spans="1:4">
      <c r="B134" s="193" t="s">
        <v>215</v>
      </c>
      <c r="C134" s="26">
        <v>12</v>
      </c>
      <c r="D134" s="26">
        <v>0</v>
      </c>
    </row>
    <row r="135" spans="1:4">
      <c r="B135" s="193" t="s">
        <v>213</v>
      </c>
      <c r="C135" s="26">
        <v>1</v>
      </c>
      <c r="D135" s="26">
        <v>0</v>
      </c>
    </row>
    <row r="136" spans="1:4">
      <c r="A136" s="193" t="s">
        <v>94</v>
      </c>
      <c r="B136" s="193" t="s">
        <v>93</v>
      </c>
      <c r="C136" s="26">
        <v>6</v>
      </c>
      <c r="D136" s="26">
        <v>0</v>
      </c>
    </row>
    <row r="137" spans="1:4">
      <c r="A137" s="193" t="s">
        <v>228</v>
      </c>
      <c r="B137"/>
      <c r="C137" s="26">
        <v>1983</v>
      </c>
      <c r="D137" s="26">
        <v>87</v>
      </c>
    </row>
    <row r="138" spans="1:4">
      <c r="B138"/>
      <c r="C138"/>
    </row>
    <row r="139" spans="1:4">
      <c r="B139"/>
      <c r="C139"/>
    </row>
    <row r="140" spans="1:4">
      <c r="B140"/>
      <c r="C140"/>
    </row>
    <row r="141" spans="1:4">
      <c r="B141"/>
      <c r="C141"/>
    </row>
    <row r="142" spans="1:4">
      <c r="B142"/>
      <c r="C142"/>
    </row>
    <row r="143" spans="1:4">
      <c r="B143"/>
      <c r="C143"/>
    </row>
    <row r="144" spans="1:4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1:S226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P1" sqref="P1:R1048576"/>
    </sheetView>
  </sheetViews>
  <sheetFormatPr defaultColWidth="8.6640625" defaultRowHeight="14.4"/>
  <cols>
    <col min="1" max="1" width="1.6640625" style="1" customWidth="1"/>
    <col min="2" max="2" width="7.109375" style="1" customWidth="1"/>
    <col min="3" max="3" width="20.88671875" style="1" customWidth="1"/>
    <col min="4" max="4" width="20.6640625" style="1" customWidth="1"/>
    <col min="5" max="5" width="11.5546875" style="1" customWidth="1"/>
    <col min="6" max="6" width="9" style="1" customWidth="1"/>
    <col min="7" max="7" width="11.6640625" style="1" customWidth="1"/>
    <col min="8" max="8" width="20" style="1" customWidth="1"/>
    <col min="9" max="9" width="25.33203125" style="1" hidden="1" customWidth="1"/>
    <col min="10" max="10" width="20.6640625" style="1" customWidth="1"/>
    <col min="11" max="11" width="70.88671875" style="1" hidden="1" customWidth="1"/>
    <col min="12" max="12" width="17" style="1" hidden="1" customWidth="1"/>
    <col min="13" max="13" width="27.6640625" style="1" hidden="1" customWidth="1"/>
    <col min="14" max="15" width="8.6640625" style="1"/>
    <col min="16" max="16" width="10.88671875" style="1" customWidth="1"/>
    <col min="17" max="18" width="8.6640625" style="1"/>
    <col min="19" max="19" width="73.6640625" style="1" customWidth="1"/>
    <col min="20" max="16384" width="8.6640625" style="1"/>
  </cols>
  <sheetData>
    <row r="1" spans="2:19" ht="7.5" customHeight="1"/>
    <row r="2" spans="2:19" ht="14.4" hidden="1" customHeight="1">
      <c r="B2" s="246" t="s">
        <v>229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</row>
    <row r="3" spans="2:19" ht="18.600000000000001" hidden="1" customHeight="1">
      <c r="B3" s="246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</row>
    <row r="4" spans="2:19" ht="18.600000000000001" hidden="1" customHeight="1">
      <c r="B4" s="246"/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</row>
    <row r="5" spans="2:19" ht="21.6" hidden="1" customHeight="1">
      <c r="B5" s="246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</row>
    <row r="6" spans="2:19" ht="9" hidden="1" customHeight="1"/>
    <row r="7" spans="2:19" s="109" customFormat="1" ht="21" customHeight="1">
      <c r="B7" s="235" t="s">
        <v>32</v>
      </c>
      <c r="C7" s="235" t="s">
        <v>1</v>
      </c>
      <c r="D7" s="238" t="s">
        <v>230</v>
      </c>
      <c r="E7" s="241" t="s">
        <v>231</v>
      </c>
      <c r="F7" s="224" t="s">
        <v>232</v>
      </c>
      <c r="G7" s="225"/>
      <c r="H7" s="224" t="s">
        <v>233</v>
      </c>
      <c r="I7" s="225"/>
      <c r="J7" s="235" t="s">
        <v>234</v>
      </c>
      <c r="K7" s="155"/>
      <c r="L7" s="235" t="s">
        <v>2</v>
      </c>
      <c r="M7" s="244" t="s">
        <v>235</v>
      </c>
      <c r="N7" s="226" t="s">
        <v>236</v>
      </c>
      <c r="O7" s="226"/>
      <c r="P7" s="226"/>
      <c r="Q7" s="226"/>
      <c r="R7" s="226"/>
      <c r="S7" s="226"/>
    </row>
    <row r="8" spans="2:19" s="109" customFormat="1" ht="21" customHeight="1">
      <c r="B8" s="236"/>
      <c r="C8" s="236"/>
      <c r="D8" s="239"/>
      <c r="E8" s="242"/>
      <c r="F8" s="238" t="s">
        <v>237</v>
      </c>
      <c r="G8" s="238" t="s">
        <v>238</v>
      </c>
      <c r="H8" s="238" t="s">
        <v>239</v>
      </c>
      <c r="I8" s="238" t="s">
        <v>240</v>
      </c>
      <c r="J8" s="236"/>
      <c r="K8" s="156"/>
      <c r="L8" s="236"/>
      <c r="M8" s="245"/>
      <c r="N8" s="240" t="s">
        <v>238</v>
      </c>
      <c r="O8" s="240" t="s">
        <v>233</v>
      </c>
      <c r="P8" s="240" t="s">
        <v>241</v>
      </c>
      <c r="Q8" s="236" t="s">
        <v>5</v>
      </c>
      <c r="R8" s="236" t="s">
        <v>242</v>
      </c>
      <c r="S8" s="236" t="s">
        <v>2</v>
      </c>
    </row>
    <row r="9" spans="2:19" s="109" customFormat="1" ht="21" customHeight="1">
      <c r="B9" s="237"/>
      <c r="C9" s="237"/>
      <c r="D9" s="240"/>
      <c r="E9" s="243"/>
      <c r="F9" s="240"/>
      <c r="G9" s="240"/>
      <c r="H9" s="240"/>
      <c r="I9" s="240"/>
      <c r="J9" s="237"/>
      <c r="K9" s="157"/>
      <c r="L9" s="237"/>
      <c r="M9" s="245"/>
      <c r="N9" s="245"/>
      <c r="O9" s="245"/>
      <c r="P9" s="245"/>
      <c r="Q9" s="237"/>
      <c r="R9" s="237"/>
      <c r="S9" s="237"/>
    </row>
    <row r="10" spans="2:19">
      <c r="B10" s="111">
        <v>1</v>
      </c>
      <c r="C10" s="130" t="s">
        <v>243</v>
      </c>
      <c r="D10" s="131">
        <v>2010</v>
      </c>
      <c r="E10" s="211" t="s">
        <v>244</v>
      </c>
      <c r="F10" s="131">
        <v>6</v>
      </c>
      <c r="G10" s="131">
        <v>6</v>
      </c>
      <c r="H10" s="211" t="s">
        <v>56</v>
      </c>
      <c r="I10" s="211" t="s">
        <v>56</v>
      </c>
      <c r="J10" s="211" t="s">
        <v>245</v>
      </c>
      <c r="K10" s="131" t="str">
        <f>C10&amp;"-"&amp;J10&amp;"-"&amp;D10</f>
        <v>Meja Bulat-Ruang Planter-2010</v>
      </c>
      <c r="L10" s="131"/>
      <c r="M10" s="18" t="s">
        <v>246</v>
      </c>
      <c r="N10" s="18">
        <v>6</v>
      </c>
      <c r="O10" s="172">
        <v>0</v>
      </c>
      <c r="P10" s="172">
        <v>0</v>
      </c>
      <c r="Q10" s="175">
        <f>SUM(N10:P10)</f>
        <v>6</v>
      </c>
      <c r="R10" s="176">
        <f>Q10-F10</f>
        <v>0</v>
      </c>
      <c r="S10" s="175"/>
    </row>
    <row r="11" spans="2:19">
      <c r="B11" s="111">
        <f>B10+1</f>
        <v>2</v>
      </c>
      <c r="C11" s="130" t="s">
        <v>172</v>
      </c>
      <c r="D11" s="131">
        <v>2010</v>
      </c>
      <c r="E11" s="211" t="s">
        <v>244</v>
      </c>
      <c r="F11" s="131">
        <v>5</v>
      </c>
      <c r="G11" s="131">
        <v>5</v>
      </c>
      <c r="H11" s="211" t="s">
        <v>56</v>
      </c>
      <c r="I11" s="211" t="s">
        <v>56</v>
      </c>
      <c r="J11" s="211" t="s">
        <v>245</v>
      </c>
      <c r="K11" s="131" t="str">
        <f t="shared" ref="K11:K74" si="0">C11&amp;"-"&amp;J11&amp;"-"&amp;D11</f>
        <v>AC-Ruang Planter-2010</v>
      </c>
      <c r="L11" s="131"/>
      <c r="M11" s="18" t="s">
        <v>247</v>
      </c>
      <c r="N11" s="18">
        <v>5</v>
      </c>
      <c r="O11" s="172">
        <v>0</v>
      </c>
      <c r="P11" s="172">
        <v>0</v>
      </c>
      <c r="Q11" s="175">
        <f t="shared" ref="Q11:Q74" si="1">SUM(N11:P11)</f>
        <v>5</v>
      </c>
      <c r="R11" s="176">
        <f t="shared" ref="R11:R74" si="2">Q11-F11</f>
        <v>0</v>
      </c>
      <c r="S11" s="175"/>
    </row>
    <row r="12" spans="2:19">
      <c r="B12" s="111">
        <f t="shared" ref="B12:B75" si="3">B11+1</f>
        <v>3</v>
      </c>
      <c r="C12" s="130" t="s">
        <v>248</v>
      </c>
      <c r="D12" s="131">
        <v>2010</v>
      </c>
      <c r="E12" s="211" t="s">
        <v>244</v>
      </c>
      <c r="F12" s="131">
        <v>1</v>
      </c>
      <c r="G12" s="131">
        <v>1</v>
      </c>
      <c r="H12" s="211" t="s">
        <v>56</v>
      </c>
      <c r="I12" s="211" t="s">
        <v>56</v>
      </c>
      <c r="J12" s="211" t="s">
        <v>245</v>
      </c>
      <c r="K12" s="131" t="str">
        <f t="shared" si="0"/>
        <v>Meja Panjang-Ruang Planter-2010</v>
      </c>
      <c r="L12" s="131"/>
      <c r="M12" s="18" t="s">
        <v>249</v>
      </c>
      <c r="N12" s="18">
        <v>8</v>
      </c>
      <c r="O12" s="172">
        <v>0</v>
      </c>
      <c r="P12" s="172">
        <v>0</v>
      </c>
      <c r="Q12" s="175">
        <f t="shared" si="1"/>
        <v>8</v>
      </c>
      <c r="R12" s="175">
        <f t="shared" si="2"/>
        <v>7</v>
      </c>
      <c r="S12" s="175"/>
    </row>
    <row r="13" spans="2:19">
      <c r="B13" s="111">
        <f t="shared" si="3"/>
        <v>4</v>
      </c>
      <c r="C13" s="130" t="s">
        <v>250</v>
      </c>
      <c r="D13" s="131">
        <v>0</v>
      </c>
      <c r="E13" s="211" t="s">
        <v>251</v>
      </c>
      <c r="F13" s="131">
        <v>1</v>
      </c>
      <c r="G13" s="131">
        <v>1</v>
      </c>
      <c r="H13" s="211" t="s">
        <v>56</v>
      </c>
      <c r="I13" s="211" t="s">
        <v>56</v>
      </c>
      <c r="J13" s="211" t="s">
        <v>245</v>
      </c>
      <c r="K13" s="131" t="str">
        <f t="shared" si="0"/>
        <v>Sound System-Ruang Planter-0</v>
      </c>
      <c r="L13" s="131"/>
      <c r="M13" s="18" t="s">
        <v>252</v>
      </c>
      <c r="N13" s="18">
        <v>1</v>
      </c>
      <c r="O13" s="172">
        <v>0</v>
      </c>
      <c r="P13" s="172">
        <v>0</v>
      </c>
      <c r="Q13" s="175">
        <f t="shared" si="1"/>
        <v>1</v>
      </c>
      <c r="R13" s="176">
        <f t="shared" si="2"/>
        <v>0</v>
      </c>
      <c r="S13" s="175"/>
    </row>
    <row r="14" spans="2:19" customFormat="1">
      <c r="B14" s="111">
        <f t="shared" si="3"/>
        <v>5</v>
      </c>
      <c r="C14" s="132" t="s">
        <v>253</v>
      </c>
      <c r="D14" s="7">
        <v>2018</v>
      </c>
      <c r="E14" s="212" t="s">
        <v>244</v>
      </c>
      <c r="F14" s="7">
        <v>35</v>
      </c>
      <c r="G14" s="7">
        <v>35</v>
      </c>
      <c r="H14" s="212" t="s">
        <v>56</v>
      </c>
      <c r="I14" s="212" t="s">
        <v>56</v>
      </c>
      <c r="J14" s="212" t="s">
        <v>245</v>
      </c>
      <c r="K14" s="131" t="str">
        <f t="shared" si="0"/>
        <v>Kursi Merah Futura-Ruang Planter-2018</v>
      </c>
      <c r="L14" s="7"/>
      <c r="M14" s="18" t="s">
        <v>254</v>
      </c>
      <c r="N14" s="6">
        <v>33</v>
      </c>
      <c r="O14" s="173">
        <v>0</v>
      </c>
      <c r="P14" s="174">
        <v>2</v>
      </c>
      <c r="Q14" s="175">
        <f t="shared" si="1"/>
        <v>35</v>
      </c>
      <c r="R14" s="177">
        <f t="shared" si="2"/>
        <v>0</v>
      </c>
      <c r="S14" s="178" t="s">
        <v>255</v>
      </c>
    </row>
    <row r="15" spans="2:19" customFormat="1">
      <c r="B15" s="111">
        <f t="shared" si="3"/>
        <v>6</v>
      </c>
      <c r="C15" s="132" t="s">
        <v>256</v>
      </c>
      <c r="D15" s="7">
        <v>0</v>
      </c>
      <c r="E15" s="212" t="s">
        <v>244</v>
      </c>
      <c r="F15" s="7">
        <v>1</v>
      </c>
      <c r="G15" s="7">
        <v>1</v>
      </c>
      <c r="H15" s="212" t="s">
        <v>56</v>
      </c>
      <c r="I15" s="212" t="s">
        <v>56</v>
      </c>
      <c r="J15" s="212" t="s">
        <v>245</v>
      </c>
      <c r="K15" s="131" t="str">
        <f t="shared" si="0"/>
        <v>Kursi Coklat Chitose-Ruang Planter-0</v>
      </c>
      <c r="L15" s="7"/>
      <c r="M15" s="18" t="s">
        <v>257</v>
      </c>
      <c r="N15" s="6">
        <v>1</v>
      </c>
      <c r="O15" s="173">
        <v>0</v>
      </c>
      <c r="P15" s="173">
        <v>0</v>
      </c>
      <c r="Q15" s="175">
        <f t="shared" si="1"/>
        <v>1</v>
      </c>
      <c r="R15" s="176">
        <f t="shared" si="2"/>
        <v>0</v>
      </c>
      <c r="S15" s="6"/>
    </row>
    <row r="16" spans="2:19" customFormat="1">
      <c r="B16" s="111">
        <f t="shared" si="3"/>
        <v>7</v>
      </c>
      <c r="C16" s="132" t="s">
        <v>258</v>
      </c>
      <c r="D16" s="7">
        <v>2010</v>
      </c>
      <c r="E16" s="212" t="s">
        <v>244</v>
      </c>
      <c r="F16" s="7">
        <v>2</v>
      </c>
      <c r="G16" s="7">
        <v>2</v>
      </c>
      <c r="H16" s="212" t="s">
        <v>56</v>
      </c>
      <c r="I16" s="212" t="s">
        <v>56</v>
      </c>
      <c r="J16" s="212" t="s">
        <v>245</v>
      </c>
      <c r="K16" s="131" t="str">
        <f t="shared" si="0"/>
        <v>Meja Kayu Coklat-Ruang Planter-2010</v>
      </c>
      <c r="L16" s="7"/>
      <c r="M16" s="18" t="s">
        <v>259</v>
      </c>
      <c r="N16" s="6">
        <v>2</v>
      </c>
      <c r="O16" s="173">
        <v>0</v>
      </c>
      <c r="P16" s="173">
        <v>0</v>
      </c>
      <c r="Q16" s="175">
        <f t="shared" si="1"/>
        <v>2</v>
      </c>
      <c r="R16" s="176">
        <f t="shared" si="2"/>
        <v>0</v>
      </c>
      <c r="S16" s="6"/>
    </row>
    <row r="17" spans="2:19" customFormat="1">
      <c r="B17" s="111">
        <f t="shared" si="3"/>
        <v>8</v>
      </c>
      <c r="C17" s="132" t="s">
        <v>260</v>
      </c>
      <c r="D17" s="7">
        <v>2024</v>
      </c>
      <c r="E17" s="212" t="s">
        <v>244</v>
      </c>
      <c r="F17" s="7">
        <v>1</v>
      </c>
      <c r="G17" s="7">
        <v>1</v>
      </c>
      <c r="H17" s="212" t="s">
        <v>56</v>
      </c>
      <c r="I17" s="212" t="s">
        <v>56</v>
      </c>
      <c r="J17" s="212" t="s">
        <v>245</v>
      </c>
      <c r="K17" s="131" t="str">
        <f t="shared" si="0"/>
        <v>Infocus-Ruang Planter-2024</v>
      </c>
      <c r="L17" s="7"/>
      <c r="M17" s="18" t="s">
        <v>261</v>
      </c>
      <c r="N17" s="6">
        <v>1</v>
      </c>
      <c r="O17" s="173">
        <v>0</v>
      </c>
      <c r="P17" s="173">
        <v>0</v>
      </c>
      <c r="Q17" s="175">
        <f t="shared" si="1"/>
        <v>1</v>
      </c>
      <c r="R17" s="177">
        <f t="shared" si="2"/>
        <v>0</v>
      </c>
      <c r="S17" s="6"/>
    </row>
    <row r="18" spans="2:19" customFormat="1">
      <c r="B18" s="111">
        <f t="shared" si="3"/>
        <v>9</v>
      </c>
      <c r="C18" s="132" t="s">
        <v>262</v>
      </c>
      <c r="D18" s="7">
        <v>0</v>
      </c>
      <c r="E18" s="212" t="s">
        <v>244</v>
      </c>
      <c r="F18" s="7">
        <v>1</v>
      </c>
      <c r="G18" s="7">
        <v>1</v>
      </c>
      <c r="H18" s="212" t="s">
        <v>56</v>
      </c>
      <c r="I18" s="212" t="s">
        <v>56</v>
      </c>
      <c r="J18" s="212" t="s">
        <v>245</v>
      </c>
      <c r="K18" s="131" t="str">
        <f t="shared" si="0"/>
        <v>Jam Dinding-Ruang Planter-0</v>
      </c>
      <c r="L18" s="7"/>
      <c r="M18" s="18" t="s">
        <v>263</v>
      </c>
      <c r="N18" s="6">
        <v>1</v>
      </c>
      <c r="O18" s="173">
        <v>0</v>
      </c>
      <c r="P18" s="173">
        <v>0</v>
      </c>
      <c r="Q18" s="175">
        <f t="shared" si="1"/>
        <v>1</v>
      </c>
      <c r="R18" s="176">
        <f t="shared" si="2"/>
        <v>0</v>
      </c>
      <c r="S18" s="6"/>
    </row>
    <row r="19" spans="2:19" customFormat="1">
      <c r="B19" s="111">
        <f t="shared" si="3"/>
        <v>10</v>
      </c>
      <c r="C19" s="132" t="s">
        <v>264</v>
      </c>
      <c r="D19" s="7">
        <v>2010</v>
      </c>
      <c r="E19" s="212" t="s">
        <v>244</v>
      </c>
      <c r="F19" s="7">
        <v>1</v>
      </c>
      <c r="G19" s="7">
        <v>1</v>
      </c>
      <c r="H19" s="212" t="s">
        <v>56</v>
      </c>
      <c r="I19" s="212" t="s">
        <v>56</v>
      </c>
      <c r="J19" s="212" t="s">
        <v>245</v>
      </c>
      <c r="K19" s="131" t="str">
        <f t="shared" si="0"/>
        <v>Whiteboard-Ruang Planter-2010</v>
      </c>
      <c r="L19" s="7"/>
      <c r="M19" s="18" t="s">
        <v>265</v>
      </c>
      <c r="N19" s="6">
        <v>2</v>
      </c>
      <c r="O19" s="173">
        <v>0</v>
      </c>
      <c r="P19" s="173">
        <v>0</v>
      </c>
      <c r="Q19" s="175">
        <f t="shared" si="1"/>
        <v>2</v>
      </c>
      <c r="R19" s="175">
        <f t="shared" si="2"/>
        <v>1</v>
      </c>
      <c r="S19" s="178" t="s">
        <v>266</v>
      </c>
    </row>
    <row r="20" spans="2:19" customFormat="1">
      <c r="B20" s="111">
        <f t="shared" si="3"/>
        <v>11</v>
      </c>
      <c r="C20" s="132" t="s">
        <v>172</v>
      </c>
      <c r="D20" s="7">
        <v>2010</v>
      </c>
      <c r="E20" s="212" t="s">
        <v>244</v>
      </c>
      <c r="F20" s="7">
        <v>2</v>
      </c>
      <c r="G20" s="7">
        <v>2</v>
      </c>
      <c r="H20" s="212" t="s">
        <v>56</v>
      </c>
      <c r="I20" s="212" t="s">
        <v>56</v>
      </c>
      <c r="J20" s="212" t="s">
        <v>267</v>
      </c>
      <c r="K20" s="131" t="str">
        <f t="shared" si="0"/>
        <v>AC-Ruang Administrasi-2010</v>
      </c>
      <c r="L20" s="7"/>
      <c r="M20" s="18" t="s">
        <v>268</v>
      </c>
      <c r="N20" s="6">
        <v>2</v>
      </c>
      <c r="O20" s="173">
        <v>0</v>
      </c>
      <c r="P20" s="173">
        <v>0</v>
      </c>
      <c r="Q20" s="175">
        <f t="shared" si="1"/>
        <v>2</v>
      </c>
      <c r="R20" s="176">
        <f t="shared" si="2"/>
        <v>0</v>
      </c>
      <c r="S20" s="6"/>
    </row>
    <row r="21" spans="2:19" customFormat="1">
      <c r="B21" s="111">
        <f t="shared" si="3"/>
        <v>12</v>
      </c>
      <c r="C21" s="132" t="s">
        <v>269</v>
      </c>
      <c r="D21" s="7">
        <v>0</v>
      </c>
      <c r="E21" s="212" t="s">
        <v>244</v>
      </c>
      <c r="F21" s="7">
        <v>4</v>
      </c>
      <c r="G21" s="7">
        <v>4</v>
      </c>
      <c r="H21" s="212" t="s">
        <v>56</v>
      </c>
      <c r="I21" s="212" t="s">
        <v>56</v>
      </c>
      <c r="J21" s="212" t="s">
        <v>267</v>
      </c>
      <c r="K21" s="131" t="str">
        <f t="shared" si="0"/>
        <v>CPU-Ruang Administrasi-0</v>
      </c>
      <c r="L21" s="7"/>
      <c r="M21" s="18" t="s">
        <v>270</v>
      </c>
      <c r="N21" s="6">
        <v>4</v>
      </c>
      <c r="O21" s="173">
        <v>0</v>
      </c>
      <c r="P21" s="173">
        <v>0</v>
      </c>
      <c r="Q21" s="175">
        <f t="shared" si="1"/>
        <v>4</v>
      </c>
      <c r="R21" s="176">
        <f t="shared" si="2"/>
        <v>0</v>
      </c>
      <c r="S21" s="6"/>
    </row>
    <row r="22" spans="2:19" customFormat="1">
      <c r="B22" s="111">
        <f t="shared" si="3"/>
        <v>13</v>
      </c>
      <c r="C22" s="132" t="s">
        <v>271</v>
      </c>
      <c r="D22" s="8">
        <v>2022</v>
      </c>
      <c r="E22" s="212" t="s">
        <v>244</v>
      </c>
      <c r="F22" s="8">
        <v>1</v>
      </c>
      <c r="G22" s="8">
        <v>1</v>
      </c>
      <c r="H22" s="8" t="s">
        <v>56</v>
      </c>
      <c r="I22" s="212" t="s">
        <v>56</v>
      </c>
      <c r="J22" s="212" t="s">
        <v>267</v>
      </c>
      <c r="K22" s="131" t="str">
        <f t="shared" si="0"/>
        <v>Brangkas-Ruang Administrasi-2022</v>
      </c>
      <c r="L22" s="8"/>
      <c r="M22" s="18" t="s">
        <v>272</v>
      </c>
      <c r="N22" s="6">
        <v>1</v>
      </c>
      <c r="O22" s="173">
        <v>0</v>
      </c>
      <c r="P22" s="173">
        <v>0</v>
      </c>
      <c r="Q22" s="175">
        <f t="shared" si="1"/>
        <v>1</v>
      </c>
      <c r="R22" s="176">
        <f t="shared" si="2"/>
        <v>0</v>
      </c>
      <c r="S22" s="6"/>
    </row>
    <row r="23" spans="2:19" customFormat="1">
      <c r="B23" s="111">
        <f t="shared" si="3"/>
        <v>14</v>
      </c>
      <c r="C23" s="132" t="s">
        <v>273</v>
      </c>
      <c r="D23" s="7">
        <v>0</v>
      </c>
      <c r="E23" s="212" t="s">
        <v>244</v>
      </c>
      <c r="F23" s="7">
        <v>3</v>
      </c>
      <c r="G23" s="7">
        <v>3</v>
      </c>
      <c r="H23" s="8" t="s">
        <v>56</v>
      </c>
      <c r="I23" s="212" t="s">
        <v>56</v>
      </c>
      <c r="J23" s="212" t="s">
        <v>267</v>
      </c>
      <c r="K23" s="131" t="str">
        <f t="shared" si="0"/>
        <v>Monitor-Ruang Administrasi-0</v>
      </c>
      <c r="L23" s="7"/>
      <c r="M23" s="18" t="s">
        <v>274</v>
      </c>
      <c r="N23" s="6">
        <v>3</v>
      </c>
      <c r="O23" s="173">
        <v>0</v>
      </c>
      <c r="P23" s="173">
        <v>0</v>
      </c>
      <c r="Q23" s="175">
        <f t="shared" si="1"/>
        <v>3</v>
      </c>
      <c r="R23" s="176">
        <f t="shared" si="2"/>
        <v>0</v>
      </c>
      <c r="S23" s="6"/>
    </row>
    <row r="24" spans="2:19" customFormat="1">
      <c r="B24" s="111">
        <f t="shared" si="3"/>
        <v>15</v>
      </c>
      <c r="C24" s="132" t="s">
        <v>275</v>
      </c>
      <c r="D24" s="7">
        <v>2010</v>
      </c>
      <c r="E24" s="212" t="s">
        <v>244</v>
      </c>
      <c r="F24" s="7">
        <v>1</v>
      </c>
      <c r="G24" s="7">
        <v>1</v>
      </c>
      <c r="H24" s="7" t="s">
        <v>56</v>
      </c>
      <c r="I24" s="212" t="s">
        <v>56</v>
      </c>
      <c r="J24" s="212" t="s">
        <v>267</v>
      </c>
      <c r="K24" s="131" t="str">
        <f t="shared" si="0"/>
        <v>Scanner-Ruang Administrasi-2010</v>
      </c>
      <c r="L24" s="7"/>
      <c r="M24" s="18" t="s">
        <v>276</v>
      </c>
      <c r="N24" s="6">
        <v>1</v>
      </c>
      <c r="O24" s="173">
        <v>0</v>
      </c>
      <c r="P24" s="173">
        <v>0</v>
      </c>
      <c r="Q24" s="175">
        <f t="shared" si="1"/>
        <v>1</v>
      </c>
      <c r="R24" s="176">
        <f t="shared" si="2"/>
        <v>0</v>
      </c>
      <c r="S24" s="6"/>
    </row>
    <row r="25" spans="2:19" customFormat="1">
      <c r="B25" s="111">
        <f t="shared" si="3"/>
        <v>16</v>
      </c>
      <c r="C25" s="132" t="s">
        <v>277</v>
      </c>
      <c r="D25" s="7">
        <v>2010</v>
      </c>
      <c r="E25" s="212" t="s">
        <v>244</v>
      </c>
      <c r="F25" s="7">
        <v>5</v>
      </c>
      <c r="G25" s="7">
        <v>5</v>
      </c>
      <c r="H25" s="7" t="s">
        <v>56</v>
      </c>
      <c r="I25" s="212" t="s">
        <v>56</v>
      </c>
      <c r="J25" s="212" t="s">
        <v>267</v>
      </c>
      <c r="K25" s="131" t="str">
        <f t="shared" si="0"/>
        <v>Filling Cabinet-Ruang Administrasi-2010</v>
      </c>
      <c r="L25" s="7"/>
      <c r="M25" s="18" t="s">
        <v>278</v>
      </c>
      <c r="N25" s="6">
        <v>4</v>
      </c>
      <c r="O25" s="173">
        <v>0</v>
      </c>
      <c r="P25" s="6">
        <v>1</v>
      </c>
      <c r="Q25" s="175">
        <f t="shared" si="1"/>
        <v>5</v>
      </c>
      <c r="R25" s="176">
        <f t="shared" si="2"/>
        <v>0</v>
      </c>
      <c r="S25" s="178" t="s">
        <v>279</v>
      </c>
    </row>
    <row r="26" spans="2:19" customFormat="1">
      <c r="B26" s="111">
        <f t="shared" si="3"/>
        <v>17</v>
      </c>
      <c r="C26" s="132" t="s">
        <v>280</v>
      </c>
      <c r="D26" s="7">
        <v>2010</v>
      </c>
      <c r="E26" s="212" t="s">
        <v>244</v>
      </c>
      <c r="F26" s="7">
        <v>4</v>
      </c>
      <c r="G26" s="7">
        <v>4</v>
      </c>
      <c r="H26" s="212" t="s">
        <v>56</v>
      </c>
      <c r="I26" s="212" t="s">
        <v>56</v>
      </c>
      <c r="J26" s="212" t="s">
        <v>267</v>
      </c>
      <c r="K26" s="131" t="str">
        <f t="shared" si="0"/>
        <v>lemari Buku-Ruang Administrasi-2010</v>
      </c>
      <c r="L26" s="7"/>
      <c r="M26" s="18" t="s">
        <v>281</v>
      </c>
      <c r="N26" s="6">
        <v>4</v>
      </c>
      <c r="O26" s="173">
        <v>0</v>
      </c>
      <c r="P26" s="173">
        <v>0</v>
      </c>
      <c r="Q26" s="175">
        <f t="shared" si="1"/>
        <v>4</v>
      </c>
      <c r="R26" s="176">
        <f t="shared" si="2"/>
        <v>0</v>
      </c>
      <c r="S26" s="6"/>
    </row>
    <row r="27" spans="2:19" customFormat="1">
      <c r="B27" s="111">
        <f t="shared" si="3"/>
        <v>18</v>
      </c>
      <c r="C27" s="132" t="s">
        <v>253</v>
      </c>
      <c r="D27" s="8">
        <v>2018</v>
      </c>
      <c r="E27" s="212" t="s">
        <v>244</v>
      </c>
      <c r="F27" s="8">
        <v>3</v>
      </c>
      <c r="G27" s="8">
        <v>3</v>
      </c>
      <c r="H27" s="8" t="s">
        <v>56</v>
      </c>
      <c r="I27" s="212" t="s">
        <v>56</v>
      </c>
      <c r="J27" s="212" t="s">
        <v>267</v>
      </c>
      <c r="K27" s="131" t="str">
        <f t="shared" si="0"/>
        <v>Kursi Merah Futura-Ruang Administrasi-2018</v>
      </c>
      <c r="L27" s="8"/>
      <c r="M27" s="18" t="s">
        <v>282</v>
      </c>
      <c r="N27" s="6">
        <v>2</v>
      </c>
      <c r="O27" s="173">
        <v>0</v>
      </c>
      <c r="P27" s="6">
        <v>1</v>
      </c>
      <c r="Q27" s="175">
        <f t="shared" si="1"/>
        <v>3</v>
      </c>
      <c r="R27" s="176">
        <f t="shared" si="2"/>
        <v>0</v>
      </c>
      <c r="S27" s="178" t="s">
        <v>283</v>
      </c>
    </row>
    <row r="28" spans="2:19" customFormat="1">
      <c r="B28" s="111">
        <f t="shared" si="3"/>
        <v>19</v>
      </c>
      <c r="C28" s="132" t="s">
        <v>256</v>
      </c>
      <c r="D28" s="7">
        <v>2010</v>
      </c>
      <c r="E28" s="212" t="s">
        <v>244</v>
      </c>
      <c r="F28" s="7">
        <v>6</v>
      </c>
      <c r="G28" s="7">
        <v>2</v>
      </c>
      <c r="H28" s="7">
        <v>4</v>
      </c>
      <c r="I28" s="212" t="s">
        <v>56</v>
      </c>
      <c r="J28" s="212" t="s">
        <v>267</v>
      </c>
      <c r="K28" s="131" t="str">
        <f t="shared" si="0"/>
        <v>Kursi Coklat Chitose-Ruang Administrasi-2010</v>
      </c>
      <c r="L28" s="7"/>
      <c r="M28" s="18" t="s">
        <v>284</v>
      </c>
      <c r="N28" s="6">
        <v>2</v>
      </c>
      <c r="O28" s="173">
        <v>0</v>
      </c>
      <c r="P28" s="6">
        <v>4</v>
      </c>
      <c r="Q28" s="175">
        <f t="shared" si="1"/>
        <v>6</v>
      </c>
      <c r="R28" s="176">
        <f t="shared" si="2"/>
        <v>0</v>
      </c>
      <c r="S28" s="178" t="s">
        <v>285</v>
      </c>
    </row>
    <row r="29" spans="2:19" customFormat="1">
      <c r="B29" s="111">
        <f t="shared" si="3"/>
        <v>20</v>
      </c>
      <c r="C29" s="132" t="s">
        <v>286</v>
      </c>
      <c r="D29" s="7">
        <v>2010</v>
      </c>
      <c r="E29" s="7" t="s">
        <v>251</v>
      </c>
      <c r="F29" s="7">
        <v>2</v>
      </c>
      <c r="G29" s="7">
        <v>2</v>
      </c>
      <c r="H29" s="212" t="s">
        <v>56</v>
      </c>
      <c r="I29" s="212" t="s">
        <v>56</v>
      </c>
      <c r="J29" s="212" t="s">
        <v>267</v>
      </c>
      <c r="K29" s="131" t="str">
        <f t="shared" si="0"/>
        <v>Kursi Sofa-Ruang Administrasi-2010</v>
      </c>
      <c r="L29" s="7"/>
      <c r="M29" s="18" t="s">
        <v>287</v>
      </c>
      <c r="N29" s="6">
        <v>2</v>
      </c>
      <c r="O29" s="173">
        <v>0</v>
      </c>
      <c r="P29" s="173">
        <v>0</v>
      </c>
      <c r="Q29" s="175">
        <f t="shared" si="1"/>
        <v>2</v>
      </c>
      <c r="R29" s="176">
        <f t="shared" si="2"/>
        <v>0</v>
      </c>
      <c r="S29" s="6"/>
    </row>
    <row r="30" spans="2:19" customFormat="1">
      <c r="B30" s="111">
        <f t="shared" si="3"/>
        <v>21</v>
      </c>
      <c r="C30" s="132" t="s">
        <v>288</v>
      </c>
      <c r="D30" s="7">
        <v>2010</v>
      </c>
      <c r="E30" s="212" t="s">
        <v>244</v>
      </c>
      <c r="F30" s="7">
        <v>1</v>
      </c>
      <c r="G30" s="7">
        <v>1</v>
      </c>
      <c r="H30" s="212" t="s">
        <v>56</v>
      </c>
      <c r="I30" s="212" t="s">
        <v>56</v>
      </c>
      <c r="J30" s="212" t="s">
        <v>267</v>
      </c>
      <c r="K30" s="131" t="str">
        <f t="shared" si="0"/>
        <v>Celling Fan-Ruang Administrasi-2010</v>
      </c>
      <c r="L30" s="7"/>
      <c r="M30" s="18" t="s">
        <v>289</v>
      </c>
      <c r="N30" s="6">
        <v>1</v>
      </c>
      <c r="O30" s="173">
        <v>0</v>
      </c>
      <c r="P30" s="173">
        <v>0</v>
      </c>
      <c r="Q30" s="175">
        <f t="shared" si="1"/>
        <v>1</v>
      </c>
      <c r="R30" s="176">
        <f t="shared" si="2"/>
        <v>0</v>
      </c>
      <c r="S30" s="6"/>
    </row>
    <row r="31" spans="2:19" customFormat="1">
      <c r="B31" s="111">
        <f t="shared" si="3"/>
        <v>22</v>
      </c>
      <c r="C31" s="132" t="s">
        <v>290</v>
      </c>
      <c r="D31" s="7">
        <v>2022</v>
      </c>
      <c r="E31" s="212" t="s">
        <v>244</v>
      </c>
      <c r="F31" s="7">
        <v>1</v>
      </c>
      <c r="G31" s="7">
        <v>1</v>
      </c>
      <c r="H31" s="212" t="s">
        <v>56</v>
      </c>
      <c r="I31" s="212" t="s">
        <v>56</v>
      </c>
      <c r="J31" s="212" t="s">
        <v>267</v>
      </c>
      <c r="K31" s="131" t="str">
        <f t="shared" si="0"/>
        <v>Finger Print-Ruang Administrasi-2022</v>
      </c>
      <c r="L31" s="7"/>
      <c r="M31" s="18" t="s">
        <v>291</v>
      </c>
      <c r="N31" s="6">
        <v>1</v>
      </c>
      <c r="O31" s="173">
        <v>0</v>
      </c>
      <c r="P31" s="173">
        <v>0</v>
      </c>
      <c r="Q31" s="175">
        <f t="shared" si="1"/>
        <v>1</v>
      </c>
      <c r="R31" s="176">
        <f t="shared" si="2"/>
        <v>0</v>
      </c>
      <c r="S31" s="6"/>
    </row>
    <row r="32" spans="2:19" customFormat="1">
      <c r="B32" s="111">
        <f t="shared" si="3"/>
        <v>23</v>
      </c>
      <c r="C32" s="132" t="s">
        <v>262</v>
      </c>
      <c r="D32" s="7">
        <v>0</v>
      </c>
      <c r="E32" s="212" t="s">
        <v>244</v>
      </c>
      <c r="F32" s="171">
        <v>0</v>
      </c>
      <c r="G32" s="171">
        <v>0</v>
      </c>
      <c r="H32" s="212" t="s">
        <v>56</v>
      </c>
      <c r="I32" s="212" t="s">
        <v>56</v>
      </c>
      <c r="J32" s="212" t="s">
        <v>267</v>
      </c>
      <c r="K32" s="131" t="str">
        <f t="shared" si="0"/>
        <v>Jam Dinding-Ruang Administrasi-0</v>
      </c>
      <c r="L32" s="7"/>
      <c r="M32" s="18" t="s">
        <v>292</v>
      </c>
      <c r="N32" s="173">
        <v>0</v>
      </c>
      <c r="O32" s="173">
        <v>0</v>
      </c>
      <c r="P32" s="173">
        <v>0</v>
      </c>
      <c r="Q32" s="176">
        <f t="shared" si="1"/>
        <v>0</v>
      </c>
      <c r="R32" s="176">
        <f t="shared" si="2"/>
        <v>0</v>
      </c>
      <c r="S32" s="6"/>
    </row>
    <row r="33" spans="2:19" customFormat="1">
      <c r="B33" s="111">
        <f t="shared" si="3"/>
        <v>24</v>
      </c>
      <c r="C33" s="132" t="s">
        <v>264</v>
      </c>
      <c r="D33" s="7">
        <v>2010</v>
      </c>
      <c r="E33" s="212" t="s">
        <v>244</v>
      </c>
      <c r="F33" s="7">
        <v>1</v>
      </c>
      <c r="G33" s="7">
        <v>1</v>
      </c>
      <c r="H33" s="212" t="s">
        <v>56</v>
      </c>
      <c r="I33" s="212" t="s">
        <v>56</v>
      </c>
      <c r="J33" s="212" t="s">
        <v>267</v>
      </c>
      <c r="K33" s="131" t="str">
        <f t="shared" si="0"/>
        <v>Whiteboard-Ruang Administrasi-2010</v>
      </c>
      <c r="L33" s="7"/>
      <c r="M33" s="18" t="s">
        <v>293</v>
      </c>
      <c r="N33" s="6">
        <v>1</v>
      </c>
      <c r="O33" s="173">
        <v>0</v>
      </c>
      <c r="P33" s="173">
        <v>0</v>
      </c>
      <c r="Q33" s="175">
        <f t="shared" si="1"/>
        <v>1</v>
      </c>
      <c r="R33" s="176">
        <f t="shared" si="2"/>
        <v>0</v>
      </c>
      <c r="S33" s="6"/>
    </row>
    <row r="34" spans="2:19" customFormat="1">
      <c r="B34" s="111">
        <f t="shared" si="3"/>
        <v>25</v>
      </c>
      <c r="C34" s="132" t="s">
        <v>294</v>
      </c>
      <c r="D34" s="7">
        <v>2010</v>
      </c>
      <c r="E34" s="212" t="s">
        <v>244</v>
      </c>
      <c r="F34" s="7">
        <v>2</v>
      </c>
      <c r="G34" s="7">
        <v>2</v>
      </c>
      <c r="H34" s="212" t="s">
        <v>56</v>
      </c>
      <c r="I34" s="212" t="s">
        <v>56</v>
      </c>
      <c r="J34" s="212" t="s">
        <v>267</v>
      </c>
      <c r="K34" s="131" t="str">
        <f t="shared" si="0"/>
        <v>Meja Komputer-Ruang Administrasi-2010</v>
      </c>
      <c r="L34" s="7"/>
      <c r="M34" s="18" t="s">
        <v>295</v>
      </c>
      <c r="N34" s="6">
        <v>2</v>
      </c>
      <c r="O34" s="173">
        <v>0</v>
      </c>
      <c r="P34" s="173">
        <v>0</v>
      </c>
      <c r="Q34" s="175">
        <f t="shared" si="1"/>
        <v>2</v>
      </c>
      <c r="R34" s="176">
        <f t="shared" si="2"/>
        <v>0</v>
      </c>
      <c r="S34" s="6"/>
    </row>
    <row r="35" spans="2:19" customFormat="1">
      <c r="B35" s="111">
        <f t="shared" si="3"/>
        <v>26</v>
      </c>
      <c r="C35" s="132" t="s">
        <v>172</v>
      </c>
      <c r="D35" s="7">
        <v>2010</v>
      </c>
      <c r="E35" s="212" t="s">
        <v>244</v>
      </c>
      <c r="F35" s="7">
        <v>4</v>
      </c>
      <c r="G35" s="7">
        <v>4</v>
      </c>
      <c r="H35" s="212" t="s">
        <v>56</v>
      </c>
      <c r="I35" s="212" t="s">
        <v>56</v>
      </c>
      <c r="J35" s="212" t="s">
        <v>296</v>
      </c>
      <c r="K35" s="131" t="str">
        <f t="shared" si="0"/>
        <v>AC-R. Loyality &amp; Integrity-2010</v>
      </c>
      <c r="L35" s="7"/>
      <c r="M35" s="18" t="s">
        <v>297</v>
      </c>
      <c r="N35" s="6">
        <v>4</v>
      </c>
      <c r="O35" s="173">
        <v>0</v>
      </c>
      <c r="P35" s="173">
        <v>0</v>
      </c>
      <c r="Q35" s="175">
        <f t="shared" si="1"/>
        <v>4</v>
      </c>
      <c r="R35" s="176">
        <f t="shared" si="2"/>
        <v>0</v>
      </c>
      <c r="S35" s="6"/>
    </row>
    <row r="36" spans="2:19" customFormat="1">
      <c r="B36" s="111">
        <f t="shared" si="3"/>
        <v>27</v>
      </c>
      <c r="C36" s="132" t="s">
        <v>264</v>
      </c>
      <c r="D36" s="7">
        <v>2010</v>
      </c>
      <c r="E36" s="212" t="s">
        <v>244</v>
      </c>
      <c r="F36" s="7">
        <v>1</v>
      </c>
      <c r="G36" s="7">
        <v>1</v>
      </c>
      <c r="H36" s="212" t="s">
        <v>56</v>
      </c>
      <c r="I36" s="212" t="s">
        <v>56</v>
      </c>
      <c r="J36" s="212" t="s">
        <v>296</v>
      </c>
      <c r="K36" s="131" t="str">
        <f t="shared" si="0"/>
        <v>Whiteboard-R. Loyality &amp; Integrity-2010</v>
      </c>
      <c r="L36" s="7"/>
      <c r="M36" s="18" t="s">
        <v>298</v>
      </c>
      <c r="N36" s="6">
        <v>1</v>
      </c>
      <c r="O36" s="173">
        <v>0</v>
      </c>
      <c r="P36" s="173">
        <v>0</v>
      </c>
      <c r="Q36" s="175">
        <f t="shared" si="1"/>
        <v>1</v>
      </c>
      <c r="R36" s="176">
        <f t="shared" si="2"/>
        <v>0</v>
      </c>
      <c r="S36" s="6"/>
    </row>
    <row r="37" spans="2:19" customFormat="1" ht="29.4" customHeight="1">
      <c r="B37" s="131">
        <f t="shared" si="3"/>
        <v>28</v>
      </c>
      <c r="C37" s="132" t="s">
        <v>253</v>
      </c>
      <c r="D37" s="7">
        <v>2018</v>
      </c>
      <c r="E37" s="212" t="s">
        <v>244</v>
      </c>
      <c r="F37" s="7">
        <f>6+30</f>
        <v>36</v>
      </c>
      <c r="G37" s="7">
        <v>23</v>
      </c>
      <c r="H37" s="7">
        <v>13</v>
      </c>
      <c r="I37" s="212" t="s">
        <v>56</v>
      </c>
      <c r="J37" s="212" t="s">
        <v>296</v>
      </c>
      <c r="K37" s="131" t="str">
        <f t="shared" si="0"/>
        <v>Kursi Merah Futura-R. Loyality &amp; Integrity-2018</v>
      </c>
      <c r="L37" s="7"/>
      <c r="M37" s="18" t="s">
        <v>299</v>
      </c>
      <c r="N37" s="6">
        <v>12</v>
      </c>
      <c r="O37" s="6">
        <v>13</v>
      </c>
      <c r="P37" s="6">
        <v>11</v>
      </c>
      <c r="Q37" s="175">
        <f t="shared" si="1"/>
        <v>36</v>
      </c>
      <c r="R37" s="176">
        <f t="shared" si="2"/>
        <v>0</v>
      </c>
      <c r="S37" s="179" t="s">
        <v>300</v>
      </c>
    </row>
    <row r="38" spans="2:19" customFormat="1">
      <c r="B38" s="111">
        <f t="shared" si="3"/>
        <v>29</v>
      </c>
      <c r="C38" s="132" t="s">
        <v>248</v>
      </c>
      <c r="D38" s="7">
        <v>2010</v>
      </c>
      <c r="E38" s="212" t="s">
        <v>244</v>
      </c>
      <c r="F38" s="7">
        <v>1</v>
      </c>
      <c r="G38" s="7">
        <v>1</v>
      </c>
      <c r="H38" s="212" t="s">
        <v>56</v>
      </c>
      <c r="I38" s="212" t="s">
        <v>56</v>
      </c>
      <c r="J38" s="212" t="s">
        <v>296</v>
      </c>
      <c r="K38" s="131" t="str">
        <f t="shared" si="0"/>
        <v>Meja Panjang-R. Loyality &amp; Integrity-2010</v>
      </c>
      <c r="L38" s="7"/>
      <c r="M38" s="18" t="s">
        <v>301</v>
      </c>
      <c r="N38" s="6">
        <v>1</v>
      </c>
      <c r="O38" s="173">
        <v>0</v>
      </c>
      <c r="P38" s="173">
        <v>0</v>
      </c>
      <c r="Q38" s="175">
        <f t="shared" si="1"/>
        <v>1</v>
      </c>
      <c r="R38" s="176">
        <f t="shared" si="2"/>
        <v>0</v>
      </c>
      <c r="S38" s="6"/>
    </row>
    <row r="39" spans="2:19" customFormat="1">
      <c r="B39" s="111">
        <f t="shared" si="3"/>
        <v>30</v>
      </c>
      <c r="C39" s="132" t="s">
        <v>302</v>
      </c>
      <c r="D39" s="7">
        <v>2018</v>
      </c>
      <c r="E39" s="212" t="s">
        <v>244</v>
      </c>
      <c r="F39" s="7">
        <v>3</v>
      </c>
      <c r="G39" s="7">
        <v>3</v>
      </c>
      <c r="H39" s="212" t="s">
        <v>56</v>
      </c>
      <c r="I39" s="212" t="s">
        <v>56</v>
      </c>
      <c r="J39" s="212" t="s">
        <v>296</v>
      </c>
      <c r="K39" s="131" t="str">
        <f t="shared" si="0"/>
        <v>Meja Kuning-R. Loyality &amp; Integrity-2018</v>
      </c>
      <c r="L39" s="7"/>
      <c r="M39" s="18" t="s">
        <v>303</v>
      </c>
      <c r="N39" s="173">
        <v>0</v>
      </c>
      <c r="O39" s="6">
        <v>1</v>
      </c>
      <c r="P39" s="6">
        <v>2</v>
      </c>
      <c r="Q39" s="175">
        <f t="shared" si="1"/>
        <v>3</v>
      </c>
      <c r="R39" s="176">
        <f t="shared" si="2"/>
        <v>0</v>
      </c>
      <c r="S39" s="178" t="s">
        <v>304</v>
      </c>
    </row>
    <row r="40" spans="2:19" customFormat="1">
      <c r="B40" s="111">
        <f t="shared" si="3"/>
        <v>31</v>
      </c>
      <c r="C40" s="132" t="s">
        <v>305</v>
      </c>
      <c r="D40" s="7">
        <v>2010</v>
      </c>
      <c r="E40" s="212" t="s">
        <v>244</v>
      </c>
      <c r="F40" s="7">
        <v>18</v>
      </c>
      <c r="G40" s="7">
        <v>18</v>
      </c>
      <c r="H40" s="212" t="s">
        <v>56</v>
      </c>
      <c r="I40" s="212" t="s">
        <v>56</v>
      </c>
      <c r="J40" s="212" t="s">
        <v>296</v>
      </c>
      <c r="K40" s="131" t="str">
        <f t="shared" si="0"/>
        <v>Meja Kayu-R. Loyality &amp; Integrity-2010</v>
      </c>
      <c r="L40" s="8"/>
      <c r="M40" s="18" t="s">
        <v>306</v>
      </c>
      <c r="N40" s="6">
        <v>22</v>
      </c>
      <c r="O40" s="173">
        <v>0</v>
      </c>
      <c r="P40" s="173">
        <v>0</v>
      </c>
      <c r="Q40" s="175">
        <f t="shared" si="1"/>
        <v>22</v>
      </c>
      <c r="R40" s="175">
        <f t="shared" si="2"/>
        <v>4</v>
      </c>
      <c r="S40" s="178" t="s">
        <v>307</v>
      </c>
    </row>
    <row r="41" spans="2:19" customFormat="1">
      <c r="B41" s="111">
        <f t="shared" si="3"/>
        <v>32</v>
      </c>
      <c r="C41" s="132" t="s">
        <v>308</v>
      </c>
      <c r="D41" s="7">
        <v>2010</v>
      </c>
      <c r="E41" s="212" t="s">
        <v>244</v>
      </c>
      <c r="F41" s="7">
        <v>20</v>
      </c>
      <c r="G41" s="7">
        <v>20</v>
      </c>
      <c r="H41" s="212" t="s">
        <v>56</v>
      </c>
      <c r="I41" s="212" t="s">
        <v>56</v>
      </c>
      <c r="J41" s="212" t="s">
        <v>296</v>
      </c>
      <c r="K41" s="131" t="str">
        <f t="shared" si="0"/>
        <v>Kursi Lipat Kuliah-R. Loyality &amp; Integrity-2010</v>
      </c>
      <c r="L41" s="8"/>
      <c r="M41" s="18" t="s">
        <v>309</v>
      </c>
      <c r="N41" s="6">
        <v>20</v>
      </c>
      <c r="O41" s="173">
        <v>0</v>
      </c>
      <c r="P41" s="6">
        <v>20</v>
      </c>
      <c r="Q41" s="175">
        <f t="shared" si="1"/>
        <v>40</v>
      </c>
      <c r="R41" s="175">
        <f t="shared" si="2"/>
        <v>20</v>
      </c>
      <c r="S41" s="178" t="s">
        <v>310</v>
      </c>
    </row>
    <row r="42" spans="2:19" customFormat="1">
      <c r="B42" s="111">
        <f t="shared" si="3"/>
        <v>33</v>
      </c>
      <c r="C42" s="132" t="s">
        <v>311</v>
      </c>
      <c r="D42" s="7">
        <v>2010</v>
      </c>
      <c r="E42" s="212" t="s">
        <v>244</v>
      </c>
      <c r="F42" s="7">
        <v>18</v>
      </c>
      <c r="G42" s="7">
        <v>18</v>
      </c>
      <c r="H42" s="212" t="s">
        <v>56</v>
      </c>
      <c r="I42" s="212" t="s">
        <v>56</v>
      </c>
      <c r="J42" s="212" t="s">
        <v>296</v>
      </c>
      <c r="K42" s="131" t="str">
        <f t="shared" si="0"/>
        <v>Kursi Kayu-R. Loyality &amp; Integrity-2010</v>
      </c>
      <c r="L42" s="8"/>
      <c r="M42" s="18" t="s">
        <v>312</v>
      </c>
      <c r="N42" s="6">
        <v>18</v>
      </c>
      <c r="O42" s="173">
        <v>0</v>
      </c>
      <c r="P42" s="6">
        <v>18</v>
      </c>
      <c r="Q42" s="175">
        <f t="shared" si="1"/>
        <v>36</v>
      </c>
      <c r="R42" s="175">
        <f t="shared" si="2"/>
        <v>18</v>
      </c>
      <c r="S42" s="178" t="s">
        <v>313</v>
      </c>
    </row>
    <row r="43" spans="2:19" customFormat="1">
      <c r="B43" s="111">
        <f t="shared" si="3"/>
        <v>34</v>
      </c>
      <c r="C43" s="132" t="s">
        <v>294</v>
      </c>
      <c r="D43" s="7">
        <v>2010</v>
      </c>
      <c r="E43" s="212" t="s">
        <v>244</v>
      </c>
      <c r="F43" s="7">
        <v>7</v>
      </c>
      <c r="G43" s="7">
        <v>7</v>
      </c>
      <c r="H43" s="212" t="s">
        <v>56</v>
      </c>
      <c r="I43" s="212" t="s">
        <v>56</v>
      </c>
      <c r="J43" s="212" t="s">
        <v>296</v>
      </c>
      <c r="K43" s="131" t="str">
        <f t="shared" si="0"/>
        <v>Meja Komputer-R. Loyality &amp; Integrity-2010</v>
      </c>
      <c r="L43" s="7"/>
      <c r="M43" s="18" t="s">
        <v>314</v>
      </c>
      <c r="N43" s="6">
        <v>7</v>
      </c>
      <c r="O43" s="173">
        <v>0</v>
      </c>
      <c r="P43" s="173">
        <v>0</v>
      </c>
      <c r="Q43" s="175">
        <f t="shared" si="1"/>
        <v>7</v>
      </c>
      <c r="R43" s="176">
        <f t="shared" si="2"/>
        <v>0</v>
      </c>
      <c r="S43" s="6"/>
    </row>
    <row r="44" spans="2:19" customFormat="1">
      <c r="B44" s="111">
        <f t="shared" si="3"/>
        <v>35</v>
      </c>
      <c r="C44" s="132" t="s">
        <v>315</v>
      </c>
      <c r="D44" s="7">
        <v>2010</v>
      </c>
      <c r="E44" s="212" t="s">
        <v>244</v>
      </c>
      <c r="F44" s="7">
        <v>3</v>
      </c>
      <c r="G44" s="7">
        <v>3</v>
      </c>
      <c r="H44" s="212" t="s">
        <v>56</v>
      </c>
      <c r="I44" s="212" t="s">
        <v>56</v>
      </c>
      <c r="J44" s="212" t="s">
        <v>296</v>
      </c>
      <c r="K44" s="131" t="str">
        <f t="shared" si="0"/>
        <v>Kursi Putar Chitose-R. Loyality &amp; Integrity-2010</v>
      </c>
      <c r="L44" s="7"/>
      <c r="M44" s="18" t="s">
        <v>316</v>
      </c>
      <c r="N44" s="6">
        <v>3</v>
      </c>
      <c r="O44" s="173">
        <v>0</v>
      </c>
      <c r="P44" s="6">
        <v>1</v>
      </c>
      <c r="Q44" s="175">
        <f t="shared" si="1"/>
        <v>4</v>
      </c>
      <c r="R44" s="175">
        <f t="shared" si="2"/>
        <v>1</v>
      </c>
      <c r="S44" s="178" t="s">
        <v>317</v>
      </c>
    </row>
    <row r="45" spans="2:19" customFormat="1">
      <c r="B45" s="111">
        <f t="shared" si="3"/>
        <v>36</v>
      </c>
      <c r="C45" s="132" t="s">
        <v>318</v>
      </c>
      <c r="D45" s="7">
        <v>2010</v>
      </c>
      <c r="E45" s="212" t="s">
        <v>244</v>
      </c>
      <c r="F45" s="7">
        <v>18</v>
      </c>
      <c r="G45" s="7">
        <v>18</v>
      </c>
      <c r="H45" s="212" t="s">
        <v>56</v>
      </c>
      <c r="I45" s="212" t="s">
        <v>56</v>
      </c>
      <c r="J45" s="212" t="s">
        <v>296</v>
      </c>
      <c r="K45" s="131" t="str">
        <f t="shared" si="0"/>
        <v>Kursi Putar Hitam-R. Loyality &amp; Integrity-2010</v>
      </c>
      <c r="L45" s="7"/>
      <c r="M45" s="18" t="s">
        <v>319</v>
      </c>
      <c r="N45" s="6">
        <v>16</v>
      </c>
      <c r="O45" s="6">
        <v>2</v>
      </c>
      <c r="P45" s="6">
        <v>2</v>
      </c>
      <c r="Q45" s="175">
        <f t="shared" si="1"/>
        <v>20</v>
      </c>
      <c r="R45" s="175">
        <f t="shared" si="2"/>
        <v>2</v>
      </c>
      <c r="S45" s="179" t="s">
        <v>320</v>
      </c>
    </row>
    <row r="46" spans="2:19" customFormat="1">
      <c r="B46" s="111">
        <f t="shared" si="3"/>
        <v>37</v>
      </c>
      <c r="C46" s="132" t="s">
        <v>172</v>
      </c>
      <c r="D46" s="7">
        <v>2010</v>
      </c>
      <c r="E46" s="212" t="s">
        <v>244</v>
      </c>
      <c r="F46" s="7">
        <v>2</v>
      </c>
      <c r="G46" s="7">
        <v>2</v>
      </c>
      <c r="H46" s="212" t="s">
        <v>56</v>
      </c>
      <c r="I46" s="212" t="s">
        <v>56</v>
      </c>
      <c r="J46" s="212" t="s">
        <v>321</v>
      </c>
      <c r="K46" s="131" t="str">
        <f t="shared" si="0"/>
        <v>AC-Ruang Meeting-2010</v>
      </c>
      <c r="L46" s="7"/>
      <c r="M46" s="18" t="s">
        <v>322</v>
      </c>
      <c r="N46" s="6">
        <v>2</v>
      </c>
      <c r="O46" s="173">
        <v>0</v>
      </c>
      <c r="P46" s="173">
        <v>0</v>
      </c>
      <c r="Q46" s="175">
        <f t="shared" si="1"/>
        <v>2</v>
      </c>
      <c r="R46" s="176">
        <f t="shared" si="2"/>
        <v>0</v>
      </c>
      <c r="S46" s="6"/>
    </row>
    <row r="47" spans="2:19" customFormat="1">
      <c r="B47" s="111">
        <f t="shared" si="3"/>
        <v>38</v>
      </c>
      <c r="C47" s="132" t="s">
        <v>264</v>
      </c>
      <c r="D47" s="7">
        <v>2010</v>
      </c>
      <c r="E47" s="212" t="s">
        <v>244</v>
      </c>
      <c r="F47" s="7">
        <v>1</v>
      </c>
      <c r="G47" s="7">
        <v>1</v>
      </c>
      <c r="H47" s="212" t="s">
        <v>56</v>
      </c>
      <c r="I47" s="212" t="s">
        <v>56</v>
      </c>
      <c r="J47" s="212" t="s">
        <v>321</v>
      </c>
      <c r="K47" s="131" t="str">
        <f t="shared" si="0"/>
        <v>Whiteboard-Ruang Meeting-2010</v>
      </c>
      <c r="L47" s="7"/>
      <c r="M47" s="18" t="s">
        <v>323</v>
      </c>
      <c r="N47" s="6">
        <v>2</v>
      </c>
      <c r="O47" s="173">
        <v>0</v>
      </c>
      <c r="P47" s="173">
        <v>0</v>
      </c>
      <c r="Q47" s="175">
        <f t="shared" si="1"/>
        <v>2</v>
      </c>
      <c r="R47" s="177">
        <f t="shared" si="2"/>
        <v>1</v>
      </c>
      <c r="S47" s="178" t="s">
        <v>324</v>
      </c>
    </row>
    <row r="48" spans="2:19" customFormat="1">
      <c r="B48" s="111">
        <f t="shared" si="3"/>
        <v>39</v>
      </c>
      <c r="C48" s="132" t="s">
        <v>325</v>
      </c>
      <c r="D48" s="7">
        <v>2010</v>
      </c>
      <c r="E48" s="212" t="s">
        <v>244</v>
      </c>
      <c r="F48" s="7">
        <v>9</v>
      </c>
      <c r="G48" s="7">
        <v>9</v>
      </c>
      <c r="H48" s="212" t="s">
        <v>56</v>
      </c>
      <c r="I48" s="212" t="s">
        <v>56</v>
      </c>
      <c r="J48" s="212" t="s">
        <v>321</v>
      </c>
      <c r="K48" s="131" t="str">
        <f t="shared" si="0"/>
        <v>Kursi Meeting-Ruang Meeting-2010</v>
      </c>
      <c r="L48" s="7"/>
      <c r="M48" s="18" t="s">
        <v>326</v>
      </c>
      <c r="N48" s="6">
        <v>9</v>
      </c>
      <c r="O48" s="173">
        <v>0</v>
      </c>
      <c r="P48" s="173">
        <v>0</v>
      </c>
      <c r="Q48" s="175">
        <f t="shared" si="1"/>
        <v>9</v>
      </c>
      <c r="R48" s="176">
        <f t="shared" si="2"/>
        <v>0</v>
      </c>
      <c r="S48" s="6"/>
    </row>
    <row r="49" spans="2:19" customFormat="1">
      <c r="B49" s="111">
        <f t="shared" si="3"/>
        <v>40</v>
      </c>
      <c r="C49" s="132" t="s">
        <v>327</v>
      </c>
      <c r="D49" s="7">
        <v>2010</v>
      </c>
      <c r="E49" s="212" t="s">
        <v>244</v>
      </c>
      <c r="F49" s="7">
        <v>1</v>
      </c>
      <c r="G49" s="7">
        <v>1</v>
      </c>
      <c r="H49" s="212" t="s">
        <v>56</v>
      </c>
      <c r="I49" s="212" t="s">
        <v>56</v>
      </c>
      <c r="J49" s="212" t="s">
        <v>321</v>
      </c>
      <c r="K49" s="131" t="str">
        <f t="shared" si="0"/>
        <v>Meja Meeting-Ruang Meeting-2010</v>
      </c>
      <c r="L49" s="7"/>
      <c r="M49" s="18" t="s">
        <v>328</v>
      </c>
      <c r="N49" s="6">
        <v>1</v>
      </c>
      <c r="O49" s="173">
        <v>0</v>
      </c>
      <c r="P49" s="173">
        <v>0</v>
      </c>
      <c r="Q49" s="175">
        <f t="shared" si="1"/>
        <v>1</v>
      </c>
      <c r="R49" s="176">
        <f t="shared" si="2"/>
        <v>0</v>
      </c>
      <c r="S49" s="6"/>
    </row>
    <row r="50" spans="2:19" customFormat="1">
      <c r="B50" s="111">
        <f t="shared" si="3"/>
        <v>41</v>
      </c>
      <c r="C50" s="132" t="s">
        <v>302</v>
      </c>
      <c r="D50" s="7">
        <v>2018</v>
      </c>
      <c r="E50" s="212" t="s">
        <v>244</v>
      </c>
      <c r="F50" s="7">
        <v>1</v>
      </c>
      <c r="G50" s="7">
        <v>1</v>
      </c>
      <c r="H50" s="212" t="s">
        <v>56</v>
      </c>
      <c r="I50" s="212" t="s">
        <v>56</v>
      </c>
      <c r="J50" s="212" t="s">
        <v>321</v>
      </c>
      <c r="K50" s="131" t="str">
        <f t="shared" si="0"/>
        <v>Meja Kuning-Ruang Meeting-2018</v>
      </c>
      <c r="L50" s="7"/>
      <c r="M50" s="18" t="s">
        <v>329</v>
      </c>
      <c r="N50" s="6">
        <v>1</v>
      </c>
      <c r="O50" s="173">
        <v>0</v>
      </c>
      <c r="P50" s="173">
        <v>0</v>
      </c>
      <c r="Q50" s="175">
        <f t="shared" si="1"/>
        <v>1</v>
      </c>
      <c r="R50" s="176">
        <f t="shared" si="2"/>
        <v>0</v>
      </c>
      <c r="S50" s="6"/>
    </row>
    <row r="51" spans="2:19" customFormat="1">
      <c r="B51" s="111">
        <f t="shared" si="3"/>
        <v>42</v>
      </c>
      <c r="C51" s="130" t="s">
        <v>288</v>
      </c>
      <c r="D51" s="7">
        <v>2010</v>
      </c>
      <c r="E51" s="212" t="s">
        <v>244</v>
      </c>
      <c r="F51" s="7">
        <v>1</v>
      </c>
      <c r="G51" s="7">
        <v>1</v>
      </c>
      <c r="H51" s="212" t="s">
        <v>56</v>
      </c>
      <c r="I51" s="212" t="s">
        <v>56</v>
      </c>
      <c r="J51" s="212" t="s">
        <v>321</v>
      </c>
      <c r="K51" s="131" t="str">
        <f t="shared" si="0"/>
        <v>Celling Fan-Ruang Meeting-2010</v>
      </c>
      <c r="L51" s="7"/>
      <c r="M51" s="18" t="s">
        <v>330</v>
      </c>
      <c r="N51" s="6">
        <v>1</v>
      </c>
      <c r="O51" s="173">
        <v>0</v>
      </c>
      <c r="P51" s="173">
        <v>0</v>
      </c>
      <c r="Q51" s="175">
        <f t="shared" si="1"/>
        <v>1</v>
      </c>
      <c r="R51" s="176">
        <f t="shared" si="2"/>
        <v>0</v>
      </c>
      <c r="S51" s="6"/>
    </row>
    <row r="52" spans="2:19" customFormat="1">
      <c r="B52" s="111">
        <f t="shared" si="3"/>
        <v>43</v>
      </c>
      <c r="C52" s="130" t="s">
        <v>172</v>
      </c>
      <c r="D52" s="7">
        <v>2010</v>
      </c>
      <c r="E52" s="212" t="s">
        <v>244</v>
      </c>
      <c r="F52" s="7">
        <v>1</v>
      </c>
      <c r="G52" s="7">
        <v>1</v>
      </c>
      <c r="H52" s="212" t="s">
        <v>56</v>
      </c>
      <c r="I52" s="212" t="s">
        <v>56</v>
      </c>
      <c r="J52" s="212" t="s">
        <v>331</v>
      </c>
      <c r="K52" s="131" t="str">
        <f t="shared" si="0"/>
        <v>AC-Ruang Office-Meeting-2010</v>
      </c>
      <c r="L52" s="7"/>
      <c r="M52" s="18" t="s">
        <v>332</v>
      </c>
      <c r="N52" s="6">
        <v>1</v>
      </c>
      <c r="O52" s="173">
        <v>0</v>
      </c>
      <c r="P52" s="173">
        <v>0</v>
      </c>
      <c r="Q52" s="175">
        <f t="shared" si="1"/>
        <v>1</v>
      </c>
      <c r="R52" s="176">
        <f t="shared" si="2"/>
        <v>0</v>
      </c>
      <c r="S52" s="6"/>
    </row>
    <row r="53" spans="2:19" customFormat="1">
      <c r="B53" s="111">
        <f t="shared" si="3"/>
        <v>44</v>
      </c>
      <c r="C53" s="130" t="s">
        <v>333</v>
      </c>
      <c r="D53" s="7">
        <v>2022</v>
      </c>
      <c r="E53" s="212" t="s">
        <v>244</v>
      </c>
      <c r="F53" s="7">
        <v>1</v>
      </c>
      <c r="G53" s="7">
        <v>1</v>
      </c>
      <c r="H53" s="212" t="s">
        <v>56</v>
      </c>
      <c r="I53" s="212" t="s">
        <v>56</v>
      </c>
      <c r="J53" s="212" t="s">
        <v>331</v>
      </c>
      <c r="K53" s="131" t="str">
        <f t="shared" si="0"/>
        <v>TV LCD Samsung-Ruang Office-Meeting-2022</v>
      </c>
      <c r="L53" s="7"/>
      <c r="M53" s="18" t="s">
        <v>334</v>
      </c>
      <c r="N53" s="6">
        <v>1</v>
      </c>
      <c r="O53" s="173">
        <v>0</v>
      </c>
      <c r="P53" s="173">
        <v>0</v>
      </c>
      <c r="Q53" s="175">
        <f t="shared" si="1"/>
        <v>1</v>
      </c>
      <c r="R53" s="176">
        <f t="shared" si="2"/>
        <v>0</v>
      </c>
      <c r="S53" s="6"/>
    </row>
    <row r="54" spans="2:19" customFormat="1">
      <c r="B54" s="111">
        <f t="shared" si="3"/>
        <v>45</v>
      </c>
      <c r="C54" s="130" t="s">
        <v>271</v>
      </c>
      <c r="D54" s="7">
        <v>2010</v>
      </c>
      <c r="E54" s="212" t="s">
        <v>244</v>
      </c>
      <c r="F54" s="7">
        <v>1</v>
      </c>
      <c r="G54" s="7">
        <v>1</v>
      </c>
      <c r="H54" s="212" t="s">
        <v>56</v>
      </c>
      <c r="I54" s="212" t="s">
        <v>56</v>
      </c>
      <c r="J54" s="212" t="s">
        <v>331</v>
      </c>
      <c r="K54" s="131" t="str">
        <f t="shared" si="0"/>
        <v>Brangkas-Ruang Office-Meeting-2010</v>
      </c>
      <c r="L54" s="7"/>
      <c r="M54" s="18" t="s">
        <v>335</v>
      </c>
      <c r="N54" s="6">
        <v>1</v>
      </c>
      <c r="O54" s="173">
        <v>0</v>
      </c>
      <c r="P54" s="173">
        <v>0</v>
      </c>
      <c r="Q54" s="175">
        <f t="shared" si="1"/>
        <v>1</v>
      </c>
      <c r="R54" s="176">
        <f t="shared" si="2"/>
        <v>0</v>
      </c>
      <c r="S54" s="6"/>
    </row>
    <row r="55" spans="2:19" customFormat="1">
      <c r="B55" s="111">
        <f t="shared" si="3"/>
        <v>46</v>
      </c>
      <c r="C55" s="130" t="s">
        <v>248</v>
      </c>
      <c r="D55" s="7">
        <v>2010</v>
      </c>
      <c r="E55" s="212" t="s">
        <v>244</v>
      </c>
      <c r="F55" s="7">
        <v>3</v>
      </c>
      <c r="G55" s="7">
        <v>3</v>
      </c>
      <c r="H55" s="212" t="s">
        <v>56</v>
      </c>
      <c r="I55" s="212" t="s">
        <v>56</v>
      </c>
      <c r="J55" s="212" t="s">
        <v>331</v>
      </c>
      <c r="K55" s="131" t="str">
        <f t="shared" si="0"/>
        <v>Meja Panjang-Ruang Office-Meeting-2010</v>
      </c>
      <c r="L55" s="7"/>
      <c r="M55" s="18" t="s">
        <v>336</v>
      </c>
      <c r="N55" s="6">
        <v>2</v>
      </c>
      <c r="O55" s="173">
        <v>0</v>
      </c>
      <c r="P55" s="6">
        <v>1</v>
      </c>
      <c r="Q55" s="175">
        <f t="shared" si="1"/>
        <v>3</v>
      </c>
      <c r="R55" s="176">
        <f t="shared" si="2"/>
        <v>0</v>
      </c>
      <c r="S55" s="178" t="s">
        <v>337</v>
      </c>
    </row>
    <row r="56" spans="2:19" customFormat="1">
      <c r="B56" s="111">
        <f t="shared" si="3"/>
        <v>47</v>
      </c>
      <c r="C56" s="130" t="s">
        <v>253</v>
      </c>
      <c r="D56" s="7">
        <v>2018</v>
      </c>
      <c r="E56" s="212" t="s">
        <v>244</v>
      </c>
      <c r="F56" s="7">
        <v>4</v>
      </c>
      <c r="G56" s="7">
        <v>4</v>
      </c>
      <c r="H56" s="212" t="s">
        <v>56</v>
      </c>
      <c r="I56" s="212" t="s">
        <v>56</v>
      </c>
      <c r="J56" s="212" t="s">
        <v>331</v>
      </c>
      <c r="K56" s="131" t="str">
        <f t="shared" si="0"/>
        <v>Kursi Merah Futura-Ruang Office-Meeting-2018</v>
      </c>
      <c r="L56" s="7"/>
      <c r="M56" s="18" t="s">
        <v>338</v>
      </c>
      <c r="N56" s="6">
        <v>9</v>
      </c>
      <c r="O56" s="173">
        <v>0</v>
      </c>
      <c r="P56" s="173">
        <v>0</v>
      </c>
      <c r="Q56" s="175">
        <f t="shared" si="1"/>
        <v>9</v>
      </c>
      <c r="R56" s="175">
        <f t="shared" si="2"/>
        <v>5</v>
      </c>
      <c r="S56" s="6"/>
    </row>
    <row r="57" spans="2:19" customFormat="1">
      <c r="B57" s="111">
        <f t="shared" si="3"/>
        <v>48</v>
      </c>
      <c r="C57" s="130" t="s">
        <v>315</v>
      </c>
      <c r="D57" s="7">
        <v>2010</v>
      </c>
      <c r="E57" s="212" t="s">
        <v>244</v>
      </c>
      <c r="F57" s="7">
        <v>2</v>
      </c>
      <c r="G57" s="7">
        <v>2</v>
      </c>
      <c r="H57" s="212" t="s">
        <v>56</v>
      </c>
      <c r="I57" s="212" t="s">
        <v>56</v>
      </c>
      <c r="J57" s="212" t="s">
        <v>331</v>
      </c>
      <c r="K57" s="131" t="str">
        <f t="shared" si="0"/>
        <v>Kursi Putar Chitose-Ruang Office-Meeting-2010</v>
      </c>
      <c r="L57" s="7"/>
      <c r="M57" s="18" t="s">
        <v>339</v>
      </c>
      <c r="N57" s="6">
        <v>2</v>
      </c>
      <c r="O57" s="173">
        <v>0</v>
      </c>
      <c r="P57" s="173">
        <v>0</v>
      </c>
      <c r="Q57" s="175">
        <f t="shared" si="1"/>
        <v>2</v>
      </c>
      <c r="R57" s="176">
        <f t="shared" si="2"/>
        <v>0</v>
      </c>
      <c r="S57" s="6"/>
    </row>
    <row r="58" spans="2:19" customFormat="1">
      <c r="B58" s="111">
        <f t="shared" si="3"/>
        <v>49</v>
      </c>
      <c r="C58" s="130" t="s">
        <v>286</v>
      </c>
      <c r="D58" s="7">
        <v>2010</v>
      </c>
      <c r="E58" s="212" t="s">
        <v>251</v>
      </c>
      <c r="F58" s="7">
        <v>1</v>
      </c>
      <c r="G58" s="7">
        <v>1</v>
      </c>
      <c r="H58" s="212" t="s">
        <v>56</v>
      </c>
      <c r="I58" s="212" t="s">
        <v>56</v>
      </c>
      <c r="J58" s="212" t="s">
        <v>331</v>
      </c>
      <c r="K58" s="131" t="str">
        <f t="shared" si="0"/>
        <v>Kursi Sofa-Ruang Office-Meeting-2010</v>
      </c>
      <c r="L58" s="7"/>
      <c r="M58" s="18" t="s">
        <v>340</v>
      </c>
      <c r="N58" s="6">
        <v>1</v>
      </c>
      <c r="O58" s="173">
        <v>0</v>
      </c>
      <c r="P58" s="173">
        <v>0</v>
      </c>
      <c r="Q58" s="175">
        <f t="shared" si="1"/>
        <v>1</v>
      </c>
      <c r="R58" s="176">
        <f t="shared" si="2"/>
        <v>0</v>
      </c>
      <c r="S58" s="6"/>
    </row>
    <row r="59" spans="2:19" customFormat="1">
      <c r="B59" s="111">
        <f t="shared" si="3"/>
        <v>50</v>
      </c>
      <c r="C59" s="130" t="s">
        <v>341</v>
      </c>
      <c r="D59" s="7">
        <v>2010</v>
      </c>
      <c r="E59" s="212" t="s">
        <v>244</v>
      </c>
      <c r="F59" s="7">
        <v>1</v>
      </c>
      <c r="G59" s="7">
        <v>1</v>
      </c>
      <c r="H59" s="212" t="s">
        <v>56</v>
      </c>
      <c r="I59" s="212" t="s">
        <v>56</v>
      </c>
      <c r="J59" s="212" t="s">
        <v>331</v>
      </c>
      <c r="K59" s="131" t="str">
        <f t="shared" si="0"/>
        <v>Amplifier-Ruang Office-Meeting-2010</v>
      </c>
      <c r="L59" s="7"/>
      <c r="M59" s="18" t="s">
        <v>342</v>
      </c>
      <c r="N59" s="6">
        <v>1</v>
      </c>
      <c r="O59" s="173">
        <v>0</v>
      </c>
      <c r="P59" s="173">
        <v>0</v>
      </c>
      <c r="Q59" s="175">
        <f t="shared" si="1"/>
        <v>1</v>
      </c>
      <c r="R59" s="176">
        <f t="shared" si="2"/>
        <v>0</v>
      </c>
      <c r="S59" s="6"/>
    </row>
    <row r="60" spans="2:19" customFormat="1">
      <c r="B60" s="111">
        <f t="shared" si="3"/>
        <v>51</v>
      </c>
      <c r="C60" s="130" t="s">
        <v>343</v>
      </c>
      <c r="D60" s="7">
        <v>2010</v>
      </c>
      <c r="E60" s="212" t="s">
        <v>244</v>
      </c>
      <c r="F60" s="7">
        <v>1</v>
      </c>
      <c r="G60" s="7">
        <v>1</v>
      </c>
      <c r="H60" s="212" t="s">
        <v>56</v>
      </c>
      <c r="I60" s="212" t="s">
        <v>56</v>
      </c>
      <c r="J60" s="212" t="s">
        <v>331</v>
      </c>
      <c r="K60" s="131" t="str">
        <f t="shared" si="0"/>
        <v>Cermin-Ruang Office-Meeting-2010</v>
      </c>
      <c r="L60" s="7"/>
      <c r="M60" s="18" t="s">
        <v>344</v>
      </c>
      <c r="N60" s="6">
        <v>1</v>
      </c>
      <c r="O60" s="173">
        <v>0</v>
      </c>
      <c r="P60" s="173">
        <v>0</v>
      </c>
      <c r="Q60" s="175">
        <f t="shared" si="1"/>
        <v>1</v>
      </c>
      <c r="R60" s="176">
        <f t="shared" si="2"/>
        <v>0</v>
      </c>
      <c r="S60" s="6"/>
    </row>
    <row r="61" spans="2:19" customFormat="1">
      <c r="B61" s="111">
        <f t="shared" si="3"/>
        <v>52</v>
      </c>
      <c r="C61" s="130" t="s">
        <v>262</v>
      </c>
      <c r="D61" s="7">
        <v>0</v>
      </c>
      <c r="E61" s="212" t="s">
        <v>244</v>
      </c>
      <c r="F61" s="7">
        <v>1</v>
      </c>
      <c r="G61" s="7">
        <v>1</v>
      </c>
      <c r="H61" s="212" t="s">
        <v>56</v>
      </c>
      <c r="I61" s="212" t="s">
        <v>56</v>
      </c>
      <c r="J61" s="212" t="s">
        <v>331</v>
      </c>
      <c r="K61" s="131" t="str">
        <f t="shared" si="0"/>
        <v>Jam Dinding-Ruang Office-Meeting-0</v>
      </c>
      <c r="L61" s="7"/>
      <c r="M61" s="18" t="s">
        <v>345</v>
      </c>
      <c r="N61" s="6">
        <v>1</v>
      </c>
      <c r="O61" s="173">
        <v>0</v>
      </c>
      <c r="P61" s="173">
        <v>0</v>
      </c>
      <c r="Q61" s="175">
        <f t="shared" si="1"/>
        <v>1</v>
      </c>
      <c r="R61" s="176">
        <f t="shared" si="2"/>
        <v>0</v>
      </c>
      <c r="S61" s="6"/>
    </row>
    <row r="62" spans="2:19" customFormat="1">
      <c r="B62" s="111">
        <f t="shared" si="3"/>
        <v>53</v>
      </c>
      <c r="C62" s="130" t="s">
        <v>346</v>
      </c>
      <c r="D62" s="7">
        <v>2010</v>
      </c>
      <c r="E62" s="212" t="s">
        <v>244</v>
      </c>
      <c r="F62" s="7">
        <v>1</v>
      </c>
      <c r="G62" s="7">
        <v>1</v>
      </c>
      <c r="H62" s="212" t="s">
        <v>56</v>
      </c>
      <c r="I62" s="212" t="s">
        <v>56</v>
      </c>
      <c r="J62" s="212" t="s">
        <v>331</v>
      </c>
      <c r="K62" s="131" t="str">
        <f t="shared" si="0"/>
        <v>Meja Bulat Kecil-Ruang Office-Meeting-2010</v>
      </c>
      <c r="L62" s="7"/>
      <c r="M62" s="18" t="s">
        <v>347</v>
      </c>
      <c r="N62" s="6">
        <v>1</v>
      </c>
      <c r="O62" s="173">
        <v>0</v>
      </c>
      <c r="P62" s="173">
        <v>0</v>
      </c>
      <c r="Q62" s="175">
        <f t="shared" si="1"/>
        <v>1</v>
      </c>
      <c r="R62" s="176">
        <f t="shared" si="2"/>
        <v>0</v>
      </c>
      <c r="S62" s="6"/>
    </row>
    <row r="63" spans="2:19" customFormat="1">
      <c r="B63" s="111">
        <f t="shared" si="3"/>
        <v>54</v>
      </c>
      <c r="C63" s="130" t="s">
        <v>264</v>
      </c>
      <c r="D63" s="7">
        <v>2010</v>
      </c>
      <c r="E63" s="212" t="s">
        <v>244</v>
      </c>
      <c r="F63" s="7">
        <v>1</v>
      </c>
      <c r="G63" s="7">
        <v>1</v>
      </c>
      <c r="H63" s="212" t="s">
        <v>56</v>
      </c>
      <c r="I63" s="212" t="s">
        <v>56</v>
      </c>
      <c r="J63" s="212" t="s">
        <v>331</v>
      </c>
      <c r="K63" s="131" t="str">
        <f t="shared" si="0"/>
        <v>Whiteboard-Ruang Office-Meeting-2010</v>
      </c>
      <c r="L63" s="7"/>
      <c r="M63" s="18" t="s">
        <v>348</v>
      </c>
      <c r="N63" s="6">
        <v>1</v>
      </c>
      <c r="O63" s="173">
        <v>0</v>
      </c>
      <c r="P63" s="173">
        <v>0</v>
      </c>
      <c r="Q63" s="175">
        <f t="shared" si="1"/>
        <v>1</v>
      </c>
      <c r="R63" s="176">
        <f t="shared" si="2"/>
        <v>0</v>
      </c>
      <c r="S63" s="6"/>
    </row>
    <row r="64" spans="2:19" customFormat="1">
      <c r="B64" s="111">
        <f t="shared" si="3"/>
        <v>55</v>
      </c>
      <c r="C64" s="130" t="s">
        <v>349</v>
      </c>
      <c r="D64" s="7">
        <v>2022</v>
      </c>
      <c r="E64" s="212" t="s">
        <v>244</v>
      </c>
      <c r="F64" s="7">
        <v>1</v>
      </c>
      <c r="G64" s="7">
        <v>1</v>
      </c>
      <c r="H64" s="212" t="s">
        <v>56</v>
      </c>
      <c r="I64" s="212" t="s">
        <v>56</v>
      </c>
      <c r="J64" s="212" t="s">
        <v>350</v>
      </c>
      <c r="K64" s="131" t="str">
        <f t="shared" si="0"/>
        <v>Dispenser-Ruang Office-Direktur-2022</v>
      </c>
      <c r="L64" s="7"/>
      <c r="M64" s="18" t="s">
        <v>351</v>
      </c>
      <c r="N64" s="6">
        <v>1</v>
      </c>
      <c r="O64" s="173">
        <v>0</v>
      </c>
      <c r="P64" s="173">
        <v>0</v>
      </c>
      <c r="Q64" s="175">
        <f t="shared" si="1"/>
        <v>1</v>
      </c>
      <c r="R64" s="176">
        <f t="shared" si="2"/>
        <v>0</v>
      </c>
      <c r="S64" s="6"/>
    </row>
    <row r="65" spans="2:19" customFormat="1">
      <c r="B65" s="111">
        <f t="shared" si="3"/>
        <v>56</v>
      </c>
      <c r="C65" s="130" t="s">
        <v>172</v>
      </c>
      <c r="D65" s="7">
        <v>2010</v>
      </c>
      <c r="E65" s="212" t="s">
        <v>244</v>
      </c>
      <c r="F65" s="7">
        <v>1</v>
      </c>
      <c r="G65" s="7">
        <v>1</v>
      </c>
      <c r="H65" s="212" t="s">
        <v>56</v>
      </c>
      <c r="I65" s="212" t="s">
        <v>56</v>
      </c>
      <c r="J65" s="212" t="s">
        <v>350</v>
      </c>
      <c r="K65" s="131" t="str">
        <f t="shared" si="0"/>
        <v>AC-Ruang Office-Direktur-2010</v>
      </c>
      <c r="L65" s="7"/>
      <c r="M65" s="18" t="s">
        <v>352</v>
      </c>
      <c r="N65" s="6">
        <v>1</v>
      </c>
      <c r="O65" s="173">
        <v>0</v>
      </c>
      <c r="P65" s="173">
        <v>0</v>
      </c>
      <c r="Q65" s="175">
        <f t="shared" si="1"/>
        <v>1</v>
      </c>
      <c r="R65" s="176">
        <f t="shared" si="2"/>
        <v>0</v>
      </c>
      <c r="S65" s="6"/>
    </row>
    <row r="66" spans="2:19" customFormat="1">
      <c r="B66" s="111">
        <f t="shared" si="3"/>
        <v>57</v>
      </c>
      <c r="C66" s="130" t="s">
        <v>353</v>
      </c>
      <c r="D66" s="7">
        <v>2010</v>
      </c>
      <c r="E66" s="212" t="s">
        <v>244</v>
      </c>
      <c r="F66" s="7">
        <v>1</v>
      </c>
      <c r="G66" s="7">
        <v>1</v>
      </c>
      <c r="H66" s="212" t="s">
        <v>56</v>
      </c>
      <c r="I66" s="212" t="s">
        <v>56</v>
      </c>
      <c r="J66" s="212" t="s">
        <v>350</v>
      </c>
      <c r="K66" s="131" t="str">
        <f t="shared" si="0"/>
        <v>Meja Kerja-Ruang Office-Direktur-2010</v>
      </c>
      <c r="L66" s="7"/>
      <c r="M66" s="18" t="s">
        <v>354</v>
      </c>
      <c r="N66" s="6">
        <v>1</v>
      </c>
      <c r="O66" s="173">
        <v>0</v>
      </c>
      <c r="P66" s="173">
        <v>0</v>
      </c>
      <c r="Q66" s="175">
        <f t="shared" si="1"/>
        <v>1</v>
      </c>
      <c r="R66" s="176">
        <f t="shared" si="2"/>
        <v>0</v>
      </c>
      <c r="S66" s="6"/>
    </row>
    <row r="67" spans="2:19" customFormat="1">
      <c r="B67" s="111">
        <f t="shared" si="3"/>
        <v>58</v>
      </c>
      <c r="C67" s="130" t="s">
        <v>346</v>
      </c>
      <c r="D67" s="7">
        <v>2010</v>
      </c>
      <c r="E67" s="212" t="s">
        <v>244</v>
      </c>
      <c r="F67" s="7">
        <v>4</v>
      </c>
      <c r="G67" s="7">
        <v>4</v>
      </c>
      <c r="H67" s="212" t="s">
        <v>56</v>
      </c>
      <c r="I67" s="212" t="s">
        <v>56</v>
      </c>
      <c r="J67" s="212" t="s">
        <v>350</v>
      </c>
      <c r="K67" s="131" t="str">
        <f t="shared" si="0"/>
        <v>Meja Bulat Kecil-Ruang Office-Direktur-2010</v>
      </c>
      <c r="L67" s="7"/>
      <c r="M67" s="18" t="s">
        <v>355</v>
      </c>
      <c r="N67" s="6">
        <v>3</v>
      </c>
      <c r="O67" s="173">
        <v>0</v>
      </c>
      <c r="P67" s="6">
        <v>1</v>
      </c>
      <c r="Q67" s="175">
        <f t="shared" si="1"/>
        <v>4</v>
      </c>
      <c r="R67" s="176">
        <f t="shared" si="2"/>
        <v>0</v>
      </c>
      <c r="S67" s="178" t="s">
        <v>356</v>
      </c>
    </row>
    <row r="68" spans="2:19" customFormat="1">
      <c r="B68" s="111">
        <f t="shared" si="3"/>
        <v>59</v>
      </c>
      <c r="C68" s="130" t="s">
        <v>256</v>
      </c>
      <c r="D68" s="7">
        <v>2010</v>
      </c>
      <c r="E68" s="212" t="s">
        <v>244</v>
      </c>
      <c r="F68" s="7">
        <v>3</v>
      </c>
      <c r="G68" s="7">
        <v>3</v>
      </c>
      <c r="H68" s="212" t="s">
        <v>56</v>
      </c>
      <c r="I68" s="212" t="s">
        <v>56</v>
      </c>
      <c r="J68" s="212" t="s">
        <v>350</v>
      </c>
      <c r="K68" s="131" t="str">
        <f t="shared" si="0"/>
        <v>Kursi Coklat Chitose-Ruang Office-Direktur-2010</v>
      </c>
      <c r="L68" s="7"/>
      <c r="M68" s="18" t="s">
        <v>357</v>
      </c>
      <c r="N68" s="6">
        <v>3</v>
      </c>
      <c r="O68" s="173">
        <v>0</v>
      </c>
      <c r="P68" s="173">
        <v>0</v>
      </c>
      <c r="Q68" s="175">
        <f t="shared" si="1"/>
        <v>3</v>
      </c>
      <c r="R68" s="176">
        <f t="shared" si="2"/>
        <v>0</v>
      </c>
      <c r="S68" s="6"/>
    </row>
    <row r="69" spans="2:19" customFormat="1">
      <c r="B69" s="111">
        <f t="shared" si="3"/>
        <v>60</v>
      </c>
      <c r="C69" s="130" t="s">
        <v>358</v>
      </c>
      <c r="D69" s="7">
        <v>2010</v>
      </c>
      <c r="E69" s="212" t="s">
        <v>244</v>
      </c>
      <c r="F69" s="7">
        <v>2</v>
      </c>
      <c r="G69" s="7">
        <v>2</v>
      </c>
      <c r="H69" s="212" t="s">
        <v>56</v>
      </c>
      <c r="I69" s="212" t="s">
        <v>56</v>
      </c>
      <c r="J69" s="212" t="s">
        <v>350</v>
      </c>
      <c r="K69" s="131" t="str">
        <f t="shared" si="0"/>
        <v>Kursi Biru-Ruang Office-Direktur-2010</v>
      </c>
      <c r="L69" s="7"/>
      <c r="M69" s="18" t="s">
        <v>359</v>
      </c>
      <c r="N69" s="6">
        <v>2</v>
      </c>
      <c r="O69" s="173">
        <v>0</v>
      </c>
      <c r="P69" s="173">
        <v>0</v>
      </c>
      <c r="Q69" s="175">
        <f t="shared" si="1"/>
        <v>2</v>
      </c>
      <c r="R69" s="176">
        <f t="shared" si="2"/>
        <v>0</v>
      </c>
      <c r="S69" s="6"/>
    </row>
    <row r="70" spans="2:19" customFormat="1">
      <c r="B70" s="111">
        <f t="shared" si="3"/>
        <v>61</v>
      </c>
      <c r="C70" s="130" t="s">
        <v>360</v>
      </c>
      <c r="D70" s="7">
        <v>2010</v>
      </c>
      <c r="E70" s="212" t="s">
        <v>244</v>
      </c>
      <c r="F70" s="7">
        <v>1</v>
      </c>
      <c r="G70" s="7">
        <v>1</v>
      </c>
      <c r="H70" s="212" t="s">
        <v>56</v>
      </c>
      <c r="I70" s="212" t="s">
        <v>56</v>
      </c>
      <c r="J70" s="212" t="s">
        <v>350</v>
      </c>
      <c r="K70" s="131" t="str">
        <f t="shared" si="0"/>
        <v>Kursi Bir-Ruang Office-Direktur-2010</v>
      </c>
      <c r="L70" s="7"/>
      <c r="M70" s="18" t="s">
        <v>361</v>
      </c>
      <c r="N70" s="6">
        <v>1</v>
      </c>
      <c r="O70" s="173">
        <v>0</v>
      </c>
      <c r="P70" s="173">
        <v>0</v>
      </c>
      <c r="Q70" s="175">
        <f t="shared" si="1"/>
        <v>1</v>
      </c>
      <c r="R70" s="176">
        <f t="shared" si="2"/>
        <v>0</v>
      </c>
      <c r="S70" s="6"/>
    </row>
    <row r="71" spans="2:19" customFormat="1">
      <c r="B71" s="111">
        <f t="shared" si="3"/>
        <v>62</v>
      </c>
      <c r="C71" s="130" t="s">
        <v>264</v>
      </c>
      <c r="D71" s="7">
        <v>2010</v>
      </c>
      <c r="E71" s="212" t="s">
        <v>244</v>
      </c>
      <c r="F71" s="7">
        <v>1</v>
      </c>
      <c r="G71" s="7">
        <v>1</v>
      </c>
      <c r="H71" s="212" t="s">
        <v>56</v>
      </c>
      <c r="I71" s="212" t="s">
        <v>56</v>
      </c>
      <c r="J71" s="212" t="s">
        <v>350</v>
      </c>
      <c r="K71" s="131" t="str">
        <f t="shared" si="0"/>
        <v>Whiteboard-Ruang Office-Direktur-2010</v>
      </c>
      <c r="L71" s="7"/>
      <c r="M71" s="18" t="s">
        <v>362</v>
      </c>
      <c r="N71" s="6">
        <v>1</v>
      </c>
      <c r="O71" s="173">
        <v>0</v>
      </c>
      <c r="P71" s="173">
        <v>0</v>
      </c>
      <c r="Q71" s="175">
        <f t="shared" si="1"/>
        <v>1</v>
      </c>
      <c r="R71" s="176">
        <f t="shared" si="2"/>
        <v>0</v>
      </c>
      <c r="S71" s="6"/>
    </row>
    <row r="72" spans="2:19" customFormat="1">
      <c r="B72" s="111">
        <f t="shared" si="3"/>
        <v>63</v>
      </c>
      <c r="C72" s="130" t="s">
        <v>172</v>
      </c>
      <c r="D72" s="7">
        <v>2010</v>
      </c>
      <c r="E72" s="212" t="s">
        <v>244</v>
      </c>
      <c r="F72" s="7">
        <v>2</v>
      </c>
      <c r="G72" s="7">
        <v>2</v>
      </c>
      <c r="H72" s="212" t="s">
        <v>56</v>
      </c>
      <c r="I72" s="212" t="s">
        <v>56</v>
      </c>
      <c r="J72" s="212" t="s">
        <v>363</v>
      </c>
      <c r="K72" s="131" t="str">
        <f t="shared" si="0"/>
        <v>AC-Ruang Staf-2010</v>
      </c>
      <c r="L72" s="7"/>
      <c r="M72" s="18" t="s">
        <v>364</v>
      </c>
      <c r="N72" s="6">
        <v>2</v>
      </c>
      <c r="O72" s="173">
        <v>0</v>
      </c>
      <c r="P72" s="173">
        <v>0</v>
      </c>
      <c r="Q72" s="175">
        <f t="shared" si="1"/>
        <v>2</v>
      </c>
      <c r="R72" s="176">
        <f t="shared" si="2"/>
        <v>0</v>
      </c>
      <c r="S72" s="18"/>
    </row>
    <row r="73" spans="2:19" customFormat="1">
      <c r="B73" s="111">
        <f t="shared" si="3"/>
        <v>64</v>
      </c>
      <c r="C73" s="130" t="s">
        <v>349</v>
      </c>
      <c r="D73" s="7">
        <v>2010</v>
      </c>
      <c r="E73" s="212" t="s">
        <v>244</v>
      </c>
      <c r="F73" s="7">
        <v>1</v>
      </c>
      <c r="G73" s="7">
        <v>1</v>
      </c>
      <c r="H73" s="212" t="s">
        <v>56</v>
      </c>
      <c r="I73" s="212" t="s">
        <v>56</v>
      </c>
      <c r="J73" s="212" t="s">
        <v>363</v>
      </c>
      <c r="K73" s="131" t="str">
        <f t="shared" si="0"/>
        <v>Dispenser-Ruang Staf-2010</v>
      </c>
      <c r="L73" s="7"/>
      <c r="M73" s="18" t="s">
        <v>365</v>
      </c>
      <c r="N73" s="6">
        <v>1</v>
      </c>
      <c r="O73" s="173">
        <v>0</v>
      </c>
      <c r="P73" s="173">
        <v>0</v>
      </c>
      <c r="Q73" s="175">
        <f t="shared" si="1"/>
        <v>1</v>
      </c>
      <c r="R73" s="176">
        <f t="shared" si="2"/>
        <v>0</v>
      </c>
      <c r="S73" s="6"/>
    </row>
    <row r="74" spans="2:19" customFormat="1">
      <c r="B74" s="111">
        <f t="shared" si="3"/>
        <v>65</v>
      </c>
      <c r="C74" s="130" t="s">
        <v>366</v>
      </c>
      <c r="D74" s="7">
        <v>2023</v>
      </c>
      <c r="E74" s="212" t="s">
        <v>244</v>
      </c>
      <c r="F74" s="7">
        <v>1</v>
      </c>
      <c r="G74" s="7">
        <v>1</v>
      </c>
      <c r="H74" s="212" t="s">
        <v>56</v>
      </c>
      <c r="I74" s="212" t="s">
        <v>56</v>
      </c>
      <c r="J74" s="212" t="s">
        <v>363</v>
      </c>
      <c r="K74" s="131" t="str">
        <f t="shared" si="0"/>
        <v>Printer Epson-Ruang Staf-2023</v>
      </c>
      <c r="L74" s="7"/>
      <c r="M74" s="18" t="s">
        <v>367</v>
      </c>
      <c r="N74" s="6">
        <v>0</v>
      </c>
      <c r="O74" s="173">
        <v>0</v>
      </c>
      <c r="P74" s="173">
        <v>0</v>
      </c>
      <c r="Q74" s="175">
        <f t="shared" si="1"/>
        <v>0</v>
      </c>
      <c r="R74" s="177">
        <f t="shared" si="2"/>
        <v>-1</v>
      </c>
      <c r="S74" s="178" t="s">
        <v>368</v>
      </c>
    </row>
    <row r="75" spans="2:19" customFormat="1">
      <c r="B75" s="111">
        <f t="shared" si="3"/>
        <v>66</v>
      </c>
      <c r="C75" s="130" t="s">
        <v>264</v>
      </c>
      <c r="D75" s="7">
        <v>2010</v>
      </c>
      <c r="E75" s="212" t="s">
        <v>244</v>
      </c>
      <c r="F75" s="7">
        <v>1</v>
      </c>
      <c r="G75" s="7">
        <v>1</v>
      </c>
      <c r="H75" s="212" t="s">
        <v>56</v>
      </c>
      <c r="I75" s="212" t="s">
        <v>56</v>
      </c>
      <c r="J75" s="212" t="s">
        <v>363</v>
      </c>
      <c r="K75" s="131" t="str">
        <f t="shared" ref="K75:K134" si="4">C75&amp;"-"&amp;J75&amp;"-"&amp;D75</f>
        <v>Whiteboard-Ruang Staf-2010</v>
      </c>
      <c r="L75" s="7"/>
      <c r="M75" s="18" t="s">
        <v>369</v>
      </c>
      <c r="N75" s="6">
        <v>1</v>
      </c>
      <c r="O75" s="173">
        <v>0</v>
      </c>
      <c r="P75" s="173">
        <v>0</v>
      </c>
      <c r="Q75" s="175">
        <f t="shared" ref="Q75:Q138" si="5">SUM(N75:P75)</f>
        <v>1</v>
      </c>
      <c r="R75" s="176">
        <f t="shared" ref="R75:R138" si="6">Q75-F75</f>
        <v>0</v>
      </c>
      <c r="S75" s="6"/>
    </row>
    <row r="76" spans="2:19" customFormat="1">
      <c r="B76" s="111">
        <f t="shared" ref="B76:B139" si="7">B75+1</f>
        <v>67</v>
      </c>
      <c r="C76" s="130" t="s">
        <v>277</v>
      </c>
      <c r="D76" s="7">
        <v>2010</v>
      </c>
      <c r="E76" s="212" t="s">
        <v>244</v>
      </c>
      <c r="F76" s="7">
        <v>3</v>
      </c>
      <c r="G76" s="7">
        <v>3</v>
      </c>
      <c r="H76" s="212" t="s">
        <v>56</v>
      </c>
      <c r="I76" s="212" t="s">
        <v>56</v>
      </c>
      <c r="J76" s="212" t="s">
        <v>363</v>
      </c>
      <c r="K76" s="131" t="str">
        <f t="shared" si="4"/>
        <v>Filling Cabinet-Ruang Staf-2010</v>
      </c>
      <c r="L76" s="7"/>
      <c r="M76" s="18" t="s">
        <v>370</v>
      </c>
      <c r="N76" s="6">
        <v>4</v>
      </c>
      <c r="O76" s="173">
        <v>0</v>
      </c>
      <c r="P76" s="173">
        <v>0</v>
      </c>
      <c r="Q76" s="175">
        <f t="shared" si="5"/>
        <v>4</v>
      </c>
      <c r="R76" s="175">
        <f t="shared" si="6"/>
        <v>1</v>
      </c>
      <c r="S76" s="178" t="s">
        <v>324</v>
      </c>
    </row>
    <row r="77" spans="2:19" customFormat="1">
      <c r="B77" s="111">
        <f t="shared" si="7"/>
        <v>68</v>
      </c>
      <c r="C77" s="130" t="s">
        <v>371</v>
      </c>
      <c r="D77" s="7">
        <v>2010</v>
      </c>
      <c r="E77" s="212" t="s">
        <v>244</v>
      </c>
      <c r="F77" s="7">
        <v>4</v>
      </c>
      <c r="G77" s="7">
        <v>4</v>
      </c>
      <c r="H77" s="212" t="s">
        <v>56</v>
      </c>
      <c r="I77" s="212" t="s">
        <v>56</v>
      </c>
      <c r="J77" s="212" t="s">
        <v>363</v>
      </c>
      <c r="K77" s="131" t="str">
        <f t="shared" si="4"/>
        <v>Lemari Buku-Ruang Staf-2010</v>
      </c>
      <c r="L77" s="7"/>
      <c r="M77" s="18" t="s">
        <v>372</v>
      </c>
      <c r="N77" s="6">
        <v>4</v>
      </c>
      <c r="O77" s="173">
        <v>0</v>
      </c>
      <c r="P77" s="173">
        <v>0</v>
      </c>
      <c r="Q77" s="175">
        <f t="shared" si="5"/>
        <v>4</v>
      </c>
      <c r="R77" s="176">
        <f t="shared" si="6"/>
        <v>0</v>
      </c>
      <c r="S77" s="6"/>
    </row>
    <row r="78" spans="2:19" customFormat="1">
      <c r="B78" s="111">
        <f t="shared" si="7"/>
        <v>69</v>
      </c>
      <c r="C78" s="130" t="s">
        <v>373</v>
      </c>
      <c r="D78" s="7">
        <v>2010</v>
      </c>
      <c r="E78" s="212" t="s">
        <v>244</v>
      </c>
      <c r="F78" s="7">
        <v>1</v>
      </c>
      <c r="G78" s="7">
        <v>1</v>
      </c>
      <c r="H78" s="212" t="s">
        <v>56</v>
      </c>
      <c r="I78" s="212" t="s">
        <v>56</v>
      </c>
      <c r="J78" s="212" t="s">
        <v>363</v>
      </c>
      <c r="K78" s="131" t="str">
        <f t="shared" si="4"/>
        <v>Lemari Kaca-Ruang Staf-2010</v>
      </c>
      <c r="L78" s="7"/>
      <c r="M78" s="18" t="s">
        <v>374</v>
      </c>
      <c r="N78" s="6">
        <v>1</v>
      </c>
      <c r="O78" s="173">
        <v>0</v>
      </c>
      <c r="P78" s="173">
        <v>0</v>
      </c>
      <c r="Q78" s="175">
        <f t="shared" si="5"/>
        <v>1</v>
      </c>
      <c r="R78" s="176">
        <f t="shared" si="6"/>
        <v>0</v>
      </c>
      <c r="S78" s="6"/>
    </row>
    <row r="79" spans="2:19" customFormat="1">
      <c r="B79" s="111">
        <f t="shared" si="7"/>
        <v>70</v>
      </c>
      <c r="C79" s="130" t="s">
        <v>353</v>
      </c>
      <c r="D79" s="7">
        <v>2010</v>
      </c>
      <c r="E79" s="212" t="s">
        <v>244</v>
      </c>
      <c r="F79" s="7">
        <v>10</v>
      </c>
      <c r="G79" s="7">
        <v>10</v>
      </c>
      <c r="H79" s="212" t="s">
        <v>56</v>
      </c>
      <c r="I79" s="212" t="s">
        <v>56</v>
      </c>
      <c r="J79" s="212" t="s">
        <v>363</v>
      </c>
      <c r="K79" s="131" t="str">
        <f t="shared" si="4"/>
        <v>Meja Kerja-Ruang Staf-2010</v>
      </c>
      <c r="L79" s="7"/>
      <c r="M79" s="18" t="s">
        <v>375</v>
      </c>
      <c r="N79" s="6">
        <v>10</v>
      </c>
      <c r="O79" s="173">
        <v>0</v>
      </c>
      <c r="P79" s="173">
        <v>0</v>
      </c>
      <c r="Q79" s="175">
        <f t="shared" si="5"/>
        <v>10</v>
      </c>
      <c r="R79" s="176">
        <f t="shared" si="6"/>
        <v>0</v>
      </c>
      <c r="S79" s="6"/>
    </row>
    <row r="80" spans="2:19" customFormat="1">
      <c r="B80" s="111">
        <f t="shared" si="7"/>
        <v>71</v>
      </c>
      <c r="C80" s="130" t="s">
        <v>315</v>
      </c>
      <c r="D80" s="7">
        <v>2010</v>
      </c>
      <c r="E80" s="212" t="s">
        <v>244</v>
      </c>
      <c r="F80" s="7">
        <v>5</v>
      </c>
      <c r="G80" s="7">
        <v>5</v>
      </c>
      <c r="H80" s="212" t="s">
        <v>56</v>
      </c>
      <c r="I80" s="212" t="s">
        <v>56</v>
      </c>
      <c r="J80" s="212" t="s">
        <v>363</v>
      </c>
      <c r="K80" s="131" t="str">
        <f t="shared" si="4"/>
        <v>Kursi Putar Chitose-Ruang Staf-2010</v>
      </c>
      <c r="L80" s="7"/>
      <c r="M80" s="18" t="s">
        <v>376</v>
      </c>
      <c r="N80" s="6">
        <v>4</v>
      </c>
      <c r="O80" s="173">
        <v>0</v>
      </c>
      <c r="P80" s="6">
        <v>1</v>
      </c>
      <c r="Q80" s="175">
        <f t="shared" si="5"/>
        <v>5</v>
      </c>
      <c r="R80" s="176">
        <f t="shared" si="6"/>
        <v>0</v>
      </c>
      <c r="S80" s="178" t="s">
        <v>377</v>
      </c>
    </row>
    <row r="81" spans="2:19" customFormat="1">
      <c r="B81" s="111">
        <f t="shared" si="7"/>
        <v>72</v>
      </c>
      <c r="C81" s="130" t="s">
        <v>311</v>
      </c>
      <c r="D81" s="7">
        <v>2010</v>
      </c>
      <c r="E81" s="212" t="s">
        <v>244</v>
      </c>
      <c r="F81" s="7">
        <v>1</v>
      </c>
      <c r="G81" s="7">
        <v>1</v>
      </c>
      <c r="H81" s="212" t="s">
        <v>56</v>
      </c>
      <c r="I81" s="212" t="s">
        <v>56</v>
      </c>
      <c r="J81" s="212" t="s">
        <v>363</v>
      </c>
      <c r="K81" s="131" t="str">
        <f t="shared" si="4"/>
        <v>Kursi Kayu-Ruang Staf-2010</v>
      </c>
      <c r="L81" s="7"/>
      <c r="M81" s="18" t="s">
        <v>378</v>
      </c>
      <c r="N81" s="173">
        <v>0</v>
      </c>
      <c r="O81" s="173">
        <v>0</v>
      </c>
      <c r="P81" s="173">
        <v>0</v>
      </c>
      <c r="Q81" s="176">
        <f t="shared" si="5"/>
        <v>0</v>
      </c>
      <c r="R81" s="177">
        <f t="shared" si="6"/>
        <v>-1</v>
      </c>
      <c r="S81" s="178" t="s">
        <v>379</v>
      </c>
    </row>
    <row r="82" spans="2:19" customFormat="1">
      <c r="B82" s="111">
        <f t="shared" si="7"/>
        <v>73</v>
      </c>
      <c r="C82" s="130" t="s">
        <v>358</v>
      </c>
      <c r="D82" s="7">
        <v>2010</v>
      </c>
      <c r="E82" s="212" t="s">
        <v>244</v>
      </c>
      <c r="F82" s="7">
        <v>2</v>
      </c>
      <c r="G82" s="7">
        <v>2</v>
      </c>
      <c r="H82" s="212" t="s">
        <v>56</v>
      </c>
      <c r="I82" s="212" t="s">
        <v>56</v>
      </c>
      <c r="J82" s="212" t="s">
        <v>363</v>
      </c>
      <c r="K82" s="131" t="str">
        <f t="shared" si="4"/>
        <v>Kursi Biru-Ruang Staf-2010</v>
      </c>
      <c r="L82" s="7"/>
      <c r="M82" s="18" t="s">
        <v>380</v>
      </c>
      <c r="N82" s="6">
        <v>1</v>
      </c>
      <c r="O82" s="173">
        <v>0</v>
      </c>
      <c r="P82" s="6">
        <v>1</v>
      </c>
      <c r="Q82" s="175">
        <f t="shared" si="5"/>
        <v>2</v>
      </c>
      <c r="R82" s="176">
        <f t="shared" si="6"/>
        <v>0</v>
      </c>
      <c r="S82" s="178" t="s">
        <v>377</v>
      </c>
    </row>
    <row r="83" spans="2:19" customFormat="1">
      <c r="B83" s="111">
        <f t="shared" si="7"/>
        <v>74</v>
      </c>
      <c r="C83" s="130" t="s">
        <v>172</v>
      </c>
      <c r="D83" s="7">
        <v>2010</v>
      </c>
      <c r="E83" s="212" t="s">
        <v>244</v>
      </c>
      <c r="F83" s="7">
        <v>1</v>
      </c>
      <c r="G83" s="7">
        <v>1</v>
      </c>
      <c r="H83" s="212" t="s">
        <v>56</v>
      </c>
      <c r="I83" s="212" t="s">
        <v>56</v>
      </c>
      <c r="J83" s="212" t="s">
        <v>381</v>
      </c>
      <c r="K83" s="131" t="str">
        <f t="shared" si="4"/>
        <v>AC-R. Assesment-Mgr-2010</v>
      </c>
      <c r="L83" s="7"/>
      <c r="M83" s="18" t="s">
        <v>382</v>
      </c>
      <c r="N83" s="174">
        <v>1</v>
      </c>
      <c r="O83" s="173">
        <v>0</v>
      </c>
      <c r="P83" s="173">
        <v>0</v>
      </c>
      <c r="Q83" s="175">
        <f t="shared" si="5"/>
        <v>1</v>
      </c>
      <c r="R83" s="177">
        <f t="shared" si="6"/>
        <v>0</v>
      </c>
      <c r="S83" s="6"/>
    </row>
    <row r="84" spans="2:19" customFormat="1">
      <c r="B84" s="111">
        <f t="shared" si="7"/>
        <v>75</v>
      </c>
      <c r="C84" s="130" t="s">
        <v>373</v>
      </c>
      <c r="D84" s="7">
        <v>2010</v>
      </c>
      <c r="E84" s="212" t="s">
        <v>244</v>
      </c>
      <c r="F84" s="7">
        <v>1</v>
      </c>
      <c r="G84" s="7">
        <v>1</v>
      </c>
      <c r="H84" s="212" t="s">
        <v>56</v>
      </c>
      <c r="I84" s="212" t="s">
        <v>56</v>
      </c>
      <c r="J84" s="212" t="s">
        <v>381</v>
      </c>
      <c r="K84" s="131" t="str">
        <f t="shared" si="4"/>
        <v>Lemari Kaca-R. Assesment-Mgr-2010</v>
      </c>
      <c r="L84" s="7"/>
      <c r="M84" s="18" t="s">
        <v>383</v>
      </c>
      <c r="N84" s="174">
        <v>1</v>
      </c>
      <c r="O84" s="173">
        <v>0</v>
      </c>
      <c r="P84" s="173">
        <v>0</v>
      </c>
      <c r="Q84" s="175">
        <f t="shared" si="5"/>
        <v>1</v>
      </c>
      <c r="R84" s="177">
        <f t="shared" si="6"/>
        <v>0</v>
      </c>
      <c r="S84" s="6"/>
    </row>
    <row r="85" spans="2:19" customFormat="1">
      <c r="B85" s="111">
        <f t="shared" si="7"/>
        <v>76</v>
      </c>
      <c r="C85" s="130" t="s">
        <v>371</v>
      </c>
      <c r="D85" s="7">
        <v>2010</v>
      </c>
      <c r="E85" s="212" t="s">
        <v>244</v>
      </c>
      <c r="F85" s="7">
        <v>1</v>
      </c>
      <c r="G85" s="7">
        <v>1</v>
      </c>
      <c r="H85" s="212" t="s">
        <v>56</v>
      </c>
      <c r="I85" s="212" t="s">
        <v>56</v>
      </c>
      <c r="J85" s="212" t="s">
        <v>384</v>
      </c>
      <c r="K85" s="131" t="str">
        <f t="shared" si="4"/>
        <v>Lemari Buku-R. Assesment-Studio-2010</v>
      </c>
      <c r="L85" s="7"/>
      <c r="M85" s="18" t="s">
        <v>385</v>
      </c>
      <c r="N85" s="174">
        <v>1</v>
      </c>
      <c r="O85" s="173">
        <v>0</v>
      </c>
      <c r="P85" s="173">
        <v>0</v>
      </c>
      <c r="Q85" s="175">
        <f t="shared" si="5"/>
        <v>1</v>
      </c>
      <c r="R85" s="177">
        <f t="shared" si="6"/>
        <v>0</v>
      </c>
      <c r="S85" s="6"/>
    </row>
    <row r="86" spans="2:19" customFormat="1">
      <c r="B86" s="111">
        <f t="shared" si="7"/>
        <v>77</v>
      </c>
      <c r="C86" s="130" t="s">
        <v>172</v>
      </c>
      <c r="D86" s="7">
        <v>2010</v>
      </c>
      <c r="E86" s="212" t="s">
        <v>244</v>
      </c>
      <c r="F86" s="7">
        <v>1</v>
      </c>
      <c r="G86" s="7">
        <v>1</v>
      </c>
      <c r="H86" s="212" t="s">
        <v>56</v>
      </c>
      <c r="I86" s="212" t="s">
        <v>56</v>
      </c>
      <c r="J86" s="212" t="s">
        <v>386</v>
      </c>
      <c r="K86" s="131" t="str">
        <f t="shared" si="4"/>
        <v>AC-R. Assesment-Rekrut-2010</v>
      </c>
      <c r="L86" s="7"/>
      <c r="M86" s="18" t="s">
        <v>387</v>
      </c>
      <c r="N86" s="174">
        <v>1</v>
      </c>
      <c r="O86" s="173">
        <v>0</v>
      </c>
      <c r="P86" s="173">
        <v>0</v>
      </c>
      <c r="Q86" s="175">
        <f t="shared" si="5"/>
        <v>1</v>
      </c>
      <c r="R86" s="177">
        <f t="shared" si="6"/>
        <v>0</v>
      </c>
      <c r="S86" s="6"/>
    </row>
    <row r="87" spans="2:19" customFormat="1">
      <c r="B87" s="111">
        <f t="shared" si="7"/>
        <v>78</v>
      </c>
      <c r="C87" s="130" t="s">
        <v>277</v>
      </c>
      <c r="D87" s="7">
        <v>2010</v>
      </c>
      <c r="E87" s="212" t="s">
        <v>244</v>
      </c>
      <c r="F87" s="7">
        <v>1</v>
      </c>
      <c r="G87" s="7">
        <v>1</v>
      </c>
      <c r="H87" s="212" t="s">
        <v>56</v>
      </c>
      <c r="I87" s="212" t="s">
        <v>56</v>
      </c>
      <c r="J87" s="212" t="s">
        <v>386</v>
      </c>
      <c r="K87" s="131" t="str">
        <f t="shared" si="4"/>
        <v>Filling Cabinet-R. Assesment-Rekrut-2010</v>
      </c>
      <c r="L87" s="7"/>
      <c r="M87" s="18" t="s">
        <v>388</v>
      </c>
      <c r="N87" s="174">
        <v>1</v>
      </c>
      <c r="O87" s="173">
        <v>0</v>
      </c>
      <c r="P87" s="173">
        <v>0</v>
      </c>
      <c r="Q87" s="175">
        <f t="shared" si="5"/>
        <v>1</v>
      </c>
      <c r="R87" s="177">
        <f t="shared" si="6"/>
        <v>0</v>
      </c>
      <c r="S87" s="6"/>
    </row>
    <row r="88" spans="2:19" customFormat="1">
      <c r="B88" s="111">
        <f t="shared" si="7"/>
        <v>79</v>
      </c>
      <c r="C88" s="130" t="s">
        <v>371</v>
      </c>
      <c r="D88" s="7">
        <v>2010</v>
      </c>
      <c r="E88" s="212" t="s">
        <v>244</v>
      </c>
      <c r="F88" s="7">
        <v>2</v>
      </c>
      <c r="G88" s="7">
        <v>2</v>
      </c>
      <c r="H88" s="212" t="s">
        <v>56</v>
      </c>
      <c r="I88" s="212" t="s">
        <v>56</v>
      </c>
      <c r="J88" s="212" t="s">
        <v>386</v>
      </c>
      <c r="K88" s="131" t="str">
        <f t="shared" si="4"/>
        <v>Lemari Buku-R. Assesment-Rekrut-2010</v>
      </c>
      <c r="L88" s="7"/>
      <c r="M88" s="18" t="s">
        <v>389</v>
      </c>
      <c r="N88" s="174">
        <v>2</v>
      </c>
      <c r="O88" s="173">
        <v>0</v>
      </c>
      <c r="P88" s="173">
        <v>0</v>
      </c>
      <c r="Q88" s="175">
        <f t="shared" si="5"/>
        <v>2</v>
      </c>
      <c r="R88" s="177">
        <f t="shared" si="6"/>
        <v>0</v>
      </c>
      <c r="S88" s="6"/>
    </row>
    <row r="89" spans="2:19" customFormat="1">
      <c r="B89" s="111">
        <f t="shared" si="7"/>
        <v>80</v>
      </c>
      <c r="C89" s="130" t="s">
        <v>373</v>
      </c>
      <c r="D89" s="7">
        <v>2010</v>
      </c>
      <c r="E89" s="212" t="s">
        <v>244</v>
      </c>
      <c r="F89" s="7">
        <v>1</v>
      </c>
      <c r="G89" s="7">
        <v>1</v>
      </c>
      <c r="H89" s="212" t="s">
        <v>56</v>
      </c>
      <c r="I89" s="212" t="s">
        <v>56</v>
      </c>
      <c r="J89" s="212" t="s">
        <v>386</v>
      </c>
      <c r="K89" s="131" t="str">
        <f t="shared" si="4"/>
        <v>Lemari Kaca-R. Assesment-Rekrut-2010</v>
      </c>
      <c r="L89" s="7"/>
      <c r="M89" s="18" t="s">
        <v>390</v>
      </c>
      <c r="N89" s="174">
        <v>1</v>
      </c>
      <c r="O89" s="173">
        <v>0</v>
      </c>
      <c r="P89" s="173">
        <v>0</v>
      </c>
      <c r="Q89" s="175">
        <f t="shared" si="5"/>
        <v>1</v>
      </c>
      <c r="R89" s="177">
        <f t="shared" si="6"/>
        <v>0</v>
      </c>
      <c r="S89" s="6"/>
    </row>
    <row r="90" spans="2:19" customFormat="1">
      <c r="B90" s="111">
        <f t="shared" si="7"/>
        <v>81</v>
      </c>
      <c r="C90" s="130" t="s">
        <v>391</v>
      </c>
      <c r="D90" s="7">
        <v>2010</v>
      </c>
      <c r="E90" s="212" t="s">
        <v>244</v>
      </c>
      <c r="F90" s="7">
        <v>1</v>
      </c>
      <c r="G90" s="7">
        <v>1</v>
      </c>
      <c r="H90" s="212" t="s">
        <v>56</v>
      </c>
      <c r="I90" s="212" t="s">
        <v>56</v>
      </c>
      <c r="J90" s="212" t="s">
        <v>386</v>
      </c>
      <c r="K90" s="131" t="str">
        <f t="shared" si="4"/>
        <v>Meja Coklat Kayu-R. Assesment-Rekrut-2010</v>
      </c>
      <c r="L90" s="7"/>
      <c r="M90" s="18" t="s">
        <v>392</v>
      </c>
      <c r="N90" s="174">
        <v>1</v>
      </c>
      <c r="O90" s="173">
        <v>0</v>
      </c>
      <c r="P90" s="173">
        <v>0</v>
      </c>
      <c r="Q90" s="175">
        <f t="shared" si="5"/>
        <v>1</v>
      </c>
      <c r="R90" s="177">
        <f t="shared" si="6"/>
        <v>0</v>
      </c>
      <c r="S90" s="6"/>
    </row>
    <row r="91" spans="2:19" customFormat="1">
      <c r="B91" s="111">
        <f t="shared" si="7"/>
        <v>82</v>
      </c>
      <c r="C91" s="130" t="s">
        <v>393</v>
      </c>
      <c r="D91" s="7">
        <v>2011</v>
      </c>
      <c r="E91" s="212" t="s">
        <v>244</v>
      </c>
      <c r="F91" s="7">
        <v>1</v>
      </c>
      <c r="G91" s="7">
        <v>1</v>
      </c>
      <c r="H91" s="212" t="s">
        <v>56</v>
      </c>
      <c r="I91" s="212" t="s">
        <v>56</v>
      </c>
      <c r="J91" s="212" t="s">
        <v>386</v>
      </c>
      <c r="K91" s="131" t="str">
        <f t="shared" si="4"/>
        <v>Microtic Router-R. Assesment-Rekrut-2011</v>
      </c>
      <c r="L91" s="7"/>
      <c r="M91" s="18" t="s">
        <v>394</v>
      </c>
      <c r="N91" s="174">
        <v>1</v>
      </c>
      <c r="O91" s="173">
        <v>0</v>
      </c>
      <c r="P91" s="173">
        <v>0</v>
      </c>
      <c r="Q91" s="175">
        <f t="shared" si="5"/>
        <v>1</v>
      </c>
      <c r="R91" s="177">
        <f t="shared" si="6"/>
        <v>0</v>
      </c>
      <c r="S91" s="6"/>
    </row>
    <row r="92" spans="2:19" customFormat="1">
      <c r="B92" s="111">
        <f t="shared" si="7"/>
        <v>83</v>
      </c>
      <c r="C92" s="130" t="s">
        <v>395</v>
      </c>
      <c r="D92" s="7">
        <v>2011</v>
      </c>
      <c r="E92" s="212" t="s">
        <v>244</v>
      </c>
      <c r="F92" s="7">
        <v>2</v>
      </c>
      <c r="G92" s="7">
        <v>2</v>
      </c>
      <c r="H92" s="212" t="s">
        <v>56</v>
      </c>
      <c r="I92" s="212" t="s">
        <v>56</v>
      </c>
      <c r="J92" s="212" t="s">
        <v>386</v>
      </c>
      <c r="K92" s="131" t="str">
        <f t="shared" si="4"/>
        <v>Switch LAN-R. Assesment-Rekrut-2011</v>
      </c>
      <c r="L92" s="7"/>
      <c r="M92" s="18" t="s">
        <v>396</v>
      </c>
      <c r="N92" s="174">
        <v>2</v>
      </c>
      <c r="O92" s="173">
        <v>0</v>
      </c>
      <c r="P92" s="173">
        <v>0</v>
      </c>
      <c r="Q92" s="175">
        <f t="shared" si="5"/>
        <v>2</v>
      </c>
      <c r="R92" s="177">
        <f t="shared" si="6"/>
        <v>0</v>
      </c>
      <c r="S92" s="6"/>
    </row>
    <row r="93" spans="2:19" customFormat="1">
      <c r="B93" s="111">
        <f t="shared" si="7"/>
        <v>84</v>
      </c>
      <c r="C93" s="130" t="s">
        <v>172</v>
      </c>
      <c r="D93" s="7">
        <v>2010</v>
      </c>
      <c r="E93" s="212" t="s">
        <v>244</v>
      </c>
      <c r="F93" s="7">
        <v>1</v>
      </c>
      <c r="G93" s="7">
        <v>1</v>
      </c>
      <c r="H93" s="212" t="s">
        <v>56</v>
      </c>
      <c r="I93" s="212" t="s">
        <v>56</v>
      </c>
      <c r="J93" s="212" t="s">
        <v>397</v>
      </c>
      <c r="K93" s="131" t="str">
        <f t="shared" si="4"/>
        <v>AC-Ruang E-leaerning-2010</v>
      </c>
      <c r="L93" s="7"/>
      <c r="M93" s="18" t="s">
        <v>398</v>
      </c>
      <c r="N93" s="6">
        <v>1</v>
      </c>
      <c r="O93" s="173">
        <v>0</v>
      </c>
      <c r="P93" s="173">
        <v>0</v>
      </c>
      <c r="Q93" s="175">
        <f t="shared" si="5"/>
        <v>1</v>
      </c>
      <c r="R93" s="176">
        <f t="shared" si="6"/>
        <v>0</v>
      </c>
      <c r="S93" s="6"/>
    </row>
    <row r="94" spans="2:19" customFormat="1">
      <c r="B94" s="111">
        <f t="shared" si="7"/>
        <v>85</v>
      </c>
      <c r="C94" s="130" t="s">
        <v>269</v>
      </c>
      <c r="D94" s="7">
        <v>0</v>
      </c>
      <c r="E94" s="212" t="s">
        <v>244</v>
      </c>
      <c r="F94" s="7">
        <v>6</v>
      </c>
      <c r="G94" s="7">
        <v>1</v>
      </c>
      <c r="H94" s="7">
        <v>5</v>
      </c>
      <c r="I94" s="212" t="s">
        <v>56</v>
      </c>
      <c r="J94" s="212" t="s">
        <v>397</v>
      </c>
      <c r="K94" s="131" t="str">
        <f t="shared" si="4"/>
        <v>CPU-Ruang E-leaerning-0</v>
      </c>
      <c r="L94" s="7"/>
      <c r="M94" s="18" t="s">
        <v>399</v>
      </c>
      <c r="N94" s="173">
        <v>0</v>
      </c>
      <c r="O94" s="173">
        <v>0</v>
      </c>
      <c r="P94" s="174">
        <v>6</v>
      </c>
      <c r="Q94" s="177">
        <f t="shared" si="5"/>
        <v>6</v>
      </c>
      <c r="R94" s="177">
        <f t="shared" si="6"/>
        <v>0</v>
      </c>
      <c r="S94" s="178" t="s">
        <v>400</v>
      </c>
    </row>
    <row r="95" spans="2:19" customFormat="1">
      <c r="B95" s="111">
        <f t="shared" si="7"/>
        <v>86</v>
      </c>
      <c r="C95" s="130" t="s">
        <v>273</v>
      </c>
      <c r="D95" s="7">
        <v>0</v>
      </c>
      <c r="E95" s="212" t="s">
        <v>244</v>
      </c>
      <c r="F95" s="7">
        <v>6</v>
      </c>
      <c r="G95" s="7">
        <v>1</v>
      </c>
      <c r="H95" s="7">
        <v>5</v>
      </c>
      <c r="I95" s="212" t="s">
        <v>56</v>
      </c>
      <c r="J95" s="212" t="s">
        <v>397</v>
      </c>
      <c r="K95" s="131" t="str">
        <f t="shared" si="4"/>
        <v>Monitor-Ruang E-leaerning-0</v>
      </c>
      <c r="L95" s="7"/>
      <c r="M95" s="18" t="s">
        <v>401</v>
      </c>
      <c r="N95" s="173">
        <v>0</v>
      </c>
      <c r="O95" s="173">
        <v>0</v>
      </c>
      <c r="P95" s="174">
        <v>6</v>
      </c>
      <c r="Q95" s="177">
        <f t="shared" si="5"/>
        <v>6</v>
      </c>
      <c r="R95" s="177">
        <f t="shared" si="6"/>
        <v>0</v>
      </c>
      <c r="S95" s="178" t="s">
        <v>400</v>
      </c>
    </row>
    <row r="96" spans="2:19" customFormat="1">
      <c r="B96" s="111">
        <f t="shared" si="7"/>
        <v>87</v>
      </c>
      <c r="C96" s="130" t="s">
        <v>402</v>
      </c>
      <c r="D96" s="7">
        <v>2011</v>
      </c>
      <c r="E96" s="212" t="s">
        <v>244</v>
      </c>
      <c r="F96" s="7">
        <v>1</v>
      </c>
      <c r="G96" s="7">
        <v>1</v>
      </c>
      <c r="H96" s="7">
        <v>1</v>
      </c>
      <c r="I96" s="212" t="s">
        <v>56</v>
      </c>
      <c r="J96" s="212" t="s">
        <v>397</v>
      </c>
      <c r="K96" s="131" t="str">
        <f t="shared" si="4"/>
        <v>Stabilizer-Ruang E-leaerning-2011</v>
      </c>
      <c r="L96" s="7"/>
      <c r="M96" s="18" t="s">
        <v>403</v>
      </c>
      <c r="N96" s="6">
        <v>1</v>
      </c>
      <c r="O96" s="173">
        <v>0</v>
      </c>
      <c r="P96" s="173">
        <v>0</v>
      </c>
      <c r="Q96" s="175">
        <f t="shared" si="5"/>
        <v>1</v>
      </c>
      <c r="R96" s="176">
        <f t="shared" si="6"/>
        <v>0</v>
      </c>
      <c r="S96" s="6"/>
    </row>
    <row r="97" spans="2:19" customFormat="1">
      <c r="B97" s="111">
        <f t="shared" si="7"/>
        <v>88</v>
      </c>
      <c r="C97" s="130" t="s">
        <v>404</v>
      </c>
      <c r="D97" s="7">
        <v>2011</v>
      </c>
      <c r="E97" s="212" t="s">
        <v>244</v>
      </c>
      <c r="F97" s="7">
        <v>2</v>
      </c>
      <c r="G97" s="7">
        <v>2</v>
      </c>
      <c r="H97" s="212" t="s">
        <v>56</v>
      </c>
      <c r="I97" s="212" t="s">
        <v>56</v>
      </c>
      <c r="J97" s="212" t="s">
        <v>397</v>
      </c>
      <c r="K97" s="131" t="str">
        <f t="shared" si="4"/>
        <v>UPS-Ruang E-leaerning-2011</v>
      </c>
      <c r="L97" s="7"/>
      <c r="M97" s="18" t="s">
        <v>405</v>
      </c>
      <c r="N97" s="6">
        <v>1</v>
      </c>
      <c r="O97" s="173">
        <v>0</v>
      </c>
      <c r="P97" s="6">
        <v>1</v>
      </c>
      <c r="Q97" s="175">
        <f t="shared" si="5"/>
        <v>2</v>
      </c>
      <c r="R97" s="176">
        <f t="shared" si="6"/>
        <v>0</v>
      </c>
      <c r="S97" s="178" t="s">
        <v>406</v>
      </c>
    </row>
    <row r="98" spans="2:19" customFormat="1">
      <c r="B98" s="111">
        <f t="shared" si="7"/>
        <v>89</v>
      </c>
      <c r="C98" s="130" t="s">
        <v>407</v>
      </c>
      <c r="D98" s="7">
        <v>2022</v>
      </c>
      <c r="E98" s="212" t="s">
        <v>244</v>
      </c>
      <c r="F98" s="7">
        <v>1</v>
      </c>
      <c r="G98" s="7">
        <v>1</v>
      </c>
      <c r="H98" s="7">
        <v>1</v>
      </c>
      <c r="I98" s="212" t="s">
        <v>56</v>
      </c>
      <c r="J98" s="212" t="s">
        <v>397</v>
      </c>
      <c r="K98" s="131" t="str">
        <f t="shared" si="4"/>
        <v>Printer FujiXerox-Ruang E-leaerning-2022</v>
      </c>
      <c r="L98" s="7"/>
      <c r="M98" s="18" t="s">
        <v>408</v>
      </c>
      <c r="N98" s="6">
        <v>1</v>
      </c>
      <c r="O98" s="173">
        <v>0</v>
      </c>
      <c r="P98" s="6">
        <v>1</v>
      </c>
      <c r="Q98" s="175">
        <f t="shared" si="5"/>
        <v>2</v>
      </c>
      <c r="R98" s="175">
        <f t="shared" si="6"/>
        <v>1</v>
      </c>
      <c r="S98" s="178" t="s">
        <v>409</v>
      </c>
    </row>
    <row r="99" spans="2:19" customFormat="1">
      <c r="B99" s="111">
        <f t="shared" si="7"/>
        <v>90</v>
      </c>
      <c r="C99" s="130" t="s">
        <v>410</v>
      </c>
      <c r="D99" s="7">
        <v>2011</v>
      </c>
      <c r="E99" s="212" t="s">
        <v>244</v>
      </c>
      <c r="F99" s="7">
        <v>4</v>
      </c>
      <c r="G99" s="7">
        <v>4</v>
      </c>
      <c r="H99" s="212" t="s">
        <v>56</v>
      </c>
      <c r="I99" s="212" t="s">
        <v>56</v>
      </c>
      <c r="J99" s="212" t="s">
        <v>397</v>
      </c>
      <c r="K99" s="131" t="str">
        <f t="shared" si="4"/>
        <v>Speaker-Ruang E-leaerning-2011</v>
      </c>
      <c r="L99" s="7"/>
      <c r="M99" s="18" t="s">
        <v>411</v>
      </c>
      <c r="N99" s="6">
        <v>4</v>
      </c>
      <c r="O99" s="173">
        <v>0</v>
      </c>
      <c r="P99" s="173">
        <v>0</v>
      </c>
      <c r="Q99" s="175">
        <f t="shared" si="5"/>
        <v>4</v>
      </c>
      <c r="R99" s="176">
        <f t="shared" si="6"/>
        <v>0</v>
      </c>
      <c r="S99" s="6"/>
    </row>
    <row r="100" spans="2:19" customFormat="1">
      <c r="B100" s="111">
        <f t="shared" si="7"/>
        <v>91</v>
      </c>
      <c r="C100" s="130" t="s">
        <v>277</v>
      </c>
      <c r="D100" s="7">
        <v>2010</v>
      </c>
      <c r="E100" s="212" t="s">
        <v>244</v>
      </c>
      <c r="F100" s="7">
        <v>2</v>
      </c>
      <c r="G100" s="7">
        <v>2</v>
      </c>
      <c r="H100" s="212" t="s">
        <v>56</v>
      </c>
      <c r="I100" s="212" t="s">
        <v>56</v>
      </c>
      <c r="J100" s="212" t="s">
        <v>397</v>
      </c>
      <c r="K100" s="131" t="str">
        <f t="shared" si="4"/>
        <v>Filling Cabinet-Ruang E-leaerning-2010</v>
      </c>
      <c r="L100" s="7"/>
      <c r="M100" s="18" t="s">
        <v>412</v>
      </c>
      <c r="N100" s="6">
        <v>2</v>
      </c>
      <c r="O100" s="173">
        <v>0</v>
      </c>
      <c r="P100" s="173">
        <v>0</v>
      </c>
      <c r="Q100" s="175">
        <f t="shared" si="5"/>
        <v>2</v>
      </c>
      <c r="R100" s="176">
        <f t="shared" si="6"/>
        <v>0</v>
      </c>
      <c r="S100" s="6"/>
    </row>
    <row r="101" spans="2:19" customFormat="1">
      <c r="B101" s="111">
        <f t="shared" si="7"/>
        <v>92</v>
      </c>
      <c r="C101" s="130" t="s">
        <v>371</v>
      </c>
      <c r="D101" s="7">
        <v>2010</v>
      </c>
      <c r="E101" s="212" t="s">
        <v>244</v>
      </c>
      <c r="F101" s="7">
        <v>1</v>
      </c>
      <c r="G101" s="7">
        <v>1</v>
      </c>
      <c r="H101" s="212" t="s">
        <v>56</v>
      </c>
      <c r="I101" s="212" t="s">
        <v>56</v>
      </c>
      <c r="J101" s="212" t="s">
        <v>397</v>
      </c>
      <c r="K101" s="131" t="str">
        <f t="shared" si="4"/>
        <v>Lemari Buku-Ruang E-leaerning-2010</v>
      </c>
      <c r="L101" s="7"/>
      <c r="M101" s="18" t="s">
        <v>413</v>
      </c>
      <c r="N101" s="6">
        <v>1</v>
      </c>
      <c r="O101" s="173">
        <v>0</v>
      </c>
      <c r="P101" s="173">
        <v>0</v>
      </c>
      <c r="Q101" s="175">
        <f t="shared" si="5"/>
        <v>1</v>
      </c>
      <c r="R101" s="176">
        <f t="shared" si="6"/>
        <v>0</v>
      </c>
      <c r="S101" s="6"/>
    </row>
    <row r="102" spans="2:19" customFormat="1">
      <c r="B102" s="111">
        <f t="shared" si="7"/>
        <v>93</v>
      </c>
      <c r="C102" s="130" t="s">
        <v>353</v>
      </c>
      <c r="D102" s="7">
        <v>2010</v>
      </c>
      <c r="E102" s="212" t="s">
        <v>244</v>
      </c>
      <c r="F102" s="7">
        <v>1</v>
      </c>
      <c r="G102" s="7">
        <v>1</v>
      </c>
      <c r="H102" s="212" t="s">
        <v>56</v>
      </c>
      <c r="I102" s="212" t="s">
        <v>56</v>
      </c>
      <c r="J102" s="212" t="s">
        <v>397</v>
      </c>
      <c r="K102" s="131" t="str">
        <f t="shared" si="4"/>
        <v>Meja Kerja-Ruang E-leaerning-2010</v>
      </c>
      <c r="L102" s="7"/>
      <c r="M102" s="18" t="s">
        <v>414</v>
      </c>
      <c r="N102" s="6">
        <v>1</v>
      </c>
      <c r="O102" s="173">
        <v>0</v>
      </c>
      <c r="P102" s="173">
        <v>0</v>
      </c>
      <c r="Q102" s="175">
        <f t="shared" si="5"/>
        <v>1</v>
      </c>
      <c r="R102" s="176">
        <f t="shared" si="6"/>
        <v>0</v>
      </c>
      <c r="S102" s="6"/>
    </row>
    <row r="103" spans="2:19" customFormat="1">
      <c r="B103" s="111">
        <f t="shared" si="7"/>
        <v>94</v>
      </c>
      <c r="C103" s="130" t="s">
        <v>315</v>
      </c>
      <c r="D103" s="7">
        <v>2010</v>
      </c>
      <c r="E103" s="212" t="s">
        <v>244</v>
      </c>
      <c r="F103" s="7">
        <v>1</v>
      </c>
      <c r="G103" s="7">
        <v>1</v>
      </c>
      <c r="H103" s="212" t="s">
        <v>56</v>
      </c>
      <c r="I103" s="212" t="s">
        <v>56</v>
      </c>
      <c r="J103" s="212" t="s">
        <v>397</v>
      </c>
      <c r="K103" s="131" t="str">
        <f t="shared" si="4"/>
        <v>Kursi Putar Chitose-Ruang E-leaerning-2010</v>
      </c>
      <c r="L103" s="7"/>
      <c r="M103" s="18" t="s">
        <v>415</v>
      </c>
      <c r="N103" s="6">
        <v>1</v>
      </c>
      <c r="O103" s="173">
        <v>0</v>
      </c>
      <c r="P103" s="173">
        <v>0</v>
      </c>
      <c r="Q103" s="175">
        <f t="shared" si="5"/>
        <v>1</v>
      </c>
      <c r="R103" s="176">
        <f t="shared" si="6"/>
        <v>0</v>
      </c>
      <c r="S103" s="6"/>
    </row>
    <row r="104" spans="2:19" customFormat="1">
      <c r="B104" s="111">
        <f t="shared" si="7"/>
        <v>95</v>
      </c>
      <c r="C104" s="130" t="s">
        <v>311</v>
      </c>
      <c r="D104" s="7">
        <v>2010</v>
      </c>
      <c r="E104" s="212" t="s">
        <v>244</v>
      </c>
      <c r="F104" s="7">
        <v>1</v>
      </c>
      <c r="G104" s="7">
        <v>1</v>
      </c>
      <c r="H104" s="212" t="s">
        <v>56</v>
      </c>
      <c r="I104" s="212" t="s">
        <v>56</v>
      </c>
      <c r="J104" s="212" t="s">
        <v>397</v>
      </c>
      <c r="K104" s="131" t="str">
        <f t="shared" si="4"/>
        <v>Kursi Kayu-Ruang E-leaerning-2010</v>
      </c>
      <c r="L104" s="7"/>
      <c r="M104" s="18" t="s">
        <v>416</v>
      </c>
      <c r="N104" s="173">
        <v>0</v>
      </c>
      <c r="O104" s="173">
        <v>0</v>
      </c>
      <c r="P104" s="173">
        <v>0</v>
      </c>
      <c r="Q104" s="176">
        <f t="shared" si="5"/>
        <v>0</v>
      </c>
      <c r="R104" s="177">
        <f t="shared" si="6"/>
        <v>-1</v>
      </c>
      <c r="S104" s="178" t="s">
        <v>417</v>
      </c>
    </row>
    <row r="105" spans="2:19" customFormat="1">
      <c r="B105" s="111">
        <f t="shared" si="7"/>
        <v>96</v>
      </c>
      <c r="C105" s="130" t="s">
        <v>260</v>
      </c>
      <c r="D105" s="7">
        <v>2024</v>
      </c>
      <c r="E105" s="212" t="s">
        <v>244</v>
      </c>
      <c r="F105" s="7">
        <v>3</v>
      </c>
      <c r="G105" s="7">
        <v>3</v>
      </c>
      <c r="H105" s="212" t="s">
        <v>56</v>
      </c>
      <c r="I105" s="212" t="s">
        <v>56</v>
      </c>
      <c r="J105" s="212" t="s">
        <v>397</v>
      </c>
      <c r="K105" s="131" t="str">
        <f t="shared" si="4"/>
        <v>Infocus-Ruang E-leaerning-2024</v>
      </c>
      <c r="L105" s="7"/>
      <c r="M105" s="18" t="s">
        <v>418</v>
      </c>
      <c r="N105" s="174">
        <v>2</v>
      </c>
      <c r="O105" s="173">
        <v>0</v>
      </c>
      <c r="P105" s="174">
        <v>1</v>
      </c>
      <c r="Q105" s="177">
        <f t="shared" si="5"/>
        <v>3</v>
      </c>
      <c r="R105" s="177">
        <f t="shared" si="6"/>
        <v>0</v>
      </c>
      <c r="S105" s="178" t="s">
        <v>419</v>
      </c>
    </row>
    <row r="106" spans="2:19" customFormat="1">
      <c r="B106" s="111">
        <f t="shared" si="7"/>
        <v>97</v>
      </c>
      <c r="C106" s="130" t="s">
        <v>373</v>
      </c>
      <c r="D106" s="7">
        <v>2010</v>
      </c>
      <c r="E106" s="212" t="s">
        <v>244</v>
      </c>
      <c r="F106" s="7">
        <v>1</v>
      </c>
      <c r="G106" s="7">
        <v>1</v>
      </c>
      <c r="H106" s="212" t="s">
        <v>56</v>
      </c>
      <c r="I106" s="212" t="s">
        <v>56</v>
      </c>
      <c r="J106" s="212" t="s">
        <v>420</v>
      </c>
      <c r="K106" s="131" t="str">
        <f t="shared" si="4"/>
        <v>Lemari Kaca-R. Assesment-Mill-2010</v>
      </c>
      <c r="L106" s="7"/>
      <c r="M106" s="18" t="s">
        <v>421</v>
      </c>
      <c r="N106" s="174">
        <v>1</v>
      </c>
      <c r="O106" s="173">
        <v>0</v>
      </c>
      <c r="P106" s="173">
        <v>0</v>
      </c>
      <c r="Q106" s="175">
        <f t="shared" si="5"/>
        <v>1</v>
      </c>
      <c r="R106" s="177">
        <f t="shared" si="6"/>
        <v>0</v>
      </c>
      <c r="S106" s="6"/>
    </row>
    <row r="107" spans="2:19" customFormat="1">
      <c r="B107" s="111">
        <f t="shared" si="7"/>
        <v>98</v>
      </c>
      <c r="C107" s="130" t="s">
        <v>277</v>
      </c>
      <c r="D107" s="7">
        <v>2010</v>
      </c>
      <c r="E107" s="212" t="s">
        <v>244</v>
      </c>
      <c r="F107" s="7">
        <v>1</v>
      </c>
      <c r="G107" s="7">
        <v>1</v>
      </c>
      <c r="H107" s="212" t="s">
        <v>56</v>
      </c>
      <c r="I107" s="212" t="s">
        <v>56</v>
      </c>
      <c r="J107" s="212" t="s">
        <v>420</v>
      </c>
      <c r="K107" s="131" t="str">
        <f t="shared" si="4"/>
        <v>Filling Cabinet-R. Assesment-Mill-2010</v>
      </c>
      <c r="L107" s="7"/>
      <c r="M107" s="18" t="s">
        <v>422</v>
      </c>
      <c r="N107" s="174">
        <v>1</v>
      </c>
      <c r="O107" s="173">
        <v>0</v>
      </c>
      <c r="P107" s="173">
        <v>0</v>
      </c>
      <c r="Q107" s="175">
        <f t="shared" si="5"/>
        <v>1</v>
      </c>
      <c r="R107" s="177">
        <f t="shared" si="6"/>
        <v>0</v>
      </c>
      <c r="S107" s="6"/>
    </row>
    <row r="108" spans="2:19" customFormat="1">
      <c r="B108" s="111">
        <f t="shared" si="7"/>
        <v>99</v>
      </c>
      <c r="C108" s="130" t="s">
        <v>253</v>
      </c>
      <c r="D108" s="7">
        <v>2018</v>
      </c>
      <c r="E108" s="212" t="s">
        <v>244</v>
      </c>
      <c r="F108" s="7">
        <v>2</v>
      </c>
      <c r="G108" s="7">
        <v>2</v>
      </c>
      <c r="H108" s="212" t="s">
        <v>56</v>
      </c>
      <c r="I108" s="212" t="s">
        <v>56</v>
      </c>
      <c r="J108" s="212" t="s">
        <v>420</v>
      </c>
      <c r="K108" s="131" t="str">
        <f t="shared" si="4"/>
        <v>Kursi Merah Futura-R. Assesment-Mill-2018</v>
      </c>
      <c r="L108" s="7"/>
      <c r="M108" s="18" t="s">
        <v>423</v>
      </c>
      <c r="N108" s="174">
        <v>1</v>
      </c>
      <c r="O108" s="173">
        <v>0</v>
      </c>
      <c r="P108" s="174">
        <v>1</v>
      </c>
      <c r="Q108" s="175">
        <f t="shared" si="5"/>
        <v>2</v>
      </c>
      <c r="R108" s="177">
        <f t="shared" si="6"/>
        <v>0</v>
      </c>
      <c r="S108" s="178" t="s">
        <v>424</v>
      </c>
    </row>
    <row r="109" spans="2:19" customFormat="1">
      <c r="B109" s="111">
        <f t="shared" si="7"/>
        <v>100</v>
      </c>
      <c r="C109" s="130" t="s">
        <v>353</v>
      </c>
      <c r="D109" s="7">
        <v>2010</v>
      </c>
      <c r="E109" s="212" t="s">
        <v>244</v>
      </c>
      <c r="F109" s="7">
        <v>1</v>
      </c>
      <c r="G109" s="7">
        <v>1</v>
      </c>
      <c r="H109" s="212" t="s">
        <v>56</v>
      </c>
      <c r="I109" s="212" t="s">
        <v>56</v>
      </c>
      <c r="J109" s="212" t="s">
        <v>420</v>
      </c>
      <c r="K109" s="131" t="str">
        <f t="shared" si="4"/>
        <v>Meja Kerja-R. Assesment-Mill-2010</v>
      </c>
      <c r="L109" s="7"/>
      <c r="M109" s="18" t="s">
        <v>425</v>
      </c>
      <c r="N109" s="174">
        <v>1</v>
      </c>
      <c r="O109" s="173">
        <v>0</v>
      </c>
      <c r="P109" s="173">
        <v>0</v>
      </c>
      <c r="Q109" s="175">
        <f t="shared" si="5"/>
        <v>1</v>
      </c>
      <c r="R109" s="177">
        <f t="shared" si="6"/>
        <v>0</v>
      </c>
      <c r="S109" s="6"/>
    </row>
    <row r="110" spans="2:19" customFormat="1">
      <c r="B110" s="111">
        <f t="shared" si="7"/>
        <v>101</v>
      </c>
      <c r="C110" s="130" t="s">
        <v>172</v>
      </c>
      <c r="D110" s="7">
        <v>2010</v>
      </c>
      <c r="E110" s="212" t="s">
        <v>244</v>
      </c>
      <c r="F110" s="7">
        <v>1</v>
      </c>
      <c r="G110" s="7">
        <v>1</v>
      </c>
      <c r="H110" s="212" t="s">
        <v>56</v>
      </c>
      <c r="I110" s="212" t="s">
        <v>56</v>
      </c>
      <c r="J110" s="212" t="s">
        <v>420</v>
      </c>
      <c r="K110" s="131" t="str">
        <f t="shared" si="4"/>
        <v>AC-R. Assesment-Mill-2010</v>
      </c>
      <c r="L110" s="7"/>
      <c r="M110" s="18" t="s">
        <v>426</v>
      </c>
      <c r="N110" s="174">
        <v>1</v>
      </c>
      <c r="O110" s="173">
        <v>0</v>
      </c>
      <c r="P110" s="173">
        <v>0</v>
      </c>
      <c r="Q110" s="175">
        <f t="shared" si="5"/>
        <v>1</v>
      </c>
      <c r="R110" s="177">
        <f t="shared" si="6"/>
        <v>0</v>
      </c>
      <c r="S110" s="6"/>
    </row>
    <row r="111" spans="2:19" customFormat="1">
      <c r="B111" s="8">
        <f t="shared" si="7"/>
        <v>102</v>
      </c>
      <c r="C111" s="132" t="s">
        <v>172</v>
      </c>
      <c r="D111" s="180">
        <v>2010</v>
      </c>
      <c r="E111" s="213" t="s">
        <v>244</v>
      </c>
      <c r="F111" s="180">
        <v>1</v>
      </c>
      <c r="G111" s="180">
        <v>1</v>
      </c>
      <c r="H111" s="213" t="s">
        <v>56</v>
      </c>
      <c r="I111" s="213" t="s">
        <v>56</v>
      </c>
      <c r="J111" s="213" t="s">
        <v>384</v>
      </c>
      <c r="K111" s="180" t="str">
        <f t="shared" si="4"/>
        <v>AC-R. Assesment-Studio-2010</v>
      </c>
      <c r="L111" s="180"/>
      <c r="M111" s="184" t="s">
        <v>427</v>
      </c>
      <c r="N111" s="185">
        <v>1</v>
      </c>
      <c r="O111" s="186">
        <v>0</v>
      </c>
      <c r="P111" s="186">
        <v>0</v>
      </c>
      <c r="Q111" s="189">
        <f t="shared" si="5"/>
        <v>1</v>
      </c>
      <c r="R111" s="190">
        <f t="shared" si="6"/>
        <v>0</v>
      </c>
      <c r="S111" s="184"/>
    </row>
    <row r="112" spans="2:19" customFormat="1">
      <c r="B112" s="181">
        <f t="shared" si="7"/>
        <v>103</v>
      </c>
      <c r="C112" s="182" t="s">
        <v>302</v>
      </c>
      <c r="D112" s="183">
        <v>2018</v>
      </c>
      <c r="E112" s="214" t="s">
        <v>244</v>
      </c>
      <c r="F112" s="183">
        <v>1</v>
      </c>
      <c r="G112" s="183">
        <v>1</v>
      </c>
      <c r="H112" s="214" t="s">
        <v>56</v>
      </c>
      <c r="I112" s="214" t="s">
        <v>56</v>
      </c>
      <c r="J112" s="214" t="s">
        <v>245</v>
      </c>
      <c r="K112" s="183" t="str">
        <f t="shared" si="4"/>
        <v>Meja Kuning-Ruang Planter-2018</v>
      </c>
      <c r="L112" s="183"/>
      <c r="M112" s="187" t="s">
        <v>428</v>
      </c>
      <c r="N112" s="188">
        <v>0</v>
      </c>
      <c r="O112" s="188">
        <v>0</v>
      </c>
      <c r="P112" s="188">
        <v>0</v>
      </c>
      <c r="Q112" s="187">
        <f t="shared" si="5"/>
        <v>0</v>
      </c>
      <c r="R112" s="191">
        <f t="shared" si="6"/>
        <v>-1</v>
      </c>
      <c r="S112" s="187"/>
    </row>
    <row r="113" spans="2:19" customFormat="1">
      <c r="B113" s="181">
        <f t="shared" si="7"/>
        <v>104</v>
      </c>
      <c r="C113" s="182" t="s">
        <v>253</v>
      </c>
      <c r="D113" s="183">
        <v>2018</v>
      </c>
      <c r="E113" s="214" t="s">
        <v>244</v>
      </c>
      <c r="F113" s="183">
        <v>2</v>
      </c>
      <c r="G113" s="183">
        <v>2</v>
      </c>
      <c r="H113" s="214" t="s">
        <v>56</v>
      </c>
      <c r="I113" s="214" t="s">
        <v>56</v>
      </c>
      <c r="J113" s="214" t="s">
        <v>420</v>
      </c>
      <c r="K113" s="183" t="str">
        <f t="shared" si="4"/>
        <v>Kursi Merah Futura-R. Assesment-Mill-2018</v>
      </c>
      <c r="L113" s="183"/>
      <c r="M113" s="187" t="s">
        <v>429</v>
      </c>
      <c r="N113" s="188">
        <v>0</v>
      </c>
      <c r="O113" s="188">
        <v>0</v>
      </c>
      <c r="P113" s="188">
        <v>0</v>
      </c>
      <c r="Q113" s="187">
        <f t="shared" si="5"/>
        <v>0</v>
      </c>
      <c r="R113" s="191">
        <f t="shared" si="6"/>
        <v>-2</v>
      </c>
      <c r="S113" s="187"/>
    </row>
    <row r="114" spans="2:19" customFormat="1">
      <c r="B114" s="111">
        <v>102</v>
      </c>
      <c r="C114" s="130" t="s">
        <v>172</v>
      </c>
      <c r="D114" s="7">
        <v>2010</v>
      </c>
      <c r="E114" s="212" t="s">
        <v>244</v>
      </c>
      <c r="F114" s="7">
        <v>4</v>
      </c>
      <c r="G114" s="7">
        <v>4</v>
      </c>
      <c r="H114" s="212" t="s">
        <v>56</v>
      </c>
      <c r="I114" s="212" t="s">
        <v>56</v>
      </c>
      <c r="J114" s="212" t="s">
        <v>430</v>
      </c>
      <c r="K114" s="131" t="str">
        <f t="shared" si="4"/>
        <v>AC-R. Persistance &amp; Care-2010</v>
      </c>
      <c r="L114" s="7"/>
      <c r="M114" s="18" t="s">
        <v>431</v>
      </c>
      <c r="N114" s="6">
        <v>4</v>
      </c>
      <c r="O114" s="173">
        <v>0</v>
      </c>
      <c r="P114" s="173">
        <v>0</v>
      </c>
      <c r="Q114" s="175">
        <f t="shared" si="5"/>
        <v>4</v>
      </c>
      <c r="R114" s="176">
        <f t="shared" si="6"/>
        <v>0</v>
      </c>
      <c r="S114" s="18"/>
    </row>
    <row r="115" spans="2:19" customFormat="1">
      <c r="B115" s="8">
        <f>B114+1</f>
        <v>103</v>
      </c>
      <c r="C115" s="132" t="s">
        <v>248</v>
      </c>
      <c r="D115" s="7">
        <v>2010</v>
      </c>
      <c r="E115" s="212" t="s">
        <v>244</v>
      </c>
      <c r="F115" s="7">
        <v>5</v>
      </c>
      <c r="G115" s="7">
        <v>5</v>
      </c>
      <c r="H115" s="212" t="s">
        <v>56</v>
      </c>
      <c r="I115" s="212" t="s">
        <v>56</v>
      </c>
      <c r="J115" s="212" t="s">
        <v>430</v>
      </c>
      <c r="K115" s="131" t="str">
        <f t="shared" si="4"/>
        <v>Meja Panjang-R. Persistance &amp; Care-2010</v>
      </c>
      <c r="L115" s="7"/>
      <c r="M115" s="18" t="s">
        <v>432</v>
      </c>
      <c r="N115" s="173">
        <v>0</v>
      </c>
      <c r="O115" s="173">
        <v>0</v>
      </c>
      <c r="P115" s="173">
        <v>0</v>
      </c>
      <c r="Q115" s="176">
        <f t="shared" si="5"/>
        <v>0</v>
      </c>
      <c r="R115" s="177">
        <f t="shared" si="6"/>
        <v>-5</v>
      </c>
      <c r="S115" s="178" t="s">
        <v>433</v>
      </c>
    </row>
    <row r="116" spans="2:19" customFormat="1">
      <c r="B116" s="8">
        <f t="shared" si="7"/>
        <v>104</v>
      </c>
      <c r="C116" s="132" t="s">
        <v>302</v>
      </c>
      <c r="D116" s="7">
        <v>2018</v>
      </c>
      <c r="E116" s="212" t="s">
        <v>244</v>
      </c>
      <c r="F116" s="7">
        <v>7</v>
      </c>
      <c r="G116" s="7">
        <v>7</v>
      </c>
      <c r="H116" s="212" t="s">
        <v>56</v>
      </c>
      <c r="I116" s="212" t="s">
        <v>56</v>
      </c>
      <c r="J116" s="212" t="s">
        <v>430</v>
      </c>
      <c r="K116" s="131" t="str">
        <f t="shared" si="4"/>
        <v>Meja Kuning-R. Persistance &amp; Care-2018</v>
      </c>
      <c r="L116" s="7"/>
      <c r="M116" s="18" t="s">
        <v>434</v>
      </c>
      <c r="N116" s="6">
        <v>3</v>
      </c>
      <c r="O116" s="173">
        <v>0</v>
      </c>
      <c r="P116" s="6">
        <v>4</v>
      </c>
      <c r="Q116" s="175">
        <f t="shared" si="5"/>
        <v>7</v>
      </c>
      <c r="R116" s="176">
        <f t="shared" si="6"/>
        <v>0</v>
      </c>
      <c r="S116" s="178" t="s">
        <v>435</v>
      </c>
    </row>
    <row r="117" spans="2:19" customFormat="1">
      <c r="B117" s="8">
        <f t="shared" si="7"/>
        <v>105</v>
      </c>
      <c r="C117" s="132" t="s">
        <v>258</v>
      </c>
      <c r="D117" s="7">
        <v>2010</v>
      </c>
      <c r="E117" s="212" t="s">
        <v>244</v>
      </c>
      <c r="F117" s="7">
        <v>4</v>
      </c>
      <c r="G117" s="7">
        <v>4</v>
      </c>
      <c r="H117" s="212" t="s">
        <v>56</v>
      </c>
      <c r="I117" s="212" t="s">
        <v>56</v>
      </c>
      <c r="J117" s="212" t="s">
        <v>430</v>
      </c>
      <c r="K117" s="131" t="str">
        <f t="shared" si="4"/>
        <v>Meja Kayu Coklat-R. Persistance &amp; Care-2010</v>
      </c>
      <c r="L117" s="7"/>
      <c r="M117" s="18" t="s">
        <v>436</v>
      </c>
      <c r="N117" s="173">
        <v>0</v>
      </c>
      <c r="O117" s="173">
        <v>0</v>
      </c>
      <c r="P117" s="173">
        <v>0</v>
      </c>
      <c r="Q117" s="176">
        <f t="shared" si="5"/>
        <v>0</v>
      </c>
      <c r="R117" s="177">
        <f t="shared" si="6"/>
        <v>-4</v>
      </c>
      <c r="S117" s="178" t="s">
        <v>377</v>
      </c>
    </row>
    <row r="118" spans="2:19" customFormat="1">
      <c r="B118" s="8">
        <f t="shared" si="7"/>
        <v>106</v>
      </c>
      <c r="C118" s="132" t="s">
        <v>315</v>
      </c>
      <c r="D118" s="7">
        <v>2010</v>
      </c>
      <c r="E118" s="212" t="s">
        <v>244</v>
      </c>
      <c r="F118" s="7">
        <v>1</v>
      </c>
      <c r="G118" s="7">
        <v>1</v>
      </c>
      <c r="H118" s="212" t="s">
        <v>56</v>
      </c>
      <c r="I118" s="212" t="s">
        <v>56</v>
      </c>
      <c r="J118" s="212" t="s">
        <v>430</v>
      </c>
      <c r="K118" s="131" t="str">
        <f t="shared" si="4"/>
        <v>Kursi Putar Chitose-R. Persistance &amp; Care-2010</v>
      </c>
      <c r="L118" s="7"/>
      <c r="M118" s="18" t="s">
        <v>437</v>
      </c>
      <c r="N118" s="6">
        <v>1</v>
      </c>
      <c r="O118" s="173">
        <v>0</v>
      </c>
      <c r="P118" s="173">
        <v>0</v>
      </c>
      <c r="Q118" s="175">
        <f t="shared" si="5"/>
        <v>1</v>
      </c>
      <c r="R118" s="176">
        <f t="shared" si="6"/>
        <v>0</v>
      </c>
      <c r="S118" s="6"/>
    </row>
    <row r="119" spans="2:19" customFormat="1">
      <c r="B119" s="8">
        <f t="shared" si="7"/>
        <v>107</v>
      </c>
      <c r="C119" s="132" t="s">
        <v>311</v>
      </c>
      <c r="D119" s="7">
        <v>2010</v>
      </c>
      <c r="E119" s="212" t="s">
        <v>244</v>
      </c>
      <c r="F119" s="7">
        <v>1</v>
      </c>
      <c r="G119" s="7">
        <v>1</v>
      </c>
      <c r="H119" s="212" t="s">
        <v>56</v>
      </c>
      <c r="I119" s="212" t="s">
        <v>56</v>
      </c>
      <c r="J119" s="212" t="s">
        <v>430</v>
      </c>
      <c r="K119" s="131" t="str">
        <f t="shared" si="4"/>
        <v>Kursi Kayu-R. Persistance &amp; Care-2010</v>
      </c>
      <c r="L119" s="7"/>
      <c r="M119" s="18" t="s">
        <v>438</v>
      </c>
      <c r="N119" s="173">
        <v>0</v>
      </c>
      <c r="O119" s="173">
        <v>0</v>
      </c>
      <c r="P119" s="173">
        <v>0</v>
      </c>
      <c r="Q119" s="176">
        <f t="shared" si="5"/>
        <v>0</v>
      </c>
      <c r="R119" s="177">
        <f t="shared" si="6"/>
        <v>-1</v>
      </c>
      <c r="S119" s="178" t="s">
        <v>439</v>
      </c>
    </row>
    <row r="120" spans="2:19" customFormat="1">
      <c r="B120" s="8">
        <f t="shared" si="7"/>
        <v>108</v>
      </c>
      <c r="C120" s="132" t="s">
        <v>253</v>
      </c>
      <c r="D120" s="7">
        <v>2018</v>
      </c>
      <c r="E120" s="212" t="s">
        <v>244</v>
      </c>
      <c r="F120" s="7">
        <v>29</v>
      </c>
      <c r="G120" s="7">
        <v>29</v>
      </c>
      <c r="H120" s="212" t="s">
        <v>56</v>
      </c>
      <c r="I120" s="212" t="s">
        <v>56</v>
      </c>
      <c r="J120" s="212" t="s">
        <v>430</v>
      </c>
      <c r="K120" s="131" t="str">
        <f t="shared" si="4"/>
        <v>Kursi Merah Futura-R. Persistance &amp; Care-2018</v>
      </c>
      <c r="L120" s="7"/>
      <c r="M120" s="18" t="s">
        <v>440</v>
      </c>
      <c r="N120" s="6">
        <v>38</v>
      </c>
      <c r="O120" s="173">
        <v>0</v>
      </c>
      <c r="P120" s="173">
        <v>0</v>
      </c>
      <c r="Q120" s="175">
        <f t="shared" si="5"/>
        <v>38</v>
      </c>
      <c r="R120" s="177">
        <f t="shared" si="6"/>
        <v>9</v>
      </c>
      <c r="S120" s="178" t="s">
        <v>441</v>
      </c>
    </row>
    <row r="121" spans="2:19" customFormat="1">
      <c r="B121" s="8">
        <f t="shared" si="7"/>
        <v>109</v>
      </c>
      <c r="C121" s="132" t="s">
        <v>264</v>
      </c>
      <c r="D121" s="7">
        <v>2010</v>
      </c>
      <c r="E121" s="212" t="s">
        <v>244</v>
      </c>
      <c r="F121" s="7">
        <v>2</v>
      </c>
      <c r="G121" s="7">
        <v>2</v>
      </c>
      <c r="H121" s="212" t="s">
        <v>56</v>
      </c>
      <c r="I121" s="212" t="s">
        <v>56</v>
      </c>
      <c r="J121" s="212" t="s">
        <v>430</v>
      </c>
      <c r="K121" s="131" t="str">
        <f t="shared" si="4"/>
        <v>Whiteboard-R. Persistance &amp; Care-2010</v>
      </c>
      <c r="L121" s="7"/>
      <c r="M121" s="18" t="s">
        <v>442</v>
      </c>
      <c r="N121" s="6">
        <v>1</v>
      </c>
      <c r="O121" s="173">
        <v>0</v>
      </c>
      <c r="P121" s="6">
        <v>1</v>
      </c>
      <c r="Q121" s="175">
        <f t="shared" si="5"/>
        <v>2</v>
      </c>
      <c r="R121" s="176">
        <f t="shared" si="6"/>
        <v>0</v>
      </c>
      <c r="S121" s="178" t="s">
        <v>443</v>
      </c>
    </row>
    <row r="122" spans="2:19" customFormat="1">
      <c r="B122" s="8">
        <f t="shared" si="7"/>
        <v>110</v>
      </c>
      <c r="C122" s="132" t="s">
        <v>248</v>
      </c>
      <c r="D122" s="7">
        <v>2010</v>
      </c>
      <c r="E122" s="212" t="s">
        <v>244</v>
      </c>
      <c r="F122" s="7">
        <v>2</v>
      </c>
      <c r="G122" s="7">
        <v>2</v>
      </c>
      <c r="H122" s="212" t="s">
        <v>56</v>
      </c>
      <c r="I122" s="212" t="s">
        <v>56</v>
      </c>
      <c r="J122" s="212" t="s">
        <v>444</v>
      </c>
      <c r="K122" s="131" t="str">
        <f t="shared" si="4"/>
        <v>Meja Panjang-R. Diligance-2010</v>
      </c>
      <c r="L122" s="7"/>
      <c r="M122" s="18" t="s">
        <v>445</v>
      </c>
      <c r="N122" s="6">
        <v>2</v>
      </c>
      <c r="O122" s="173">
        <v>0</v>
      </c>
      <c r="P122" s="173">
        <v>0</v>
      </c>
      <c r="Q122" s="175">
        <f t="shared" si="5"/>
        <v>2</v>
      </c>
      <c r="R122" s="176">
        <f t="shared" si="6"/>
        <v>0</v>
      </c>
      <c r="S122" s="6"/>
    </row>
    <row r="123" spans="2:19" customFormat="1">
      <c r="B123" s="8">
        <f t="shared" si="7"/>
        <v>111</v>
      </c>
      <c r="C123" s="132" t="s">
        <v>172</v>
      </c>
      <c r="D123" s="7">
        <v>2010</v>
      </c>
      <c r="E123" s="212" t="s">
        <v>244</v>
      </c>
      <c r="F123" s="7">
        <v>2</v>
      </c>
      <c r="G123" s="7">
        <v>2</v>
      </c>
      <c r="H123" s="212" t="s">
        <v>56</v>
      </c>
      <c r="I123" s="212" t="s">
        <v>56</v>
      </c>
      <c r="J123" s="212" t="s">
        <v>444</v>
      </c>
      <c r="K123" s="131" t="str">
        <f t="shared" si="4"/>
        <v>AC-R. Diligance-2010</v>
      </c>
      <c r="L123" s="7"/>
      <c r="M123" s="18" t="s">
        <v>446</v>
      </c>
      <c r="N123" s="6">
        <v>2</v>
      </c>
      <c r="O123" s="173">
        <v>0</v>
      </c>
      <c r="P123" s="173">
        <v>0</v>
      </c>
      <c r="Q123" s="175">
        <f t="shared" si="5"/>
        <v>2</v>
      </c>
      <c r="R123" s="176">
        <f t="shared" si="6"/>
        <v>0</v>
      </c>
      <c r="S123" s="6"/>
    </row>
    <row r="124" spans="2:19" customFormat="1">
      <c r="B124" s="8">
        <f t="shared" si="7"/>
        <v>112</v>
      </c>
      <c r="C124" s="132" t="s">
        <v>447</v>
      </c>
      <c r="D124" s="7">
        <v>2010</v>
      </c>
      <c r="E124" s="212" t="s">
        <v>244</v>
      </c>
      <c r="F124" s="7">
        <v>1</v>
      </c>
      <c r="G124" s="7">
        <v>1</v>
      </c>
      <c r="H124" s="212" t="s">
        <v>56</v>
      </c>
      <c r="I124" s="212" t="s">
        <v>56</v>
      </c>
      <c r="J124" s="212" t="s">
        <v>444</v>
      </c>
      <c r="K124" s="131" t="str">
        <f t="shared" si="4"/>
        <v>Kursi Coklat-R. Diligance-2010</v>
      </c>
      <c r="L124" s="7"/>
      <c r="M124" s="18" t="s">
        <v>448</v>
      </c>
      <c r="N124" s="6">
        <v>1</v>
      </c>
      <c r="O124" s="173">
        <v>0</v>
      </c>
      <c r="P124" s="173">
        <v>0</v>
      </c>
      <c r="Q124" s="175">
        <f t="shared" si="5"/>
        <v>1</v>
      </c>
      <c r="R124" s="176">
        <f t="shared" si="6"/>
        <v>0</v>
      </c>
      <c r="S124" s="6"/>
    </row>
    <row r="125" spans="2:19" customFormat="1">
      <c r="B125" s="8">
        <f t="shared" si="7"/>
        <v>113</v>
      </c>
      <c r="C125" s="132" t="s">
        <v>258</v>
      </c>
      <c r="D125" s="7">
        <v>2010</v>
      </c>
      <c r="E125" s="212" t="s">
        <v>244</v>
      </c>
      <c r="F125" s="7">
        <v>3</v>
      </c>
      <c r="G125" s="7">
        <v>3</v>
      </c>
      <c r="H125" s="212" t="s">
        <v>56</v>
      </c>
      <c r="I125" s="212" t="s">
        <v>56</v>
      </c>
      <c r="J125" s="212" t="s">
        <v>444</v>
      </c>
      <c r="K125" s="131" t="str">
        <f t="shared" si="4"/>
        <v>Meja Kayu Coklat-R. Diligance-2010</v>
      </c>
      <c r="L125" s="7"/>
      <c r="M125" s="18" t="s">
        <v>449</v>
      </c>
      <c r="N125" s="6">
        <v>3</v>
      </c>
      <c r="O125" s="173">
        <v>0</v>
      </c>
      <c r="P125" s="173">
        <v>0</v>
      </c>
      <c r="Q125" s="175">
        <f t="shared" si="5"/>
        <v>3</v>
      </c>
      <c r="R125" s="176">
        <f t="shared" si="6"/>
        <v>0</v>
      </c>
      <c r="S125" s="6"/>
    </row>
    <row r="126" spans="2:19" customFormat="1">
      <c r="B126" s="8">
        <f t="shared" si="7"/>
        <v>114</v>
      </c>
      <c r="C126" s="132" t="s">
        <v>353</v>
      </c>
      <c r="D126" s="7">
        <v>2010</v>
      </c>
      <c r="E126" s="212" t="s">
        <v>244</v>
      </c>
      <c r="F126" s="7">
        <v>1</v>
      </c>
      <c r="G126" s="7">
        <v>1</v>
      </c>
      <c r="H126" s="212" t="s">
        <v>56</v>
      </c>
      <c r="I126" s="212" t="s">
        <v>56</v>
      </c>
      <c r="J126" s="212" t="s">
        <v>444</v>
      </c>
      <c r="K126" s="131" t="str">
        <f t="shared" si="4"/>
        <v>Meja Kerja-R. Diligance-2010</v>
      </c>
      <c r="L126" s="7"/>
      <c r="M126" s="18" t="s">
        <v>450</v>
      </c>
      <c r="N126" s="6">
        <v>1</v>
      </c>
      <c r="O126" s="173">
        <v>0</v>
      </c>
      <c r="P126" s="173">
        <v>0</v>
      </c>
      <c r="Q126" s="175">
        <f t="shared" si="5"/>
        <v>1</v>
      </c>
      <c r="R126" s="176">
        <f t="shared" si="6"/>
        <v>0</v>
      </c>
      <c r="S126" s="6"/>
    </row>
    <row r="127" spans="2:19" customFormat="1">
      <c r="B127" s="8">
        <f t="shared" si="7"/>
        <v>115</v>
      </c>
      <c r="C127" s="132" t="s">
        <v>264</v>
      </c>
      <c r="D127" s="7">
        <v>2010</v>
      </c>
      <c r="E127" s="212" t="s">
        <v>244</v>
      </c>
      <c r="F127" s="7">
        <v>1</v>
      </c>
      <c r="G127" s="7">
        <v>1</v>
      </c>
      <c r="H127" s="212" t="s">
        <v>56</v>
      </c>
      <c r="I127" s="212" t="s">
        <v>56</v>
      </c>
      <c r="J127" s="212" t="s">
        <v>444</v>
      </c>
      <c r="K127" s="131" t="str">
        <f t="shared" si="4"/>
        <v>Whiteboard-R. Diligance-2010</v>
      </c>
      <c r="L127" s="7"/>
      <c r="M127" s="18" t="s">
        <v>451</v>
      </c>
      <c r="N127" s="6">
        <v>1</v>
      </c>
      <c r="O127" s="173">
        <v>0</v>
      </c>
      <c r="P127" s="173">
        <v>0</v>
      </c>
      <c r="Q127" s="175">
        <f t="shared" si="5"/>
        <v>1</v>
      </c>
      <c r="R127" s="176">
        <f t="shared" si="6"/>
        <v>0</v>
      </c>
      <c r="S127" s="6"/>
    </row>
    <row r="128" spans="2:19" customFormat="1">
      <c r="B128" s="8">
        <f t="shared" si="7"/>
        <v>116</v>
      </c>
      <c r="C128" s="132" t="s">
        <v>452</v>
      </c>
      <c r="D128" s="7">
        <v>2010</v>
      </c>
      <c r="E128" s="212" t="s">
        <v>251</v>
      </c>
      <c r="F128" s="7">
        <v>1</v>
      </c>
      <c r="G128" s="7">
        <v>1</v>
      </c>
      <c r="H128" s="212" t="s">
        <v>56</v>
      </c>
      <c r="I128" s="212" t="s">
        <v>56</v>
      </c>
      <c r="J128" s="212" t="s">
        <v>453</v>
      </c>
      <c r="K128" s="131" t="str">
        <f t="shared" si="4"/>
        <v>Sofa-Aula-2010</v>
      </c>
      <c r="L128" s="7"/>
      <c r="M128" s="18" t="s">
        <v>454</v>
      </c>
      <c r="N128" s="6">
        <v>1</v>
      </c>
      <c r="O128" s="173">
        <v>0</v>
      </c>
      <c r="P128" s="173">
        <v>0</v>
      </c>
      <c r="Q128" s="175">
        <f t="shared" si="5"/>
        <v>1</v>
      </c>
      <c r="R128" s="176">
        <f t="shared" si="6"/>
        <v>0</v>
      </c>
      <c r="S128" s="6"/>
    </row>
    <row r="129" spans="2:19" customFormat="1">
      <c r="B129" s="8">
        <f t="shared" si="7"/>
        <v>117</v>
      </c>
      <c r="C129" s="132" t="s">
        <v>371</v>
      </c>
      <c r="D129" s="7">
        <v>2010</v>
      </c>
      <c r="E129" s="212" t="s">
        <v>244</v>
      </c>
      <c r="F129" s="7">
        <v>1</v>
      </c>
      <c r="G129" s="7">
        <v>1</v>
      </c>
      <c r="H129" s="212" t="s">
        <v>56</v>
      </c>
      <c r="I129" s="212" t="s">
        <v>56</v>
      </c>
      <c r="J129" s="212" t="s">
        <v>453</v>
      </c>
      <c r="K129" s="131" t="str">
        <f t="shared" si="4"/>
        <v>Lemari Buku-Aula-2010</v>
      </c>
      <c r="L129" s="7"/>
      <c r="M129" s="18" t="s">
        <v>455</v>
      </c>
      <c r="N129" s="6">
        <v>1</v>
      </c>
      <c r="O129" s="173">
        <v>0</v>
      </c>
      <c r="P129" s="173">
        <v>0</v>
      </c>
      <c r="Q129" s="175">
        <f t="shared" si="5"/>
        <v>1</v>
      </c>
      <c r="R129" s="176">
        <f t="shared" si="6"/>
        <v>0</v>
      </c>
      <c r="S129" s="6"/>
    </row>
    <row r="130" spans="2:19" customFormat="1">
      <c r="B130" s="8">
        <f t="shared" si="7"/>
        <v>118</v>
      </c>
      <c r="C130" s="132" t="s">
        <v>456</v>
      </c>
      <c r="D130" s="7">
        <v>2011</v>
      </c>
      <c r="E130" s="212" t="s">
        <v>244</v>
      </c>
      <c r="F130" s="7">
        <v>1</v>
      </c>
      <c r="G130" s="7">
        <v>1</v>
      </c>
      <c r="H130" s="212" t="s">
        <v>56</v>
      </c>
      <c r="I130" s="212" t="s">
        <v>56</v>
      </c>
      <c r="J130" s="212" t="s">
        <v>453</v>
      </c>
      <c r="K130" s="131" t="str">
        <f t="shared" si="4"/>
        <v>TV-Aula-2011</v>
      </c>
      <c r="L130" s="7"/>
      <c r="M130" s="18" t="s">
        <v>457</v>
      </c>
      <c r="N130" s="6">
        <v>1</v>
      </c>
      <c r="O130" s="173">
        <v>0</v>
      </c>
      <c r="P130" s="173">
        <v>0</v>
      </c>
      <c r="Q130" s="175">
        <f t="shared" si="5"/>
        <v>1</v>
      </c>
      <c r="R130" s="176">
        <f t="shared" si="6"/>
        <v>0</v>
      </c>
      <c r="S130" s="6"/>
    </row>
    <row r="131" spans="2:19" customFormat="1">
      <c r="B131" s="8">
        <f t="shared" si="7"/>
        <v>119</v>
      </c>
      <c r="C131" s="132" t="s">
        <v>288</v>
      </c>
      <c r="D131" s="7">
        <v>2010</v>
      </c>
      <c r="E131" s="212" t="s">
        <v>244</v>
      </c>
      <c r="F131" s="7">
        <v>6</v>
      </c>
      <c r="G131" s="7">
        <v>6</v>
      </c>
      <c r="H131" s="212" t="s">
        <v>56</v>
      </c>
      <c r="I131" s="212" t="s">
        <v>56</v>
      </c>
      <c r="J131" s="212" t="s">
        <v>453</v>
      </c>
      <c r="K131" s="131" t="str">
        <f t="shared" si="4"/>
        <v>Celling Fan-Aula-2010</v>
      </c>
      <c r="L131" s="7"/>
      <c r="M131" s="18" t="s">
        <v>458</v>
      </c>
      <c r="N131" s="6">
        <v>6</v>
      </c>
      <c r="O131" s="173">
        <v>0</v>
      </c>
      <c r="P131" s="173">
        <v>0</v>
      </c>
      <c r="Q131" s="175">
        <f t="shared" si="5"/>
        <v>6</v>
      </c>
      <c r="R131" s="176">
        <f t="shared" si="6"/>
        <v>0</v>
      </c>
      <c r="S131" s="6"/>
    </row>
    <row r="132" spans="2:19" customFormat="1">
      <c r="B132" s="8">
        <f t="shared" si="7"/>
        <v>120</v>
      </c>
      <c r="C132" s="132" t="s">
        <v>459</v>
      </c>
      <c r="D132" s="7">
        <v>2010</v>
      </c>
      <c r="E132" s="212" t="s">
        <v>244</v>
      </c>
      <c r="F132" s="7">
        <v>1</v>
      </c>
      <c r="G132" s="7">
        <v>1</v>
      </c>
      <c r="H132" s="212" t="s">
        <v>56</v>
      </c>
      <c r="I132" s="212" t="s">
        <v>56</v>
      </c>
      <c r="J132" s="212" t="s">
        <v>453</v>
      </c>
      <c r="K132" s="131" t="str">
        <f t="shared" si="4"/>
        <v>Meja Kantor-Aula-2010</v>
      </c>
      <c r="L132" s="7"/>
      <c r="M132" s="18" t="s">
        <v>460</v>
      </c>
      <c r="N132" s="6">
        <v>1</v>
      </c>
      <c r="O132" s="173">
        <v>0</v>
      </c>
      <c r="P132" s="173">
        <v>0</v>
      </c>
      <c r="Q132" s="175">
        <f t="shared" si="5"/>
        <v>1</v>
      </c>
      <c r="R132" s="176">
        <f t="shared" si="6"/>
        <v>0</v>
      </c>
      <c r="S132" s="6"/>
    </row>
    <row r="133" spans="2:19" customFormat="1">
      <c r="B133" s="8">
        <f t="shared" si="7"/>
        <v>121</v>
      </c>
      <c r="C133" s="132" t="s">
        <v>262</v>
      </c>
      <c r="D133" s="7">
        <v>0</v>
      </c>
      <c r="E133" s="212" t="s">
        <v>244</v>
      </c>
      <c r="F133" s="7">
        <v>1</v>
      </c>
      <c r="G133" s="7">
        <v>1</v>
      </c>
      <c r="H133" s="212" t="s">
        <v>56</v>
      </c>
      <c r="I133" s="212" t="s">
        <v>56</v>
      </c>
      <c r="J133" s="212" t="s">
        <v>453</v>
      </c>
      <c r="K133" s="131" t="str">
        <f t="shared" si="4"/>
        <v>Jam Dinding-Aula-0</v>
      </c>
      <c r="L133" s="7"/>
      <c r="M133" s="18" t="s">
        <v>461</v>
      </c>
      <c r="N133" s="6">
        <v>1</v>
      </c>
      <c r="O133" s="173">
        <v>0</v>
      </c>
      <c r="P133" s="173">
        <v>0</v>
      </c>
      <c r="Q133" s="175">
        <f t="shared" si="5"/>
        <v>1</v>
      </c>
      <c r="R133" s="176">
        <f t="shared" si="6"/>
        <v>0</v>
      </c>
      <c r="S133" s="6"/>
    </row>
    <row r="134" spans="2:19" customFormat="1">
      <c r="B134" s="8">
        <f t="shared" si="7"/>
        <v>122</v>
      </c>
      <c r="C134" s="132" t="s">
        <v>462</v>
      </c>
      <c r="D134" s="7">
        <v>0</v>
      </c>
      <c r="E134" s="212" t="s">
        <v>244</v>
      </c>
      <c r="F134" s="7">
        <v>2</v>
      </c>
      <c r="G134" s="7">
        <v>2</v>
      </c>
      <c r="H134" s="212" t="s">
        <v>56</v>
      </c>
      <c r="I134" s="212" t="s">
        <v>56</v>
      </c>
      <c r="J134" s="212" t="s">
        <v>453</v>
      </c>
      <c r="K134" s="131" t="str">
        <f t="shared" si="4"/>
        <v>Kursi Bandara-Aula-0</v>
      </c>
      <c r="L134" s="7"/>
      <c r="M134" s="18" t="s">
        <v>463</v>
      </c>
      <c r="N134" s="6">
        <v>2</v>
      </c>
      <c r="O134" s="173">
        <v>0</v>
      </c>
      <c r="P134" s="173">
        <v>0</v>
      </c>
      <c r="Q134" s="175">
        <f t="shared" si="5"/>
        <v>2</v>
      </c>
      <c r="R134" s="176">
        <f t="shared" si="6"/>
        <v>0</v>
      </c>
      <c r="S134" s="6"/>
    </row>
    <row r="135" spans="2:19" customFormat="1">
      <c r="B135" s="8">
        <f t="shared" si="7"/>
        <v>123</v>
      </c>
      <c r="C135" s="132" t="s">
        <v>262</v>
      </c>
      <c r="D135" s="7">
        <v>0</v>
      </c>
      <c r="E135" s="212" t="s">
        <v>244</v>
      </c>
      <c r="F135" s="7">
        <v>1</v>
      </c>
      <c r="G135" s="7">
        <v>1</v>
      </c>
      <c r="H135" s="212" t="s">
        <v>56</v>
      </c>
      <c r="I135" s="7"/>
      <c r="J135" s="212" t="s">
        <v>296</v>
      </c>
      <c r="K135" s="131"/>
      <c r="L135" s="7"/>
      <c r="M135" s="18"/>
      <c r="N135" s="6">
        <v>1</v>
      </c>
      <c r="O135" s="173">
        <v>0</v>
      </c>
      <c r="P135" s="173">
        <v>0</v>
      </c>
      <c r="Q135" s="175">
        <f t="shared" si="5"/>
        <v>1</v>
      </c>
      <c r="R135" s="176">
        <f t="shared" si="6"/>
        <v>0</v>
      </c>
      <c r="S135" s="6"/>
    </row>
    <row r="136" spans="2:19" customFormat="1">
      <c r="B136" s="8">
        <f t="shared" si="7"/>
        <v>124</v>
      </c>
      <c r="C136" s="132" t="s">
        <v>262</v>
      </c>
      <c r="D136" s="7">
        <v>0</v>
      </c>
      <c r="E136" s="212" t="s">
        <v>244</v>
      </c>
      <c r="F136" s="7">
        <v>1</v>
      </c>
      <c r="G136" s="7">
        <v>1</v>
      </c>
      <c r="H136" s="212" t="s">
        <v>56</v>
      </c>
      <c r="I136" s="7"/>
      <c r="J136" s="212" t="s">
        <v>321</v>
      </c>
      <c r="K136" s="131"/>
      <c r="L136" s="7"/>
      <c r="M136" s="18"/>
      <c r="N136" s="6">
        <v>1</v>
      </c>
      <c r="O136" s="173">
        <v>0</v>
      </c>
      <c r="P136" s="173">
        <v>0</v>
      </c>
      <c r="Q136" s="175">
        <f t="shared" si="5"/>
        <v>1</v>
      </c>
      <c r="R136" s="176">
        <f t="shared" si="6"/>
        <v>0</v>
      </c>
      <c r="S136" s="6"/>
    </row>
    <row r="137" spans="2:19" customFormat="1">
      <c r="B137" s="8">
        <f t="shared" si="7"/>
        <v>125</v>
      </c>
      <c r="C137" s="132" t="s">
        <v>464</v>
      </c>
      <c r="D137" s="7">
        <v>0</v>
      </c>
      <c r="E137" s="212" t="s">
        <v>244</v>
      </c>
      <c r="F137" s="7">
        <v>1</v>
      </c>
      <c r="G137" s="7">
        <v>1</v>
      </c>
      <c r="H137" s="212" t="s">
        <v>56</v>
      </c>
      <c r="I137" s="7"/>
      <c r="J137" s="212" t="s">
        <v>350</v>
      </c>
      <c r="K137" s="131"/>
      <c r="L137" s="7"/>
      <c r="M137" s="18"/>
      <c r="N137" s="6">
        <v>1</v>
      </c>
      <c r="O137" s="173">
        <v>0</v>
      </c>
      <c r="P137" s="173">
        <v>0</v>
      </c>
      <c r="Q137" s="175">
        <f t="shared" si="5"/>
        <v>1</v>
      </c>
      <c r="R137" s="176">
        <f t="shared" si="6"/>
        <v>0</v>
      </c>
      <c r="S137" s="6"/>
    </row>
    <row r="138" spans="2:19" customFormat="1">
      <c r="B138" s="8">
        <f t="shared" si="7"/>
        <v>126</v>
      </c>
      <c r="C138" s="132" t="s">
        <v>465</v>
      </c>
      <c r="D138" s="7">
        <v>0</v>
      </c>
      <c r="E138" s="212" t="s">
        <v>244</v>
      </c>
      <c r="F138" s="7">
        <v>1</v>
      </c>
      <c r="G138" s="7">
        <v>1</v>
      </c>
      <c r="H138" s="212" t="s">
        <v>56</v>
      </c>
      <c r="I138" s="7"/>
      <c r="J138" s="212" t="s">
        <v>350</v>
      </c>
      <c r="K138" s="131"/>
      <c r="L138" s="7"/>
      <c r="M138" s="18"/>
      <c r="N138" s="6">
        <v>1</v>
      </c>
      <c r="O138" s="173">
        <v>0</v>
      </c>
      <c r="P138" s="173">
        <v>0</v>
      </c>
      <c r="Q138" s="175">
        <f t="shared" si="5"/>
        <v>1</v>
      </c>
      <c r="R138" s="176">
        <f t="shared" si="6"/>
        <v>0</v>
      </c>
      <c r="S138" s="6"/>
    </row>
    <row r="139" spans="2:19" customFormat="1">
      <c r="B139" s="8">
        <f t="shared" si="7"/>
        <v>127</v>
      </c>
      <c r="C139" s="132" t="s">
        <v>466</v>
      </c>
      <c r="D139" s="7">
        <v>0</v>
      </c>
      <c r="E139" s="212" t="s">
        <v>244</v>
      </c>
      <c r="F139" s="7">
        <v>1</v>
      </c>
      <c r="G139" s="7">
        <v>1</v>
      </c>
      <c r="H139" s="212" t="s">
        <v>56</v>
      </c>
      <c r="I139" s="7"/>
      <c r="J139" s="212" t="s">
        <v>267</v>
      </c>
      <c r="K139" s="131"/>
      <c r="L139" s="7"/>
      <c r="M139" s="18"/>
      <c r="N139" s="6">
        <v>1</v>
      </c>
      <c r="O139" s="173">
        <v>0</v>
      </c>
      <c r="P139" s="173">
        <v>0</v>
      </c>
      <c r="Q139" s="175">
        <f t="shared" ref="Q139:Q140" si="8">SUM(N139:P139)</f>
        <v>1</v>
      </c>
      <c r="R139" s="176">
        <f t="shared" ref="R139:R140" si="9">Q139-F139</f>
        <v>0</v>
      </c>
      <c r="S139" s="6"/>
    </row>
    <row r="140" spans="2:19" customFormat="1">
      <c r="B140" s="8">
        <f t="shared" ref="B140" si="10">B139+1</f>
        <v>128</v>
      </c>
      <c r="C140" s="132" t="s">
        <v>467</v>
      </c>
      <c r="D140" s="7">
        <v>0</v>
      </c>
      <c r="E140" s="212" t="s">
        <v>244</v>
      </c>
      <c r="F140" s="7">
        <v>2</v>
      </c>
      <c r="G140" s="7">
        <v>2</v>
      </c>
      <c r="H140" s="212" t="s">
        <v>56</v>
      </c>
      <c r="I140" s="7"/>
      <c r="J140" s="211" t="s">
        <v>245</v>
      </c>
      <c r="K140" s="131"/>
      <c r="L140" s="7"/>
      <c r="M140" s="18"/>
      <c r="N140" s="6">
        <v>2</v>
      </c>
      <c r="O140" s="173">
        <v>0</v>
      </c>
      <c r="P140" s="173">
        <v>0</v>
      </c>
      <c r="Q140" s="175">
        <f t="shared" si="8"/>
        <v>2</v>
      </c>
      <c r="R140" s="176">
        <f t="shared" si="9"/>
        <v>0</v>
      </c>
      <c r="S140" s="6"/>
    </row>
    <row r="141" spans="2:19">
      <c r="B141" s="116"/>
      <c r="C141" s="46"/>
      <c r="D141" s="46"/>
      <c r="E141" s="46"/>
      <c r="F141" s="46"/>
      <c r="G141" s="46"/>
      <c r="H141" s="46"/>
      <c r="I141" s="46"/>
      <c r="J141" s="46"/>
      <c r="K141" s="46"/>
      <c r="L141" s="128"/>
      <c r="N141" s="1">
        <f>SUM(N10:N140)</f>
        <v>383</v>
      </c>
      <c r="R141" s="192"/>
    </row>
    <row r="142" spans="2:19">
      <c r="B142" s="227" t="s">
        <v>468</v>
      </c>
      <c r="C142" s="228"/>
      <c r="D142" s="46"/>
      <c r="E142" s="228" t="s">
        <v>469</v>
      </c>
      <c r="F142" s="228"/>
      <c r="G142" s="228"/>
      <c r="H142" s="46"/>
      <c r="I142" s="46"/>
      <c r="J142" s="229" t="s">
        <v>470</v>
      </c>
      <c r="K142" s="229"/>
      <c r="L142" s="230"/>
    </row>
    <row r="143" spans="2:19">
      <c r="B143" s="116"/>
      <c r="C143" s="46"/>
      <c r="D143" s="46"/>
      <c r="E143" s="46"/>
      <c r="F143" s="46"/>
      <c r="G143" s="46"/>
      <c r="H143" s="46"/>
      <c r="I143" s="46"/>
      <c r="J143" s="46"/>
      <c r="K143" s="46"/>
      <c r="L143" s="128"/>
    </row>
    <row r="144" spans="2:19">
      <c r="B144" s="116"/>
      <c r="C144" s="46"/>
      <c r="D144" s="46"/>
      <c r="E144" s="46"/>
      <c r="F144" s="46"/>
      <c r="G144" s="46"/>
      <c r="H144" s="46"/>
      <c r="I144" s="46"/>
      <c r="J144" s="46"/>
      <c r="K144" s="46"/>
      <c r="L144" s="128"/>
    </row>
    <row r="145" spans="2:12">
      <c r="B145" s="116"/>
      <c r="C145" s="46"/>
      <c r="D145" s="46"/>
      <c r="E145" s="46"/>
      <c r="F145" s="46"/>
      <c r="G145" s="46"/>
      <c r="H145" s="46"/>
      <c r="I145" s="46"/>
      <c r="J145" s="46"/>
      <c r="K145" s="46"/>
      <c r="L145" s="128"/>
    </row>
    <row r="146" spans="2:12">
      <c r="B146" s="116"/>
      <c r="C146" s="46"/>
      <c r="D146" s="46"/>
      <c r="E146" s="46"/>
      <c r="F146" s="46"/>
      <c r="G146" s="46"/>
      <c r="H146" s="46"/>
      <c r="I146" s="46"/>
      <c r="J146" s="46"/>
      <c r="K146" s="46"/>
      <c r="L146" s="128"/>
    </row>
    <row r="147" spans="2:12">
      <c r="B147" s="231" t="s">
        <v>471</v>
      </c>
      <c r="C147" s="232"/>
      <c r="D147" s="118"/>
      <c r="E147" s="233" t="s">
        <v>472</v>
      </c>
      <c r="F147" s="233"/>
      <c r="G147" s="233"/>
      <c r="H147" s="118"/>
      <c r="I147" s="118"/>
      <c r="J147" s="233" t="s">
        <v>473</v>
      </c>
      <c r="K147" s="233"/>
      <c r="L147" s="234"/>
    </row>
    <row r="148" spans="2:12">
      <c r="B148" s="120"/>
    </row>
    <row r="149" spans="2:12">
      <c r="B149" s="120"/>
    </row>
    <row r="150" spans="2:12">
      <c r="B150" s="120"/>
    </row>
    <row r="151" spans="2:12">
      <c r="B151" s="120"/>
    </row>
    <row r="152" spans="2:12">
      <c r="B152" s="120"/>
    </row>
    <row r="153" spans="2:12">
      <c r="B153" s="120"/>
    </row>
    <row r="154" spans="2:12">
      <c r="B154" s="120"/>
    </row>
    <row r="155" spans="2:12">
      <c r="B155" s="120"/>
    </row>
    <row r="156" spans="2:12">
      <c r="B156" s="120"/>
    </row>
    <row r="157" spans="2:12">
      <c r="B157" s="120"/>
    </row>
    <row r="158" spans="2:12">
      <c r="B158" s="120"/>
    </row>
    <row r="159" spans="2:12">
      <c r="B159" s="120"/>
    </row>
    <row r="160" spans="2:12">
      <c r="B160" s="120"/>
    </row>
    <row r="161" spans="2:2">
      <c r="B161" s="120"/>
    </row>
    <row r="162" spans="2:2">
      <c r="B162" s="120"/>
    </row>
    <row r="163" spans="2:2">
      <c r="B163" s="120"/>
    </row>
    <row r="164" spans="2:2">
      <c r="B164" s="120"/>
    </row>
    <row r="165" spans="2:2">
      <c r="B165" s="120"/>
    </row>
    <row r="166" spans="2:2">
      <c r="B166" s="120"/>
    </row>
    <row r="167" spans="2:2">
      <c r="B167" s="120"/>
    </row>
    <row r="168" spans="2:2">
      <c r="B168" s="120"/>
    </row>
    <row r="169" spans="2:2">
      <c r="B169" s="120"/>
    </row>
    <row r="170" spans="2:2">
      <c r="B170" s="120"/>
    </row>
    <row r="171" spans="2:2">
      <c r="B171" s="120"/>
    </row>
    <row r="172" spans="2:2">
      <c r="B172" s="120"/>
    </row>
    <row r="173" spans="2:2">
      <c r="B173" s="120"/>
    </row>
    <row r="174" spans="2:2">
      <c r="B174" s="120"/>
    </row>
    <row r="175" spans="2:2">
      <c r="B175" s="120"/>
    </row>
    <row r="176" spans="2:2">
      <c r="B176" s="120"/>
    </row>
    <row r="177" spans="2:2">
      <c r="B177" s="120"/>
    </row>
    <row r="178" spans="2:2">
      <c r="B178" s="120"/>
    </row>
    <row r="179" spans="2:2">
      <c r="B179" s="120"/>
    </row>
    <row r="180" spans="2:2">
      <c r="B180" s="120"/>
    </row>
    <row r="181" spans="2:2">
      <c r="B181" s="120"/>
    </row>
    <row r="182" spans="2:2">
      <c r="B182" s="120"/>
    </row>
    <row r="183" spans="2:2">
      <c r="B183" s="120"/>
    </row>
    <row r="184" spans="2:2">
      <c r="B184" s="120"/>
    </row>
    <row r="185" spans="2:2">
      <c r="B185" s="120"/>
    </row>
    <row r="186" spans="2:2">
      <c r="B186" s="120"/>
    </row>
    <row r="187" spans="2:2">
      <c r="B187" s="120"/>
    </row>
    <row r="188" spans="2:2">
      <c r="B188" s="120"/>
    </row>
    <row r="189" spans="2:2">
      <c r="B189" s="120"/>
    </row>
    <row r="190" spans="2:2">
      <c r="B190" s="120"/>
    </row>
    <row r="191" spans="2:2">
      <c r="B191" s="120"/>
    </row>
    <row r="192" spans="2:2">
      <c r="B192" s="120"/>
    </row>
    <row r="193" spans="2:2">
      <c r="B193" s="120"/>
    </row>
    <row r="194" spans="2:2">
      <c r="B194" s="120"/>
    </row>
    <row r="195" spans="2:2">
      <c r="B195" s="120"/>
    </row>
    <row r="196" spans="2:2">
      <c r="B196" s="120"/>
    </row>
    <row r="197" spans="2:2">
      <c r="B197" s="120"/>
    </row>
    <row r="198" spans="2:2">
      <c r="B198" s="120"/>
    </row>
    <row r="199" spans="2:2">
      <c r="B199" s="120"/>
    </row>
    <row r="200" spans="2:2">
      <c r="B200" s="120"/>
    </row>
    <row r="201" spans="2:2">
      <c r="B201" s="120"/>
    </row>
    <row r="202" spans="2:2">
      <c r="B202" s="120"/>
    </row>
    <row r="203" spans="2:2">
      <c r="B203" s="120"/>
    </row>
    <row r="204" spans="2:2">
      <c r="B204" s="120"/>
    </row>
    <row r="205" spans="2:2">
      <c r="B205" s="120"/>
    </row>
    <row r="206" spans="2:2">
      <c r="B206" s="120"/>
    </row>
    <row r="207" spans="2:2">
      <c r="B207" s="120"/>
    </row>
    <row r="208" spans="2:2">
      <c r="B208" s="120"/>
    </row>
    <row r="209" spans="2:2">
      <c r="B209" s="120"/>
    </row>
    <row r="210" spans="2:2">
      <c r="B210" s="120"/>
    </row>
    <row r="211" spans="2:2">
      <c r="B211" s="120"/>
    </row>
    <row r="212" spans="2:2">
      <c r="B212" s="120"/>
    </row>
    <row r="213" spans="2:2">
      <c r="B213" s="120"/>
    </row>
    <row r="214" spans="2:2">
      <c r="B214" s="120"/>
    </row>
    <row r="215" spans="2:2">
      <c r="B215" s="120"/>
    </row>
    <row r="216" spans="2:2">
      <c r="B216" s="120"/>
    </row>
    <row r="217" spans="2:2">
      <c r="B217" s="120"/>
    </row>
    <row r="218" spans="2:2">
      <c r="B218" s="120"/>
    </row>
    <row r="219" spans="2:2">
      <c r="B219" s="120"/>
    </row>
    <row r="220" spans="2:2">
      <c r="B220" s="120"/>
    </row>
    <row r="221" spans="2:2">
      <c r="B221" s="120"/>
    </row>
    <row r="222" spans="2:2">
      <c r="B222" s="120"/>
    </row>
    <row r="223" spans="2:2">
      <c r="B223" s="120"/>
    </row>
    <row r="224" spans="2:2">
      <c r="B224" s="120"/>
    </row>
    <row r="225" spans="2:2">
      <c r="B225" s="120"/>
    </row>
    <row r="226" spans="2:2">
      <c r="B226" s="120"/>
    </row>
  </sheetData>
  <autoFilter ref="B7:M142" xr:uid="{00000000-0009-0000-0000-000003000000}"/>
  <mergeCells count="27">
    <mergeCell ref="B2:P5"/>
    <mergeCell ref="B147:C147"/>
    <mergeCell ref="E147:G147"/>
    <mergeCell ref="J147:L147"/>
    <mergeCell ref="B7:B9"/>
    <mergeCell ref="C7:C9"/>
    <mergeCell ref="D7:D9"/>
    <mergeCell ref="E7:E9"/>
    <mergeCell ref="F8:F9"/>
    <mergeCell ref="G8:G9"/>
    <mergeCell ref="H8:H9"/>
    <mergeCell ref="I8:I9"/>
    <mergeCell ref="J7:J9"/>
    <mergeCell ref="L7:L9"/>
    <mergeCell ref="F7:G7"/>
    <mergeCell ref="H7:I7"/>
    <mergeCell ref="N7:S7"/>
    <mergeCell ref="B142:C142"/>
    <mergeCell ref="E142:G142"/>
    <mergeCell ref="J142:L142"/>
    <mergeCell ref="M7:M9"/>
    <mergeCell ref="N8:N9"/>
    <mergeCell ref="O8:O9"/>
    <mergeCell ref="P8:P9"/>
    <mergeCell ref="Q8:Q9"/>
    <mergeCell ref="R8:R9"/>
    <mergeCell ref="S8:S9"/>
  </mergeCells>
  <printOptions horizontalCentered="1"/>
  <pageMargins left="0" right="0" top="0.196850393700787" bottom="0" header="0" footer="0"/>
  <pageSetup paperSize="9" scale="90" orientation="portrait" horizontalDpi="360" verticalDpi="36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42"/>
  <sheetViews>
    <sheetView topLeftCell="A82" workbookViewId="0">
      <selection activeCell="I14" sqref="I14"/>
    </sheetView>
  </sheetViews>
  <sheetFormatPr defaultColWidth="8.6640625" defaultRowHeight="14.4"/>
  <cols>
    <col min="1" max="1" width="1.6640625" style="160" customWidth="1"/>
    <col min="2" max="2" width="7.109375" style="1" customWidth="1"/>
    <col min="3" max="3" width="29" style="1" customWidth="1"/>
    <col min="4" max="4" width="9.88671875" style="1" customWidth="1"/>
    <col min="5" max="6" width="10.5546875" style="1" customWidth="1"/>
    <col min="7" max="8" width="9" style="1" customWidth="1"/>
    <col min="9" max="9" width="49.44140625" style="1" customWidth="1"/>
    <col min="10" max="16384" width="8.6640625" style="160"/>
  </cols>
  <sheetData>
    <row r="1" spans="2:10" ht="7.5" customHeight="1"/>
    <row r="2" spans="2:10" ht="14.4" customHeight="1">
      <c r="B2" s="251" t="s">
        <v>474</v>
      </c>
      <c r="C2" s="252"/>
      <c r="D2" s="252"/>
      <c r="E2" s="252"/>
      <c r="F2" s="252"/>
      <c r="G2" s="252"/>
      <c r="H2" s="252"/>
      <c r="I2" s="252"/>
    </row>
    <row r="3" spans="2:10" ht="18.600000000000001" customHeight="1">
      <c r="B3" s="251"/>
      <c r="C3" s="252"/>
      <c r="D3" s="252"/>
      <c r="E3" s="252"/>
      <c r="F3" s="252"/>
      <c r="G3" s="252"/>
      <c r="H3" s="252"/>
      <c r="I3" s="252"/>
    </row>
    <row r="4" spans="2:10" ht="18.600000000000001" customHeight="1">
      <c r="B4" s="251"/>
      <c r="C4" s="252"/>
      <c r="D4" s="252"/>
      <c r="E4" s="252"/>
      <c r="F4" s="252"/>
      <c r="G4" s="252"/>
      <c r="H4" s="252"/>
      <c r="I4" s="252"/>
    </row>
    <row r="5" spans="2:10" ht="21.6" customHeight="1">
      <c r="B5" s="251"/>
      <c r="C5" s="252"/>
      <c r="D5" s="252"/>
      <c r="E5" s="252"/>
      <c r="F5" s="252"/>
      <c r="G5" s="252"/>
      <c r="H5" s="252"/>
      <c r="I5" s="252"/>
    </row>
    <row r="6" spans="2:10" ht="9" customHeight="1"/>
    <row r="7" spans="2:10" s="158" customFormat="1" ht="21" customHeight="1">
      <c r="B7" s="235" t="s">
        <v>32</v>
      </c>
      <c r="C7" s="235" t="s">
        <v>475</v>
      </c>
      <c r="D7" s="241" t="s">
        <v>231</v>
      </c>
      <c r="E7" s="224" t="s">
        <v>232</v>
      </c>
      <c r="F7" s="225"/>
      <c r="G7" s="224" t="s">
        <v>233</v>
      </c>
      <c r="H7" s="225"/>
      <c r="I7" s="235" t="s">
        <v>2</v>
      </c>
      <c r="J7" s="164"/>
    </row>
    <row r="8" spans="2:10" s="158" customFormat="1" ht="21" customHeight="1">
      <c r="B8" s="236"/>
      <c r="C8" s="236"/>
      <c r="D8" s="242"/>
      <c r="E8" s="235" t="s">
        <v>237</v>
      </c>
      <c r="F8" s="235" t="s">
        <v>238</v>
      </c>
      <c r="G8" s="238" t="s">
        <v>239</v>
      </c>
      <c r="H8" s="238" t="s">
        <v>240</v>
      </c>
      <c r="I8" s="236"/>
      <c r="J8" s="164"/>
    </row>
    <row r="9" spans="2:10" s="158" customFormat="1" ht="21" customHeight="1">
      <c r="B9" s="237"/>
      <c r="C9" s="237"/>
      <c r="D9" s="243"/>
      <c r="E9" s="237"/>
      <c r="F9" s="237"/>
      <c r="G9" s="240"/>
      <c r="H9" s="240"/>
      <c r="I9" s="237"/>
      <c r="J9" s="164"/>
    </row>
    <row r="10" spans="2:10" s="158" customFormat="1" ht="21" customHeight="1">
      <c r="B10" s="248" t="s">
        <v>476</v>
      </c>
      <c r="C10" s="249"/>
      <c r="D10" s="249"/>
      <c r="E10" s="249"/>
      <c r="F10" s="249"/>
      <c r="G10" s="249"/>
      <c r="H10" s="249"/>
      <c r="I10" s="250"/>
      <c r="J10" s="164"/>
    </row>
    <row r="11" spans="2:10">
      <c r="B11" s="111">
        <v>1</v>
      </c>
      <c r="C11" s="130" t="s">
        <v>243</v>
      </c>
      <c r="D11" s="211" t="s">
        <v>244</v>
      </c>
      <c r="E11" s="131">
        <f>SUM(F11:H11)</f>
        <v>6</v>
      </c>
      <c r="F11" s="131">
        <v>6</v>
      </c>
      <c r="G11" s="211" t="s">
        <v>56</v>
      </c>
      <c r="H11" s="211" t="s">
        <v>56</v>
      </c>
      <c r="I11" s="131"/>
    </row>
    <row r="12" spans="2:10">
      <c r="B12" s="8">
        <f>B11+1</f>
        <v>2</v>
      </c>
      <c r="C12" s="132" t="s">
        <v>172</v>
      </c>
      <c r="D12" s="212" t="s">
        <v>244</v>
      </c>
      <c r="E12" s="7">
        <v>29</v>
      </c>
      <c r="F12" s="7">
        <v>28</v>
      </c>
      <c r="G12" s="7">
        <v>0</v>
      </c>
      <c r="H12" s="7">
        <v>1</v>
      </c>
      <c r="I12" s="7"/>
    </row>
    <row r="13" spans="2:10" s="159" customFormat="1">
      <c r="B13" s="161">
        <f t="shared" ref="B13:B55" si="0">B12+1</f>
        <v>3</v>
      </c>
      <c r="C13" s="162" t="s">
        <v>248</v>
      </c>
      <c r="D13" s="215" t="s">
        <v>244</v>
      </c>
      <c r="E13" s="163">
        <v>12</v>
      </c>
      <c r="F13" s="163">
        <v>12</v>
      </c>
      <c r="G13" s="215" t="s">
        <v>56</v>
      </c>
      <c r="H13" s="215" t="s">
        <v>56</v>
      </c>
      <c r="I13" s="163"/>
    </row>
    <row r="14" spans="2:10">
      <c r="B14" s="111">
        <f t="shared" si="0"/>
        <v>4</v>
      </c>
      <c r="C14" s="130" t="s">
        <v>250</v>
      </c>
      <c r="D14" s="211" t="s">
        <v>251</v>
      </c>
      <c r="E14" s="131">
        <v>1</v>
      </c>
      <c r="F14" s="131">
        <v>1</v>
      </c>
      <c r="G14" s="211" t="s">
        <v>56</v>
      </c>
      <c r="H14" s="211" t="s">
        <v>56</v>
      </c>
      <c r="I14" s="131"/>
    </row>
    <row r="15" spans="2:10">
      <c r="B15" s="8">
        <f t="shared" si="0"/>
        <v>5</v>
      </c>
      <c r="C15" s="132" t="s">
        <v>253</v>
      </c>
      <c r="D15" s="212" t="s">
        <v>244</v>
      </c>
      <c r="E15" s="7">
        <v>109</v>
      </c>
      <c r="F15" s="7">
        <v>96</v>
      </c>
      <c r="G15" s="7">
        <v>13</v>
      </c>
      <c r="H15" s="212" t="s">
        <v>56</v>
      </c>
      <c r="I15" s="7"/>
    </row>
    <row r="16" spans="2:10">
      <c r="B16" s="8">
        <f t="shared" si="0"/>
        <v>6</v>
      </c>
      <c r="C16" s="132" t="s">
        <v>256</v>
      </c>
      <c r="D16" s="212" t="s">
        <v>244</v>
      </c>
      <c r="E16" s="7">
        <v>16</v>
      </c>
      <c r="F16" s="7">
        <v>11</v>
      </c>
      <c r="G16" s="7">
        <v>5</v>
      </c>
      <c r="H16" s="212" t="s">
        <v>56</v>
      </c>
      <c r="I16" s="7"/>
    </row>
    <row r="17" spans="2:9">
      <c r="B17" s="8">
        <f t="shared" si="0"/>
        <v>7</v>
      </c>
      <c r="C17" s="132" t="s">
        <v>302</v>
      </c>
      <c r="D17" s="212" t="s">
        <v>244</v>
      </c>
      <c r="E17" s="7">
        <v>12</v>
      </c>
      <c r="F17" s="7">
        <v>11</v>
      </c>
      <c r="G17" s="212" t="s">
        <v>56</v>
      </c>
      <c r="H17" s="7">
        <v>1</v>
      </c>
      <c r="I17" s="7"/>
    </row>
    <row r="18" spans="2:9">
      <c r="B18" s="8">
        <f t="shared" si="0"/>
        <v>8</v>
      </c>
      <c r="C18" s="132" t="s">
        <v>258</v>
      </c>
      <c r="D18" s="212" t="s">
        <v>244</v>
      </c>
      <c r="E18" s="7">
        <v>28</v>
      </c>
      <c r="F18" s="7">
        <v>26</v>
      </c>
      <c r="G18" s="7">
        <v>2</v>
      </c>
      <c r="H18" s="212" t="s">
        <v>56</v>
      </c>
      <c r="I18" s="7"/>
    </row>
    <row r="19" spans="2:9">
      <c r="B19" s="8">
        <f t="shared" si="0"/>
        <v>9</v>
      </c>
      <c r="C19" s="132" t="s">
        <v>260</v>
      </c>
      <c r="D19" s="212" t="s">
        <v>244</v>
      </c>
      <c r="E19" s="7">
        <v>4</v>
      </c>
      <c r="F19" s="7">
        <v>4</v>
      </c>
      <c r="G19" s="212" t="s">
        <v>56</v>
      </c>
      <c r="H19" s="212" t="s">
        <v>56</v>
      </c>
      <c r="I19" s="7"/>
    </row>
    <row r="20" spans="2:9">
      <c r="B20" s="8">
        <f t="shared" si="0"/>
        <v>10</v>
      </c>
      <c r="C20" s="132" t="s">
        <v>262</v>
      </c>
      <c r="D20" s="212" t="s">
        <v>244</v>
      </c>
      <c r="E20" s="7">
        <v>9</v>
      </c>
      <c r="F20" s="7">
        <v>6</v>
      </c>
      <c r="G20" s="7">
        <v>3</v>
      </c>
      <c r="H20" s="212" t="s">
        <v>56</v>
      </c>
      <c r="I20" s="7"/>
    </row>
    <row r="21" spans="2:9">
      <c r="B21" s="8">
        <f t="shared" si="0"/>
        <v>11</v>
      </c>
      <c r="C21" s="132" t="s">
        <v>264</v>
      </c>
      <c r="D21" s="212" t="s">
        <v>244</v>
      </c>
      <c r="E21" s="7">
        <v>10</v>
      </c>
      <c r="F21" s="7">
        <v>10</v>
      </c>
      <c r="G21" s="212" t="s">
        <v>56</v>
      </c>
      <c r="H21" s="212" t="s">
        <v>56</v>
      </c>
      <c r="I21" s="7"/>
    </row>
    <row r="22" spans="2:9">
      <c r="B22" s="111">
        <f t="shared" si="0"/>
        <v>12</v>
      </c>
      <c r="C22" s="130" t="s">
        <v>269</v>
      </c>
      <c r="D22" s="211" t="s">
        <v>244</v>
      </c>
      <c r="E22" s="131">
        <v>10</v>
      </c>
      <c r="F22" s="131">
        <v>5</v>
      </c>
      <c r="G22" s="131">
        <v>5</v>
      </c>
      <c r="H22" s="211" t="s">
        <v>56</v>
      </c>
      <c r="I22" s="131"/>
    </row>
    <row r="23" spans="2:9">
      <c r="B23" s="111">
        <f t="shared" si="0"/>
        <v>13</v>
      </c>
      <c r="C23" s="130" t="s">
        <v>273</v>
      </c>
      <c r="D23" s="211" t="s">
        <v>244</v>
      </c>
      <c r="E23" s="131">
        <v>10</v>
      </c>
      <c r="F23" s="131">
        <v>5</v>
      </c>
      <c r="G23" s="131">
        <v>5</v>
      </c>
      <c r="H23" s="211" t="s">
        <v>56</v>
      </c>
      <c r="I23" s="131"/>
    </row>
    <row r="24" spans="2:9">
      <c r="B24" s="111">
        <f t="shared" si="0"/>
        <v>14</v>
      </c>
      <c r="C24" s="130" t="s">
        <v>271</v>
      </c>
      <c r="D24" s="211" t="s">
        <v>244</v>
      </c>
      <c r="E24" s="111">
        <v>2</v>
      </c>
      <c r="F24" s="111">
        <v>2</v>
      </c>
      <c r="G24" s="111" t="s">
        <v>56</v>
      </c>
      <c r="H24" s="211" t="s">
        <v>56</v>
      </c>
      <c r="I24" s="111"/>
    </row>
    <row r="25" spans="2:9">
      <c r="B25" s="111">
        <f t="shared" si="0"/>
        <v>15</v>
      </c>
      <c r="C25" s="130" t="s">
        <v>275</v>
      </c>
      <c r="D25" s="211" t="s">
        <v>244</v>
      </c>
      <c r="E25" s="131">
        <v>1</v>
      </c>
      <c r="F25" s="131">
        <v>1</v>
      </c>
      <c r="G25" s="131" t="s">
        <v>56</v>
      </c>
      <c r="H25" s="211" t="s">
        <v>56</v>
      </c>
      <c r="I25" s="131"/>
    </row>
    <row r="26" spans="2:9">
      <c r="B26" s="8">
        <f t="shared" si="0"/>
        <v>16</v>
      </c>
      <c r="C26" s="132" t="s">
        <v>277</v>
      </c>
      <c r="D26" s="212" t="s">
        <v>244</v>
      </c>
      <c r="E26" s="7">
        <v>12</v>
      </c>
      <c r="F26" s="7">
        <v>12</v>
      </c>
      <c r="G26" s="7" t="s">
        <v>56</v>
      </c>
      <c r="H26" s="212" t="s">
        <v>56</v>
      </c>
      <c r="I26" s="7"/>
    </row>
    <row r="27" spans="2:9">
      <c r="B27" s="8">
        <f t="shared" si="0"/>
        <v>17</v>
      </c>
      <c r="C27" s="132" t="s">
        <v>280</v>
      </c>
      <c r="D27" s="212" t="s">
        <v>244</v>
      </c>
      <c r="E27" s="7">
        <v>12</v>
      </c>
      <c r="F27" s="7">
        <v>13</v>
      </c>
      <c r="G27" s="212" t="s">
        <v>56</v>
      </c>
      <c r="H27" s="212" t="s">
        <v>56</v>
      </c>
      <c r="I27" s="7"/>
    </row>
    <row r="28" spans="2:9">
      <c r="B28" s="111">
        <f t="shared" si="0"/>
        <v>18</v>
      </c>
      <c r="C28" s="130" t="s">
        <v>286</v>
      </c>
      <c r="D28" s="131" t="s">
        <v>251</v>
      </c>
      <c r="E28" s="131">
        <v>2</v>
      </c>
      <c r="F28" s="131">
        <v>2</v>
      </c>
      <c r="G28" s="211" t="s">
        <v>56</v>
      </c>
      <c r="H28" s="211" t="s">
        <v>56</v>
      </c>
      <c r="I28" s="131"/>
    </row>
    <row r="29" spans="2:9">
      <c r="B29" s="8">
        <f t="shared" si="0"/>
        <v>19</v>
      </c>
      <c r="C29" s="132" t="s">
        <v>346</v>
      </c>
      <c r="D29" s="212" t="s">
        <v>244</v>
      </c>
      <c r="E29" s="7">
        <v>4</v>
      </c>
      <c r="F29" s="7">
        <v>4</v>
      </c>
      <c r="G29" s="212" t="s">
        <v>56</v>
      </c>
      <c r="H29" s="212" t="s">
        <v>56</v>
      </c>
      <c r="I29" s="7"/>
    </row>
    <row r="30" spans="2:9">
      <c r="B30" s="111">
        <f t="shared" si="0"/>
        <v>20</v>
      </c>
      <c r="C30" s="130" t="s">
        <v>288</v>
      </c>
      <c r="D30" s="211" t="s">
        <v>244</v>
      </c>
      <c r="E30" s="131">
        <v>8</v>
      </c>
      <c r="F30" s="131">
        <v>8</v>
      </c>
      <c r="G30" s="211" t="s">
        <v>56</v>
      </c>
      <c r="H30" s="211" t="s">
        <v>56</v>
      </c>
      <c r="I30" s="131"/>
    </row>
    <row r="31" spans="2:9">
      <c r="B31" s="111">
        <f t="shared" si="0"/>
        <v>21</v>
      </c>
      <c r="C31" s="130" t="s">
        <v>290</v>
      </c>
      <c r="D31" s="211" t="s">
        <v>244</v>
      </c>
      <c r="E31" s="131">
        <v>1</v>
      </c>
      <c r="F31" s="131">
        <v>1</v>
      </c>
      <c r="G31" s="211" t="s">
        <v>56</v>
      </c>
      <c r="H31" s="211" t="s">
        <v>56</v>
      </c>
      <c r="I31" s="131"/>
    </row>
    <row r="32" spans="2:9">
      <c r="B32" s="8">
        <f t="shared" si="0"/>
        <v>22</v>
      </c>
      <c r="C32" s="132" t="s">
        <v>294</v>
      </c>
      <c r="D32" s="212" t="s">
        <v>244</v>
      </c>
      <c r="E32" s="7">
        <v>9</v>
      </c>
      <c r="F32" s="7">
        <v>9</v>
      </c>
      <c r="G32" s="212" t="s">
        <v>56</v>
      </c>
      <c r="H32" s="212" t="s">
        <v>56</v>
      </c>
      <c r="I32" s="7"/>
    </row>
    <row r="33" spans="2:9">
      <c r="B33" s="111">
        <f t="shared" si="0"/>
        <v>23</v>
      </c>
      <c r="C33" s="130" t="s">
        <v>308</v>
      </c>
      <c r="D33" s="211" t="s">
        <v>244</v>
      </c>
      <c r="E33" s="131">
        <v>20</v>
      </c>
      <c r="F33" s="131">
        <v>17</v>
      </c>
      <c r="G33" s="131">
        <v>3</v>
      </c>
      <c r="H33" s="211" t="s">
        <v>56</v>
      </c>
      <c r="I33" s="111"/>
    </row>
    <row r="34" spans="2:9">
      <c r="B34" s="8">
        <f t="shared" si="0"/>
        <v>24</v>
      </c>
      <c r="C34" s="132" t="s">
        <v>311</v>
      </c>
      <c r="D34" s="212" t="s">
        <v>244</v>
      </c>
      <c r="E34" s="7">
        <v>21</v>
      </c>
      <c r="F34" s="7">
        <v>21</v>
      </c>
      <c r="G34" s="212" t="s">
        <v>56</v>
      </c>
      <c r="H34" s="212" t="s">
        <v>56</v>
      </c>
      <c r="I34" s="8"/>
    </row>
    <row r="35" spans="2:9">
      <c r="B35" s="111">
        <f t="shared" si="0"/>
        <v>25</v>
      </c>
      <c r="C35" s="130" t="s">
        <v>318</v>
      </c>
      <c r="D35" s="211" t="s">
        <v>244</v>
      </c>
      <c r="E35" s="131">
        <v>18</v>
      </c>
      <c r="F35" s="131">
        <v>18</v>
      </c>
      <c r="G35" s="211" t="s">
        <v>56</v>
      </c>
      <c r="H35" s="211" t="s">
        <v>56</v>
      </c>
      <c r="I35" s="131"/>
    </row>
    <row r="36" spans="2:9">
      <c r="B36" s="111">
        <f t="shared" si="0"/>
        <v>26</v>
      </c>
      <c r="C36" s="130" t="s">
        <v>325</v>
      </c>
      <c r="D36" s="211" t="s">
        <v>244</v>
      </c>
      <c r="E36" s="131">
        <v>9</v>
      </c>
      <c r="F36" s="131">
        <v>9</v>
      </c>
      <c r="G36" s="211" t="s">
        <v>56</v>
      </c>
      <c r="H36" s="211" t="s">
        <v>56</v>
      </c>
      <c r="I36" s="131"/>
    </row>
    <row r="37" spans="2:9">
      <c r="B37" s="111">
        <f t="shared" si="0"/>
        <v>27</v>
      </c>
      <c r="C37" s="130" t="s">
        <v>327</v>
      </c>
      <c r="D37" s="211" t="s">
        <v>244</v>
      </c>
      <c r="E37" s="131">
        <v>1</v>
      </c>
      <c r="F37" s="131">
        <v>1</v>
      </c>
      <c r="G37" s="211" t="s">
        <v>56</v>
      </c>
      <c r="H37" s="211" t="s">
        <v>56</v>
      </c>
      <c r="I37" s="131"/>
    </row>
    <row r="38" spans="2:9">
      <c r="B38" s="111">
        <f t="shared" si="0"/>
        <v>28</v>
      </c>
      <c r="C38" s="130" t="s">
        <v>333</v>
      </c>
      <c r="D38" s="211" t="s">
        <v>244</v>
      </c>
      <c r="E38" s="131">
        <v>1</v>
      </c>
      <c r="F38" s="131">
        <v>1</v>
      </c>
      <c r="G38" s="211" t="s">
        <v>56</v>
      </c>
      <c r="H38" s="211" t="s">
        <v>56</v>
      </c>
      <c r="I38" s="131"/>
    </row>
    <row r="39" spans="2:9">
      <c r="B39" s="111">
        <f t="shared" si="0"/>
        <v>29</v>
      </c>
      <c r="C39" s="130" t="s">
        <v>341</v>
      </c>
      <c r="D39" s="211" t="s">
        <v>244</v>
      </c>
      <c r="E39" s="131">
        <v>1</v>
      </c>
      <c r="F39" s="131">
        <v>1</v>
      </c>
      <c r="G39" s="211" t="s">
        <v>56</v>
      </c>
      <c r="H39" s="211" t="s">
        <v>56</v>
      </c>
      <c r="I39" s="131"/>
    </row>
    <row r="40" spans="2:9">
      <c r="B40" s="8">
        <f t="shared" si="0"/>
        <v>30</v>
      </c>
      <c r="C40" s="132" t="s">
        <v>343</v>
      </c>
      <c r="D40" s="212" t="s">
        <v>244</v>
      </c>
      <c r="E40" s="7">
        <v>2</v>
      </c>
      <c r="F40" s="7">
        <v>2</v>
      </c>
      <c r="G40" s="212" t="s">
        <v>56</v>
      </c>
      <c r="H40" s="212" t="s">
        <v>56</v>
      </c>
      <c r="I40" s="7"/>
    </row>
    <row r="41" spans="2:9">
      <c r="B41" s="111">
        <f t="shared" si="0"/>
        <v>31</v>
      </c>
      <c r="C41" s="130" t="s">
        <v>349</v>
      </c>
      <c r="D41" s="211" t="s">
        <v>244</v>
      </c>
      <c r="E41" s="131">
        <v>2</v>
      </c>
      <c r="F41" s="131">
        <v>2</v>
      </c>
      <c r="G41" s="211" t="s">
        <v>56</v>
      </c>
      <c r="H41" s="211" t="s">
        <v>56</v>
      </c>
      <c r="I41" s="131"/>
    </row>
    <row r="42" spans="2:9">
      <c r="B42" s="8">
        <f t="shared" si="0"/>
        <v>32</v>
      </c>
      <c r="C42" s="132" t="s">
        <v>353</v>
      </c>
      <c r="D42" s="212" t="s">
        <v>244</v>
      </c>
      <c r="E42" s="7">
        <v>12</v>
      </c>
      <c r="F42" s="7">
        <v>12</v>
      </c>
      <c r="G42" s="212" t="s">
        <v>56</v>
      </c>
      <c r="H42" s="212" t="s">
        <v>56</v>
      </c>
      <c r="I42" s="7"/>
    </row>
    <row r="43" spans="2:9">
      <c r="B43" s="111">
        <f t="shared" si="0"/>
        <v>33</v>
      </c>
      <c r="C43" s="130" t="s">
        <v>358</v>
      </c>
      <c r="D43" s="211" t="s">
        <v>244</v>
      </c>
      <c r="E43" s="131">
        <v>4</v>
      </c>
      <c r="F43" s="131">
        <v>4</v>
      </c>
      <c r="G43" s="211" t="s">
        <v>56</v>
      </c>
      <c r="H43" s="211" t="s">
        <v>56</v>
      </c>
      <c r="I43" s="131"/>
    </row>
    <row r="44" spans="2:9">
      <c r="B44" s="111">
        <f t="shared" si="0"/>
        <v>34</v>
      </c>
      <c r="C44" s="130" t="s">
        <v>360</v>
      </c>
      <c r="D44" s="211" t="s">
        <v>244</v>
      </c>
      <c r="E44" s="131">
        <v>2</v>
      </c>
      <c r="F44" s="131">
        <v>2</v>
      </c>
      <c r="G44" s="211" t="s">
        <v>56</v>
      </c>
      <c r="H44" s="211" t="s">
        <v>56</v>
      </c>
      <c r="I44" s="131"/>
    </row>
    <row r="45" spans="2:9">
      <c r="B45" s="111">
        <f t="shared" si="0"/>
        <v>35</v>
      </c>
      <c r="C45" s="130" t="s">
        <v>366</v>
      </c>
      <c r="D45" s="211" t="s">
        <v>244</v>
      </c>
      <c r="E45" s="131">
        <v>1</v>
      </c>
      <c r="F45" s="131">
        <v>1</v>
      </c>
      <c r="G45" s="211" t="s">
        <v>56</v>
      </c>
      <c r="H45" s="211" t="s">
        <v>56</v>
      </c>
      <c r="I45" s="131"/>
    </row>
    <row r="46" spans="2:9">
      <c r="B46" s="111">
        <f t="shared" si="0"/>
        <v>36</v>
      </c>
      <c r="C46" s="130" t="s">
        <v>373</v>
      </c>
      <c r="D46" s="211" t="s">
        <v>244</v>
      </c>
      <c r="E46" s="131">
        <v>3</v>
      </c>
      <c r="F46" s="131">
        <v>3</v>
      </c>
      <c r="G46" s="211" t="s">
        <v>56</v>
      </c>
      <c r="H46" s="211" t="s">
        <v>56</v>
      </c>
      <c r="I46" s="131"/>
    </row>
    <row r="47" spans="2:9">
      <c r="B47" s="111">
        <f t="shared" si="0"/>
        <v>37</v>
      </c>
      <c r="C47" s="130" t="s">
        <v>393</v>
      </c>
      <c r="D47" s="211" t="s">
        <v>244</v>
      </c>
      <c r="E47" s="131">
        <v>1</v>
      </c>
      <c r="F47" s="131">
        <v>1</v>
      </c>
      <c r="G47" s="211" t="s">
        <v>56</v>
      </c>
      <c r="H47" s="211" t="s">
        <v>56</v>
      </c>
      <c r="I47" s="131"/>
    </row>
    <row r="48" spans="2:9">
      <c r="B48" s="111">
        <f t="shared" si="0"/>
        <v>38</v>
      </c>
      <c r="C48" s="130" t="s">
        <v>395</v>
      </c>
      <c r="D48" s="211" t="s">
        <v>244</v>
      </c>
      <c r="E48" s="131">
        <v>2</v>
      </c>
      <c r="F48" s="131">
        <v>2</v>
      </c>
      <c r="G48" s="211" t="s">
        <v>56</v>
      </c>
      <c r="H48" s="211" t="s">
        <v>56</v>
      </c>
      <c r="I48" s="131"/>
    </row>
    <row r="49" spans="2:9">
      <c r="B49" s="111">
        <f t="shared" si="0"/>
        <v>39</v>
      </c>
      <c r="C49" s="130" t="s">
        <v>402</v>
      </c>
      <c r="D49" s="211" t="s">
        <v>244</v>
      </c>
      <c r="E49" s="131">
        <v>1</v>
      </c>
      <c r="F49" s="211" t="s">
        <v>56</v>
      </c>
      <c r="G49" s="131">
        <v>1</v>
      </c>
      <c r="H49" s="211" t="s">
        <v>56</v>
      </c>
      <c r="I49" s="131"/>
    </row>
    <row r="50" spans="2:9">
      <c r="B50" s="111">
        <f t="shared" si="0"/>
        <v>40</v>
      </c>
      <c r="C50" s="130" t="s">
        <v>404</v>
      </c>
      <c r="D50" s="211" t="s">
        <v>244</v>
      </c>
      <c r="E50" s="131">
        <v>2</v>
      </c>
      <c r="F50" s="131">
        <v>1</v>
      </c>
      <c r="G50" s="131">
        <v>1</v>
      </c>
      <c r="H50" s="211" t="s">
        <v>56</v>
      </c>
      <c r="I50" s="131"/>
    </row>
    <row r="51" spans="2:9">
      <c r="B51" s="111">
        <f t="shared" si="0"/>
        <v>41</v>
      </c>
      <c r="C51" s="130" t="s">
        <v>407</v>
      </c>
      <c r="D51" s="211" t="s">
        <v>244</v>
      </c>
      <c r="E51" s="131">
        <v>1</v>
      </c>
      <c r="F51" s="131">
        <v>1</v>
      </c>
      <c r="G51" s="131">
        <v>1</v>
      </c>
      <c r="H51" s="211" t="s">
        <v>56</v>
      </c>
      <c r="I51" s="131"/>
    </row>
    <row r="52" spans="2:9">
      <c r="B52" s="111">
        <f t="shared" si="0"/>
        <v>42</v>
      </c>
      <c r="C52" s="130" t="s">
        <v>410</v>
      </c>
      <c r="D52" s="211" t="s">
        <v>244</v>
      </c>
      <c r="E52" s="131">
        <v>4</v>
      </c>
      <c r="F52" s="131">
        <v>4</v>
      </c>
      <c r="G52" s="211" t="s">
        <v>56</v>
      </c>
      <c r="H52" s="211" t="s">
        <v>56</v>
      </c>
      <c r="I52" s="131"/>
    </row>
    <row r="53" spans="2:9">
      <c r="B53" s="111">
        <f t="shared" si="0"/>
        <v>43</v>
      </c>
      <c r="C53" s="130" t="s">
        <v>373</v>
      </c>
      <c r="D53" s="211" t="s">
        <v>244</v>
      </c>
      <c r="E53" s="7">
        <v>1</v>
      </c>
      <c r="F53" s="7">
        <v>1</v>
      </c>
      <c r="G53" s="211" t="s">
        <v>56</v>
      </c>
      <c r="H53" s="211" t="s">
        <v>56</v>
      </c>
      <c r="I53" s="131"/>
    </row>
    <row r="54" spans="2:9">
      <c r="B54" s="111">
        <f t="shared" si="0"/>
        <v>44</v>
      </c>
      <c r="C54" s="130" t="s">
        <v>456</v>
      </c>
      <c r="D54" s="211" t="s">
        <v>244</v>
      </c>
      <c r="E54" s="131">
        <v>1</v>
      </c>
      <c r="F54" s="131">
        <v>1</v>
      </c>
      <c r="G54" s="211" t="s">
        <v>56</v>
      </c>
      <c r="H54" s="211" t="s">
        <v>56</v>
      </c>
      <c r="I54" s="131"/>
    </row>
    <row r="55" spans="2:9">
      <c r="B55" s="111">
        <f t="shared" si="0"/>
        <v>45</v>
      </c>
      <c r="C55" s="130" t="s">
        <v>459</v>
      </c>
      <c r="D55" s="211" t="s">
        <v>244</v>
      </c>
      <c r="E55" s="131">
        <v>1</v>
      </c>
      <c r="F55" s="131">
        <v>1</v>
      </c>
      <c r="G55" s="211" t="s">
        <v>56</v>
      </c>
      <c r="H55" s="211" t="s">
        <v>56</v>
      </c>
      <c r="I55" s="131"/>
    </row>
    <row r="56" spans="2:9" ht="18">
      <c r="B56" s="248" t="s">
        <v>477</v>
      </c>
      <c r="C56" s="249"/>
      <c r="D56" s="249"/>
      <c r="E56" s="249"/>
      <c r="F56" s="249"/>
      <c r="G56" s="249"/>
      <c r="H56" s="249"/>
      <c r="I56" s="250"/>
    </row>
    <row r="57" spans="2:9">
      <c r="B57" s="111">
        <v>1</v>
      </c>
      <c r="C57" s="18" t="s">
        <v>134</v>
      </c>
      <c r="D57" s="211" t="s">
        <v>244</v>
      </c>
      <c r="E57" s="111">
        <f>SUM(F57:H57)</f>
        <v>10</v>
      </c>
      <c r="F57" s="111">
        <v>0</v>
      </c>
      <c r="G57" s="111">
        <v>10</v>
      </c>
      <c r="H57" s="111">
        <v>0</v>
      </c>
      <c r="I57" s="18"/>
    </row>
    <row r="58" spans="2:9">
      <c r="B58" s="111">
        <v>2</v>
      </c>
      <c r="C58" s="18" t="s">
        <v>145</v>
      </c>
      <c r="D58" s="211" t="s">
        <v>244</v>
      </c>
      <c r="E58" s="111">
        <f t="shared" ref="E58:E94" si="1">SUM(F58:H58)</f>
        <v>1</v>
      </c>
      <c r="F58" s="111">
        <v>1</v>
      </c>
      <c r="G58" s="111">
        <v>0</v>
      </c>
      <c r="H58" s="111">
        <v>0</v>
      </c>
      <c r="I58" s="18"/>
    </row>
    <row r="59" spans="2:9">
      <c r="B59" s="111">
        <v>3</v>
      </c>
      <c r="C59" s="18" t="s">
        <v>136</v>
      </c>
      <c r="D59" s="211" t="s">
        <v>244</v>
      </c>
      <c r="E59" s="111">
        <f t="shared" si="1"/>
        <v>2</v>
      </c>
      <c r="F59" s="111">
        <v>2</v>
      </c>
      <c r="G59" s="111">
        <v>0</v>
      </c>
      <c r="H59" s="111">
        <v>0</v>
      </c>
      <c r="I59" s="18"/>
    </row>
    <row r="60" spans="2:9">
      <c r="B60" s="111">
        <v>4</v>
      </c>
      <c r="C60" s="18" t="s">
        <v>148</v>
      </c>
      <c r="D60" s="211" t="s">
        <v>244</v>
      </c>
      <c r="E60" s="111">
        <f t="shared" si="1"/>
        <v>1</v>
      </c>
      <c r="F60" s="111">
        <v>1</v>
      </c>
      <c r="G60" s="111">
        <v>0</v>
      </c>
      <c r="H60" s="111">
        <v>0</v>
      </c>
      <c r="I60" s="18"/>
    </row>
    <row r="61" spans="2:9">
      <c r="B61" s="111">
        <v>5</v>
      </c>
      <c r="C61" s="18" t="s">
        <v>140</v>
      </c>
      <c r="D61" s="211" t="s">
        <v>244</v>
      </c>
      <c r="E61" s="111">
        <f t="shared" si="1"/>
        <v>2</v>
      </c>
      <c r="F61" s="111">
        <v>2</v>
      </c>
      <c r="G61" s="111">
        <v>0</v>
      </c>
      <c r="H61" s="111">
        <v>0</v>
      </c>
      <c r="I61" s="18"/>
    </row>
    <row r="62" spans="2:9">
      <c r="B62" s="111">
        <v>6</v>
      </c>
      <c r="C62" s="18" t="s">
        <v>146</v>
      </c>
      <c r="D62" s="211" t="s">
        <v>244</v>
      </c>
      <c r="E62" s="111">
        <f t="shared" si="1"/>
        <v>1</v>
      </c>
      <c r="F62" s="111">
        <v>1</v>
      </c>
      <c r="G62" s="111">
        <v>0</v>
      </c>
      <c r="H62" s="111">
        <v>0</v>
      </c>
      <c r="I62" s="18"/>
    </row>
    <row r="63" spans="2:9">
      <c r="B63" s="111">
        <v>7</v>
      </c>
      <c r="C63" s="18" t="s">
        <v>110</v>
      </c>
      <c r="D63" s="211" t="s">
        <v>244</v>
      </c>
      <c r="E63" s="111">
        <f t="shared" si="1"/>
        <v>5</v>
      </c>
      <c r="F63" s="111">
        <v>5</v>
      </c>
      <c r="G63" s="111">
        <v>0</v>
      </c>
      <c r="H63" s="111">
        <v>0</v>
      </c>
      <c r="I63" s="18"/>
    </row>
    <row r="64" spans="2:9">
      <c r="B64" s="111">
        <v>8</v>
      </c>
      <c r="C64" s="18" t="s">
        <v>112</v>
      </c>
      <c r="D64" s="211" t="s">
        <v>244</v>
      </c>
      <c r="E64" s="111">
        <f t="shared" si="1"/>
        <v>29</v>
      </c>
      <c r="F64" s="111">
        <v>26</v>
      </c>
      <c r="G64" s="111">
        <v>0</v>
      </c>
      <c r="H64" s="111">
        <v>3</v>
      </c>
      <c r="I64" s="18"/>
    </row>
    <row r="65" spans="2:9">
      <c r="B65" s="111">
        <v>9</v>
      </c>
      <c r="C65" s="18" t="s">
        <v>79</v>
      </c>
      <c r="D65" s="211" t="s">
        <v>244</v>
      </c>
      <c r="E65" s="111">
        <f t="shared" si="1"/>
        <v>2</v>
      </c>
      <c r="F65" s="111">
        <v>2</v>
      </c>
      <c r="G65" s="111">
        <v>0</v>
      </c>
      <c r="H65" s="111">
        <v>0</v>
      </c>
      <c r="I65" s="18"/>
    </row>
    <row r="66" spans="2:9">
      <c r="B66" s="111">
        <v>10</v>
      </c>
      <c r="C66" s="18" t="s">
        <v>126</v>
      </c>
      <c r="D66" s="211" t="s">
        <v>244</v>
      </c>
      <c r="E66" s="111">
        <f t="shared" si="1"/>
        <v>2</v>
      </c>
      <c r="F66" s="111">
        <v>2</v>
      </c>
      <c r="G66" s="111">
        <v>0</v>
      </c>
      <c r="H66" s="111">
        <v>0</v>
      </c>
      <c r="I66" s="18"/>
    </row>
    <row r="67" spans="2:9">
      <c r="B67" s="111">
        <v>11</v>
      </c>
      <c r="C67" s="18" t="s">
        <v>147</v>
      </c>
      <c r="D67" s="211" t="s">
        <v>244</v>
      </c>
      <c r="E67" s="111">
        <f t="shared" si="1"/>
        <v>1</v>
      </c>
      <c r="F67" s="111">
        <v>1</v>
      </c>
      <c r="G67" s="111">
        <v>0</v>
      </c>
      <c r="H67" s="111">
        <v>0</v>
      </c>
      <c r="I67" s="18"/>
    </row>
    <row r="68" spans="2:9">
      <c r="B68" s="111">
        <v>12</v>
      </c>
      <c r="C68" s="18" t="s">
        <v>122</v>
      </c>
      <c r="D68" s="211" t="s">
        <v>244</v>
      </c>
      <c r="E68" s="111">
        <f t="shared" si="1"/>
        <v>2</v>
      </c>
      <c r="F68" s="111">
        <v>2</v>
      </c>
      <c r="G68" s="111">
        <v>0</v>
      </c>
      <c r="H68" s="111">
        <v>0</v>
      </c>
      <c r="I68" s="18"/>
    </row>
    <row r="69" spans="2:9">
      <c r="B69" s="111">
        <v>13</v>
      </c>
      <c r="C69" s="18" t="s">
        <v>124</v>
      </c>
      <c r="D69" s="211" t="s">
        <v>244</v>
      </c>
      <c r="E69" s="111">
        <f t="shared" si="1"/>
        <v>1</v>
      </c>
      <c r="F69" s="111">
        <v>0</v>
      </c>
      <c r="G69" s="111">
        <v>0</v>
      </c>
      <c r="H69" s="111">
        <v>1</v>
      </c>
      <c r="I69" s="18"/>
    </row>
    <row r="70" spans="2:9">
      <c r="B70" s="111">
        <v>14</v>
      </c>
      <c r="C70" s="18" t="s">
        <v>478</v>
      </c>
      <c r="D70" s="211" t="s">
        <v>244</v>
      </c>
      <c r="E70" s="111">
        <f t="shared" si="1"/>
        <v>1</v>
      </c>
      <c r="F70" s="111">
        <v>1</v>
      </c>
      <c r="G70" s="111">
        <v>0</v>
      </c>
      <c r="H70" s="111">
        <v>0</v>
      </c>
      <c r="I70" s="18"/>
    </row>
    <row r="71" spans="2:9">
      <c r="B71" s="111">
        <v>15</v>
      </c>
      <c r="C71" s="18" t="s">
        <v>139</v>
      </c>
      <c r="D71" s="211" t="s">
        <v>244</v>
      </c>
      <c r="E71" s="111">
        <f t="shared" si="1"/>
        <v>1</v>
      </c>
      <c r="F71" s="111">
        <v>1</v>
      </c>
      <c r="G71" s="111">
        <v>0</v>
      </c>
      <c r="H71" s="111">
        <v>0</v>
      </c>
      <c r="I71" s="18"/>
    </row>
    <row r="72" spans="2:9">
      <c r="B72" s="111">
        <v>16</v>
      </c>
      <c r="C72" s="18" t="s">
        <v>99</v>
      </c>
      <c r="D72" s="211" t="s">
        <v>244</v>
      </c>
      <c r="E72" s="111">
        <f t="shared" si="1"/>
        <v>48</v>
      </c>
      <c r="F72" s="111">
        <v>48</v>
      </c>
      <c r="G72" s="111">
        <v>0</v>
      </c>
      <c r="H72" s="111">
        <v>0</v>
      </c>
      <c r="I72" s="18"/>
    </row>
    <row r="73" spans="2:9">
      <c r="B73" s="111">
        <v>17</v>
      </c>
      <c r="C73" s="18" t="s">
        <v>142</v>
      </c>
      <c r="D73" s="211" t="s">
        <v>244</v>
      </c>
      <c r="E73" s="111">
        <f t="shared" si="1"/>
        <v>62</v>
      </c>
      <c r="F73" s="111">
        <v>62</v>
      </c>
      <c r="G73" s="111">
        <v>0</v>
      </c>
      <c r="H73" s="111">
        <v>0</v>
      </c>
      <c r="I73" s="18"/>
    </row>
    <row r="74" spans="2:9">
      <c r="B74" s="111">
        <v>18</v>
      </c>
      <c r="C74" s="18" t="s">
        <v>120</v>
      </c>
      <c r="D74" s="211" t="s">
        <v>244</v>
      </c>
      <c r="E74" s="111">
        <f t="shared" si="1"/>
        <v>1</v>
      </c>
      <c r="F74" s="111">
        <v>1</v>
      </c>
      <c r="G74" s="111">
        <v>0</v>
      </c>
      <c r="H74" s="111">
        <v>0</v>
      </c>
      <c r="I74" s="18"/>
    </row>
    <row r="75" spans="2:9">
      <c r="B75" s="111">
        <v>19</v>
      </c>
      <c r="C75" s="18" t="s">
        <v>121</v>
      </c>
      <c r="D75" s="211" t="s">
        <v>244</v>
      </c>
      <c r="E75" s="111">
        <f t="shared" si="1"/>
        <v>5</v>
      </c>
      <c r="F75" s="111">
        <v>5</v>
      </c>
      <c r="G75" s="111">
        <v>0</v>
      </c>
      <c r="H75" s="111">
        <v>0</v>
      </c>
      <c r="I75" s="18"/>
    </row>
    <row r="76" spans="2:9">
      <c r="B76" s="111">
        <v>20</v>
      </c>
      <c r="C76" s="18" t="s">
        <v>98</v>
      </c>
      <c r="D76" s="211" t="s">
        <v>244</v>
      </c>
      <c r="E76" s="111">
        <f t="shared" si="1"/>
        <v>1</v>
      </c>
      <c r="F76" s="111">
        <v>1</v>
      </c>
      <c r="G76" s="111">
        <v>0</v>
      </c>
      <c r="H76" s="111">
        <v>0</v>
      </c>
      <c r="I76" s="18"/>
    </row>
    <row r="77" spans="2:9">
      <c r="B77" s="111">
        <v>21</v>
      </c>
      <c r="C77" s="18" t="s">
        <v>97</v>
      </c>
      <c r="D77" s="211" t="s">
        <v>244</v>
      </c>
      <c r="E77" s="111">
        <f t="shared" si="1"/>
        <v>8</v>
      </c>
      <c r="F77" s="111">
        <v>8</v>
      </c>
      <c r="G77" s="111">
        <v>0</v>
      </c>
      <c r="H77" s="111">
        <v>0</v>
      </c>
      <c r="I77" s="18"/>
    </row>
    <row r="78" spans="2:9">
      <c r="B78" s="111">
        <v>22</v>
      </c>
      <c r="C78" s="18" t="s">
        <v>102</v>
      </c>
      <c r="D78" s="211" t="s">
        <v>244</v>
      </c>
      <c r="E78" s="111">
        <f t="shared" si="1"/>
        <v>61</v>
      </c>
      <c r="F78" s="111">
        <v>61</v>
      </c>
      <c r="G78" s="111">
        <v>0</v>
      </c>
      <c r="H78" s="111">
        <v>0</v>
      </c>
      <c r="I78" s="18"/>
    </row>
    <row r="79" spans="2:9">
      <c r="B79" s="111">
        <v>23</v>
      </c>
      <c r="C79" s="18" t="s">
        <v>103</v>
      </c>
      <c r="D79" s="211" t="s">
        <v>244</v>
      </c>
      <c r="E79" s="111">
        <f t="shared" si="1"/>
        <v>41</v>
      </c>
      <c r="F79" s="111">
        <v>41</v>
      </c>
      <c r="G79" s="111">
        <v>0</v>
      </c>
      <c r="H79" s="111">
        <v>0</v>
      </c>
      <c r="I79" s="18"/>
    </row>
    <row r="80" spans="2:9">
      <c r="B80" s="165">
        <v>24</v>
      </c>
      <c r="C80" s="166" t="s">
        <v>479</v>
      </c>
      <c r="D80" s="216" t="s">
        <v>244</v>
      </c>
      <c r="E80" s="165">
        <v>113</v>
      </c>
      <c r="F80" s="165">
        <v>120</v>
      </c>
      <c r="G80" s="165">
        <v>0</v>
      </c>
      <c r="H80" s="165">
        <v>7</v>
      </c>
      <c r="I80" s="166"/>
    </row>
    <row r="81" spans="2:9">
      <c r="B81" s="111">
        <v>25</v>
      </c>
      <c r="C81" s="18" t="s">
        <v>106</v>
      </c>
      <c r="D81" s="211" t="s">
        <v>244</v>
      </c>
      <c r="E81" s="111">
        <f t="shared" si="1"/>
        <v>8</v>
      </c>
      <c r="F81" s="111">
        <v>8</v>
      </c>
      <c r="G81" s="111">
        <v>0</v>
      </c>
      <c r="H81" s="111">
        <v>0</v>
      </c>
      <c r="I81" s="18"/>
    </row>
    <row r="82" spans="2:9">
      <c r="B82" s="111">
        <v>26</v>
      </c>
      <c r="C82" s="18" t="s">
        <v>133</v>
      </c>
      <c r="D82" s="211" t="s">
        <v>244</v>
      </c>
      <c r="E82" s="111">
        <f t="shared" si="1"/>
        <v>1</v>
      </c>
      <c r="F82" s="111">
        <v>1</v>
      </c>
      <c r="G82" s="111">
        <v>0</v>
      </c>
      <c r="H82" s="111">
        <v>0</v>
      </c>
      <c r="I82" s="18"/>
    </row>
    <row r="83" spans="2:9">
      <c r="B83" s="111">
        <v>27</v>
      </c>
      <c r="C83" s="18" t="s">
        <v>119</v>
      </c>
      <c r="D83" s="211" t="s">
        <v>244</v>
      </c>
      <c r="E83" s="111">
        <f t="shared" si="1"/>
        <v>9</v>
      </c>
      <c r="F83" s="111">
        <v>9</v>
      </c>
      <c r="G83" s="111">
        <v>0</v>
      </c>
      <c r="H83" s="111">
        <v>0</v>
      </c>
      <c r="I83" s="18"/>
    </row>
    <row r="84" spans="2:9">
      <c r="B84" s="111">
        <v>28</v>
      </c>
      <c r="C84" s="18" t="s">
        <v>141</v>
      </c>
      <c r="D84" s="211" t="s">
        <v>244</v>
      </c>
      <c r="E84" s="111">
        <f t="shared" si="1"/>
        <v>2</v>
      </c>
      <c r="F84" s="111">
        <v>0</v>
      </c>
      <c r="G84" s="111">
        <v>2</v>
      </c>
      <c r="H84" s="111">
        <v>0</v>
      </c>
      <c r="I84" s="18"/>
    </row>
    <row r="85" spans="2:9">
      <c r="B85" s="111">
        <v>29</v>
      </c>
      <c r="C85" s="18" t="s">
        <v>132</v>
      </c>
      <c r="D85" s="211" t="s">
        <v>244</v>
      </c>
      <c r="E85" s="111">
        <f t="shared" si="1"/>
        <v>1</v>
      </c>
      <c r="F85" s="111">
        <v>1</v>
      </c>
      <c r="G85" s="111">
        <v>0</v>
      </c>
      <c r="H85" s="111">
        <v>0</v>
      </c>
      <c r="I85" s="18"/>
    </row>
    <row r="86" spans="2:9">
      <c r="B86" s="111">
        <v>30</v>
      </c>
      <c r="C86" s="18" t="s">
        <v>128</v>
      </c>
      <c r="D86" s="211" t="s">
        <v>244</v>
      </c>
      <c r="E86" s="111">
        <f t="shared" si="1"/>
        <v>1</v>
      </c>
      <c r="F86" s="111">
        <v>1</v>
      </c>
      <c r="G86" s="111">
        <v>0</v>
      </c>
      <c r="H86" s="111">
        <v>0</v>
      </c>
      <c r="I86" s="18"/>
    </row>
    <row r="87" spans="2:9">
      <c r="B87" s="111">
        <v>31</v>
      </c>
      <c r="C87" s="18" t="s">
        <v>129</v>
      </c>
      <c r="D87" s="211" t="s">
        <v>244</v>
      </c>
      <c r="E87" s="111">
        <f t="shared" si="1"/>
        <v>1</v>
      </c>
      <c r="F87" s="111">
        <v>1</v>
      </c>
      <c r="G87" s="111">
        <v>0</v>
      </c>
      <c r="H87" s="111">
        <v>0</v>
      </c>
      <c r="I87" s="18"/>
    </row>
    <row r="88" spans="2:9">
      <c r="B88" s="111">
        <v>32</v>
      </c>
      <c r="C88" s="18" t="s">
        <v>107</v>
      </c>
      <c r="D88" s="211" t="s">
        <v>244</v>
      </c>
      <c r="E88" s="111">
        <f t="shared" si="1"/>
        <v>30</v>
      </c>
      <c r="F88" s="111">
        <v>30</v>
      </c>
      <c r="G88" s="111">
        <v>0</v>
      </c>
      <c r="H88" s="111">
        <v>0</v>
      </c>
      <c r="I88" s="18"/>
    </row>
    <row r="89" spans="2:9">
      <c r="B89" s="111">
        <v>33</v>
      </c>
      <c r="C89" s="18" t="s">
        <v>130</v>
      </c>
      <c r="D89" s="211" t="s">
        <v>244</v>
      </c>
      <c r="E89" s="111">
        <f t="shared" si="1"/>
        <v>5</v>
      </c>
      <c r="F89" s="111">
        <v>5</v>
      </c>
      <c r="G89" s="111">
        <v>0</v>
      </c>
      <c r="H89" s="111">
        <v>0</v>
      </c>
      <c r="I89" s="18"/>
    </row>
    <row r="90" spans="2:9">
      <c r="B90" s="111">
        <v>34</v>
      </c>
      <c r="C90" s="18" t="s">
        <v>100</v>
      </c>
      <c r="D90" s="211" t="s">
        <v>244</v>
      </c>
      <c r="E90" s="111">
        <f t="shared" si="1"/>
        <v>5</v>
      </c>
      <c r="F90" s="111">
        <v>5</v>
      </c>
      <c r="G90" s="111">
        <v>0</v>
      </c>
      <c r="H90" s="111">
        <v>0</v>
      </c>
      <c r="I90" s="18"/>
    </row>
    <row r="91" spans="2:9">
      <c r="B91" s="111">
        <v>35</v>
      </c>
      <c r="C91" s="18" t="s">
        <v>117</v>
      </c>
      <c r="D91" s="211" t="s">
        <v>244</v>
      </c>
      <c r="E91" s="111">
        <f t="shared" si="1"/>
        <v>6</v>
      </c>
      <c r="F91" s="111">
        <v>4</v>
      </c>
      <c r="G91" s="111">
        <v>0</v>
      </c>
      <c r="H91" s="111">
        <v>2</v>
      </c>
      <c r="I91" s="18"/>
    </row>
    <row r="92" spans="2:9">
      <c r="B92" s="111">
        <v>36</v>
      </c>
      <c r="C92" s="18" t="s">
        <v>143</v>
      </c>
      <c r="D92" s="211" t="s">
        <v>244</v>
      </c>
      <c r="E92" s="111">
        <f t="shared" si="1"/>
        <v>2</v>
      </c>
      <c r="F92" s="111">
        <v>2</v>
      </c>
      <c r="G92" s="111">
        <v>0</v>
      </c>
      <c r="H92" s="111">
        <v>0</v>
      </c>
      <c r="I92" s="18"/>
    </row>
    <row r="93" spans="2:9">
      <c r="B93" s="111">
        <v>37</v>
      </c>
      <c r="C93" s="18" t="s">
        <v>144</v>
      </c>
      <c r="D93" s="211" t="s">
        <v>244</v>
      </c>
      <c r="E93" s="111">
        <f t="shared" si="1"/>
        <v>1</v>
      </c>
      <c r="F93" s="111">
        <v>0</v>
      </c>
      <c r="G93" s="111"/>
      <c r="H93" s="111">
        <v>1</v>
      </c>
      <c r="I93" s="18"/>
    </row>
    <row r="94" spans="2:9">
      <c r="B94" s="111">
        <v>38</v>
      </c>
      <c r="C94" s="18" t="s">
        <v>101</v>
      </c>
      <c r="D94" s="211" t="s">
        <v>244</v>
      </c>
      <c r="E94" s="111">
        <f t="shared" si="1"/>
        <v>5</v>
      </c>
      <c r="F94" s="111">
        <v>5</v>
      </c>
      <c r="G94" s="111">
        <v>0</v>
      </c>
      <c r="H94" s="111">
        <v>0</v>
      </c>
      <c r="I94" s="18"/>
    </row>
    <row r="95" spans="2:9">
      <c r="B95" s="111">
        <v>39</v>
      </c>
      <c r="C95" s="6" t="s">
        <v>172</v>
      </c>
      <c r="D95" s="211" t="s">
        <v>244</v>
      </c>
      <c r="E95" s="111">
        <f t="shared" ref="E95:E133" si="2">SUM(F95:H95)</f>
        <v>6</v>
      </c>
      <c r="F95" s="111">
        <v>6</v>
      </c>
      <c r="G95" s="111">
        <v>0</v>
      </c>
      <c r="H95" s="111">
        <v>0</v>
      </c>
      <c r="I95" s="18"/>
    </row>
    <row r="96" spans="2:9">
      <c r="B96" s="111">
        <v>40</v>
      </c>
      <c r="C96" s="6" t="s">
        <v>65</v>
      </c>
      <c r="D96" s="211" t="s">
        <v>244</v>
      </c>
      <c r="E96" s="111">
        <f t="shared" si="2"/>
        <v>2</v>
      </c>
      <c r="F96" s="111">
        <v>2</v>
      </c>
      <c r="G96" s="111">
        <v>0</v>
      </c>
      <c r="H96" s="111">
        <v>0</v>
      </c>
      <c r="I96" s="18"/>
    </row>
    <row r="97" spans="2:9">
      <c r="B97" s="111">
        <v>41</v>
      </c>
      <c r="C97" s="6" t="s">
        <v>184</v>
      </c>
      <c r="D97" s="211" t="s">
        <v>244</v>
      </c>
      <c r="E97" s="111">
        <f t="shared" si="2"/>
        <v>6</v>
      </c>
      <c r="F97" s="111">
        <v>6</v>
      </c>
      <c r="G97" s="111">
        <v>0</v>
      </c>
      <c r="H97" s="111">
        <v>0</v>
      </c>
      <c r="I97" s="18"/>
    </row>
    <row r="98" spans="2:9">
      <c r="B98" s="111">
        <v>42</v>
      </c>
      <c r="C98" s="6" t="s">
        <v>185</v>
      </c>
      <c r="D98" s="211" t="s">
        <v>244</v>
      </c>
      <c r="E98" s="111">
        <f t="shared" si="2"/>
        <v>2</v>
      </c>
      <c r="F98" s="111">
        <v>1</v>
      </c>
      <c r="G98" s="111">
        <v>0</v>
      </c>
      <c r="H98" s="111">
        <v>1</v>
      </c>
      <c r="I98" s="18"/>
    </row>
    <row r="99" spans="2:9">
      <c r="B99" s="111">
        <v>43</v>
      </c>
      <c r="C99" s="6" t="s">
        <v>74</v>
      </c>
      <c r="D99" s="211" t="s">
        <v>244</v>
      </c>
      <c r="E99" s="111">
        <f t="shared" si="2"/>
        <v>3</v>
      </c>
      <c r="F99" s="111">
        <v>3</v>
      </c>
      <c r="G99" s="111">
        <v>0</v>
      </c>
      <c r="H99" s="111">
        <v>0</v>
      </c>
      <c r="I99" s="18"/>
    </row>
    <row r="100" spans="2:9">
      <c r="B100" s="111">
        <v>44</v>
      </c>
      <c r="C100" s="6" t="s">
        <v>175</v>
      </c>
      <c r="D100" s="211" t="s">
        <v>244</v>
      </c>
      <c r="E100" s="111">
        <f t="shared" si="2"/>
        <v>1</v>
      </c>
      <c r="F100" s="111">
        <v>1</v>
      </c>
      <c r="G100" s="111">
        <v>0</v>
      </c>
      <c r="H100" s="111">
        <v>0</v>
      </c>
      <c r="I100" s="18"/>
    </row>
    <row r="101" spans="2:9">
      <c r="B101" s="111">
        <v>45</v>
      </c>
      <c r="C101" s="6" t="s">
        <v>183</v>
      </c>
      <c r="D101" s="211" t="s">
        <v>244</v>
      </c>
      <c r="E101" s="111">
        <f t="shared" si="2"/>
        <v>2</v>
      </c>
      <c r="F101" s="111">
        <v>2</v>
      </c>
      <c r="G101" s="111">
        <v>0</v>
      </c>
      <c r="H101" s="111">
        <v>0</v>
      </c>
      <c r="I101" s="18"/>
    </row>
    <row r="102" spans="2:9">
      <c r="B102" s="111">
        <v>46</v>
      </c>
      <c r="C102" s="6" t="s">
        <v>72</v>
      </c>
      <c r="D102" s="211" t="s">
        <v>244</v>
      </c>
      <c r="E102" s="111">
        <f t="shared" si="2"/>
        <v>3</v>
      </c>
      <c r="F102" s="111">
        <v>3</v>
      </c>
      <c r="G102" s="111">
        <v>0</v>
      </c>
      <c r="H102" s="111">
        <v>0</v>
      </c>
      <c r="I102" s="18"/>
    </row>
    <row r="103" spans="2:9">
      <c r="B103" s="111">
        <v>47</v>
      </c>
      <c r="C103" s="6" t="s">
        <v>70</v>
      </c>
      <c r="D103" s="211" t="s">
        <v>244</v>
      </c>
      <c r="E103" s="111">
        <f t="shared" si="2"/>
        <v>6</v>
      </c>
      <c r="F103" s="111">
        <v>6</v>
      </c>
      <c r="G103" s="111">
        <v>0</v>
      </c>
      <c r="H103" s="111">
        <v>0</v>
      </c>
      <c r="I103" s="18"/>
    </row>
    <row r="104" spans="2:9">
      <c r="B104" s="111">
        <v>48</v>
      </c>
      <c r="C104" s="6" t="s">
        <v>161</v>
      </c>
      <c r="D104" s="211" t="s">
        <v>244</v>
      </c>
      <c r="E104" s="111">
        <f t="shared" si="2"/>
        <v>5</v>
      </c>
      <c r="F104" s="111">
        <v>5</v>
      </c>
      <c r="G104" s="111">
        <v>0</v>
      </c>
      <c r="H104" s="111">
        <v>0</v>
      </c>
      <c r="I104" s="18"/>
    </row>
    <row r="105" spans="2:9">
      <c r="B105" s="111">
        <v>49</v>
      </c>
      <c r="C105" s="6" t="s">
        <v>73</v>
      </c>
      <c r="D105" s="211" t="s">
        <v>244</v>
      </c>
      <c r="E105" s="111">
        <f t="shared" si="2"/>
        <v>3</v>
      </c>
      <c r="F105" s="111">
        <v>3</v>
      </c>
      <c r="G105" s="111">
        <v>0</v>
      </c>
      <c r="H105" s="111">
        <v>0</v>
      </c>
      <c r="I105" s="18"/>
    </row>
    <row r="106" spans="2:9">
      <c r="B106" s="111">
        <v>50</v>
      </c>
      <c r="C106" s="6" t="s">
        <v>147</v>
      </c>
      <c r="D106" s="211" t="s">
        <v>244</v>
      </c>
      <c r="E106" s="111">
        <f t="shared" si="2"/>
        <v>1</v>
      </c>
      <c r="F106" s="111">
        <v>1</v>
      </c>
      <c r="G106" s="111">
        <v>0</v>
      </c>
      <c r="H106" s="111">
        <v>0</v>
      </c>
      <c r="I106" s="18"/>
    </row>
    <row r="107" spans="2:9">
      <c r="B107" s="111">
        <v>51</v>
      </c>
      <c r="C107" s="6" t="s">
        <v>139</v>
      </c>
      <c r="D107" s="211" t="s">
        <v>244</v>
      </c>
      <c r="E107" s="111">
        <f t="shared" si="2"/>
        <v>1</v>
      </c>
      <c r="F107" s="111">
        <v>1</v>
      </c>
      <c r="G107" s="111">
        <v>0</v>
      </c>
      <c r="H107" s="111">
        <v>0</v>
      </c>
      <c r="I107" s="18"/>
    </row>
    <row r="108" spans="2:9">
      <c r="B108" s="111">
        <v>52</v>
      </c>
      <c r="C108" s="6" t="s">
        <v>180</v>
      </c>
      <c r="D108" s="211" t="s">
        <v>244</v>
      </c>
      <c r="E108" s="111">
        <f t="shared" si="2"/>
        <v>3</v>
      </c>
      <c r="F108" s="111">
        <v>3</v>
      </c>
      <c r="G108" s="111">
        <v>0</v>
      </c>
      <c r="H108" s="111">
        <v>0</v>
      </c>
      <c r="I108" s="18"/>
    </row>
    <row r="109" spans="2:9">
      <c r="B109" s="111">
        <v>53</v>
      </c>
      <c r="C109" s="6" t="s">
        <v>99</v>
      </c>
      <c r="D109" s="211" t="s">
        <v>244</v>
      </c>
      <c r="E109" s="111">
        <f t="shared" si="2"/>
        <v>33</v>
      </c>
      <c r="F109" s="111">
        <v>33</v>
      </c>
      <c r="G109" s="111">
        <v>0</v>
      </c>
      <c r="H109" s="111">
        <v>0</v>
      </c>
      <c r="I109" s="18"/>
    </row>
    <row r="110" spans="2:9">
      <c r="B110" s="111">
        <v>54</v>
      </c>
      <c r="C110" s="6" t="s">
        <v>76</v>
      </c>
      <c r="D110" s="211" t="s">
        <v>244</v>
      </c>
      <c r="E110" s="111">
        <f t="shared" si="2"/>
        <v>4</v>
      </c>
      <c r="F110" s="111">
        <v>4</v>
      </c>
      <c r="G110" s="111">
        <v>0</v>
      </c>
      <c r="H110" s="111">
        <v>0</v>
      </c>
      <c r="I110" s="18"/>
    </row>
    <row r="111" spans="2:9">
      <c r="B111" s="111">
        <v>55</v>
      </c>
      <c r="C111" s="6" t="s">
        <v>188</v>
      </c>
      <c r="D111" s="211" t="s">
        <v>244</v>
      </c>
      <c r="E111" s="111">
        <f t="shared" si="2"/>
        <v>1</v>
      </c>
      <c r="F111" s="111">
        <v>1</v>
      </c>
      <c r="G111" s="111">
        <v>0</v>
      </c>
      <c r="H111" s="111">
        <v>0</v>
      </c>
      <c r="I111" s="18"/>
    </row>
    <row r="112" spans="2:9">
      <c r="B112" s="111">
        <v>56</v>
      </c>
      <c r="C112" s="6" t="s">
        <v>75</v>
      </c>
      <c r="D112" s="211" t="s">
        <v>244</v>
      </c>
      <c r="E112" s="111">
        <f t="shared" si="2"/>
        <v>5</v>
      </c>
      <c r="F112" s="111">
        <v>5</v>
      </c>
      <c r="G112" s="111">
        <v>0</v>
      </c>
      <c r="H112" s="111">
        <v>0</v>
      </c>
      <c r="I112" s="18"/>
    </row>
    <row r="113" spans="2:9">
      <c r="B113" s="111">
        <v>57</v>
      </c>
      <c r="C113" s="6" t="s">
        <v>176</v>
      </c>
      <c r="D113" s="211" t="s">
        <v>244</v>
      </c>
      <c r="E113" s="111">
        <f t="shared" si="2"/>
        <v>3</v>
      </c>
      <c r="F113" s="111">
        <v>3</v>
      </c>
      <c r="G113" s="111">
        <v>0</v>
      </c>
      <c r="H113" s="111">
        <v>0</v>
      </c>
      <c r="I113" s="18"/>
    </row>
    <row r="114" spans="2:9">
      <c r="B114" s="111">
        <v>58</v>
      </c>
      <c r="C114" s="6" t="s">
        <v>174</v>
      </c>
      <c r="D114" s="211" t="s">
        <v>244</v>
      </c>
      <c r="E114" s="111">
        <f t="shared" si="2"/>
        <v>1</v>
      </c>
      <c r="F114" s="111">
        <v>1</v>
      </c>
      <c r="G114" s="111">
        <v>0</v>
      </c>
      <c r="H114" s="111">
        <v>0</v>
      </c>
      <c r="I114" s="18"/>
    </row>
    <row r="115" spans="2:9">
      <c r="B115" s="111">
        <v>59</v>
      </c>
      <c r="C115" s="6" t="s">
        <v>170</v>
      </c>
      <c r="D115" s="211" t="s">
        <v>244</v>
      </c>
      <c r="E115" s="111">
        <f t="shared" si="2"/>
        <v>1</v>
      </c>
      <c r="F115" s="111">
        <v>1</v>
      </c>
      <c r="G115" s="111">
        <v>0</v>
      </c>
      <c r="H115" s="111">
        <v>0</v>
      </c>
      <c r="I115" s="18"/>
    </row>
    <row r="116" spans="2:9">
      <c r="B116" s="111">
        <v>60</v>
      </c>
      <c r="C116" s="6" t="s">
        <v>193</v>
      </c>
      <c r="D116" s="211" t="s">
        <v>244</v>
      </c>
      <c r="E116" s="111">
        <f t="shared" si="2"/>
        <v>1</v>
      </c>
      <c r="F116" s="111">
        <v>1</v>
      </c>
      <c r="G116" s="111">
        <v>0</v>
      </c>
      <c r="H116" s="111">
        <v>0</v>
      </c>
      <c r="I116" s="18"/>
    </row>
    <row r="117" spans="2:9">
      <c r="B117" s="111">
        <v>61</v>
      </c>
      <c r="C117" s="6" t="s">
        <v>186</v>
      </c>
      <c r="D117" s="211" t="s">
        <v>244</v>
      </c>
      <c r="E117" s="111">
        <f t="shared" si="2"/>
        <v>0</v>
      </c>
      <c r="F117" s="111">
        <v>0</v>
      </c>
      <c r="G117" s="111">
        <v>0</v>
      </c>
      <c r="H117" s="111">
        <v>0</v>
      </c>
      <c r="I117" s="18"/>
    </row>
    <row r="118" spans="2:9">
      <c r="B118" s="111">
        <v>62</v>
      </c>
      <c r="C118" s="6" t="s">
        <v>179</v>
      </c>
      <c r="D118" s="211" t="s">
        <v>244</v>
      </c>
      <c r="E118" s="111">
        <f t="shared" si="2"/>
        <v>3</v>
      </c>
      <c r="F118" s="111">
        <v>3</v>
      </c>
      <c r="G118" s="111">
        <v>0</v>
      </c>
      <c r="H118" s="111">
        <v>0</v>
      </c>
      <c r="I118" s="18"/>
    </row>
    <row r="119" spans="2:9">
      <c r="B119" s="111">
        <v>63</v>
      </c>
      <c r="C119" s="6" t="s">
        <v>165</v>
      </c>
      <c r="D119" s="211" t="s">
        <v>244</v>
      </c>
      <c r="E119" s="111">
        <f t="shared" si="2"/>
        <v>4</v>
      </c>
      <c r="F119" s="111">
        <v>4</v>
      </c>
      <c r="G119" s="111">
        <v>0</v>
      </c>
      <c r="H119" s="111">
        <v>0</v>
      </c>
      <c r="I119" s="18"/>
    </row>
    <row r="120" spans="2:9">
      <c r="B120" s="111">
        <v>64</v>
      </c>
      <c r="C120" s="6" t="s">
        <v>168</v>
      </c>
      <c r="D120" s="211" t="s">
        <v>244</v>
      </c>
      <c r="E120" s="111">
        <f t="shared" si="2"/>
        <v>1</v>
      </c>
      <c r="F120" s="111">
        <v>1</v>
      </c>
      <c r="G120" s="111">
        <v>0</v>
      </c>
      <c r="H120" s="111">
        <v>0</v>
      </c>
      <c r="I120" s="18"/>
    </row>
    <row r="121" spans="2:9">
      <c r="B121" s="111">
        <v>65</v>
      </c>
      <c r="C121" s="6" t="s">
        <v>181</v>
      </c>
      <c r="D121" s="211" t="s">
        <v>244</v>
      </c>
      <c r="E121" s="111">
        <f t="shared" si="2"/>
        <v>3</v>
      </c>
      <c r="F121" s="111">
        <v>3</v>
      </c>
      <c r="G121" s="111">
        <v>0</v>
      </c>
      <c r="H121" s="111">
        <v>0</v>
      </c>
      <c r="I121" s="18"/>
    </row>
    <row r="122" spans="2:9">
      <c r="B122" s="111">
        <v>66</v>
      </c>
      <c r="C122" s="6" t="s">
        <v>64</v>
      </c>
      <c r="D122" s="211" t="s">
        <v>244</v>
      </c>
      <c r="E122" s="111">
        <f t="shared" si="2"/>
        <v>49</v>
      </c>
      <c r="F122" s="111">
        <v>49</v>
      </c>
      <c r="G122" s="111">
        <v>0</v>
      </c>
      <c r="H122" s="111">
        <v>0</v>
      </c>
      <c r="I122" s="18"/>
    </row>
    <row r="123" spans="2:9">
      <c r="B123" s="111">
        <v>67</v>
      </c>
      <c r="C123" s="6" t="s">
        <v>162</v>
      </c>
      <c r="D123" s="211" t="s">
        <v>244</v>
      </c>
      <c r="E123" s="111">
        <f t="shared" si="2"/>
        <v>20</v>
      </c>
      <c r="F123" s="111">
        <v>20</v>
      </c>
      <c r="G123" s="111">
        <v>0</v>
      </c>
      <c r="H123" s="111">
        <v>0</v>
      </c>
      <c r="I123" s="18"/>
    </row>
    <row r="124" spans="2:9">
      <c r="B124" s="111">
        <v>68</v>
      </c>
      <c r="C124" s="6" t="s">
        <v>61</v>
      </c>
      <c r="D124" s="211" t="s">
        <v>244</v>
      </c>
      <c r="E124" s="111">
        <f t="shared" si="2"/>
        <v>4</v>
      </c>
      <c r="F124" s="111">
        <v>3</v>
      </c>
      <c r="G124" s="111">
        <v>0</v>
      </c>
      <c r="H124" s="111">
        <v>1</v>
      </c>
      <c r="I124" s="18"/>
    </row>
    <row r="125" spans="2:9">
      <c r="B125" s="111">
        <v>69</v>
      </c>
      <c r="C125" s="6" t="s">
        <v>195</v>
      </c>
      <c r="D125" s="211" t="s">
        <v>244</v>
      </c>
      <c r="E125" s="111">
        <f t="shared" si="2"/>
        <v>0</v>
      </c>
      <c r="F125" s="111">
        <v>0</v>
      </c>
      <c r="G125" s="111">
        <v>0</v>
      </c>
      <c r="H125" s="111">
        <v>0</v>
      </c>
      <c r="I125" s="18"/>
    </row>
    <row r="126" spans="2:9">
      <c r="B126" s="111">
        <v>70</v>
      </c>
      <c r="C126" s="6" t="s">
        <v>178</v>
      </c>
      <c r="D126" s="211" t="s">
        <v>244</v>
      </c>
      <c r="E126" s="111">
        <f t="shared" si="2"/>
        <v>2</v>
      </c>
      <c r="F126" s="111">
        <v>2</v>
      </c>
      <c r="G126" s="111">
        <v>0</v>
      </c>
      <c r="H126" s="111">
        <v>0</v>
      </c>
      <c r="I126" s="18"/>
    </row>
    <row r="127" spans="2:9">
      <c r="B127" s="111">
        <v>71</v>
      </c>
      <c r="C127" s="6" t="s">
        <v>194</v>
      </c>
      <c r="D127" s="211" t="s">
        <v>244</v>
      </c>
      <c r="E127" s="111">
        <f t="shared" si="2"/>
        <v>1</v>
      </c>
      <c r="F127" s="111">
        <v>1</v>
      </c>
      <c r="G127" s="111">
        <v>0</v>
      </c>
      <c r="H127" s="111">
        <v>0</v>
      </c>
      <c r="I127" s="18"/>
    </row>
    <row r="128" spans="2:9">
      <c r="B128" s="111">
        <v>72</v>
      </c>
      <c r="C128" s="6" t="s">
        <v>169</v>
      </c>
      <c r="D128" s="211" t="s">
        <v>244</v>
      </c>
      <c r="E128" s="111">
        <f t="shared" si="2"/>
        <v>1</v>
      </c>
      <c r="F128" s="111">
        <v>1</v>
      </c>
      <c r="G128" s="111">
        <v>0</v>
      </c>
      <c r="H128" s="111">
        <v>0</v>
      </c>
      <c r="I128" s="18"/>
    </row>
    <row r="129" spans="2:9">
      <c r="B129" s="111">
        <v>73</v>
      </c>
      <c r="C129" s="6" t="s">
        <v>166</v>
      </c>
      <c r="D129" s="211" t="s">
        <v>244</v>
      </c>
      <c r="E129" s="111">
        <f t="shared" si="2"/>
        <v>4</v>
      </c>
      <c r="F129" s="111">
        <v>4</v>
      </c>
      <c r="G129" s="111">
        <v>0</v>
      </c>
      <c r="H129" s="111">
        <v>0</v>
      </c>
      <c r="I129" s="18"/>
    </row>
    <row r="130" spans="2:9">
      <c r="B130" s="111">
        <v>74</v>
      </c>
      <c r="C130" s="6" t="s">
        <v>167</v>
      </c>
      <c r="D130" s="211" t="s">
        <v>244</v>
      </c>
      <c r="E130" s="111">
        <f t="shared" si="2"/>
        <v>1</v>
      </c>
      <c r="F130" s="111">
        <v>1</v>
      </c>
      <c r="G130" s="111">
        <v>0</v>
      </c>
      <c r="H130" s="111">
        <v>0</v>
      </c>
      <c r="I130" s="18"/>
    </row>
    <row r="131" spans="2:9">
      <c r="B131" s="111">
        <v>75</v>
      </c>
      <c r="C131" s="6" t="s">
        <v>173</v>
      </c>
      <c r="D131" s="211" t="s">
        <v>244</v>
      </c>
      <c r="E131" s="111">
        <f t="shared" si="2"/>
        <v>3</v>
      </c>
      <c r="F131" s="111">
        <v>3</v>
      </c>
      <c r="G131" s="111">
        <v>0</v>
      </c>
      <c r="H131" s="111">
        <v>0</v>
      </c>
      <c r="I131" s="18"/>
    </row>
    <row r="132" spans="2:9">
      <c r="B132" s="111">
        <v>76</v>
      </c>
      <c r="C132" s="6" t="s">
        <v>171</v>
      </c>
      <c r="D132" s="211" t="s">
        <v>244</v>
      </c>
      <c r="E132" s="111">
        <f t="shared" si="2"/>
        <v>1</v>
      </c>
      <c r="F132" s="111">
        <v>1</v>
      </c>
      <c r="G132" s="111">
        <v>0</v>
      </c>
      <c r="H132" s="111">
        <v>0</v>
      </c>
      <c r="I132" s="18"/>
    </row>
    <row r="133" spans="2:9">
      <c r="B133" s="111">
        <v>77</v>
      </c>
      <c r="C133" s="6" t="s">
        <v>187</v>
      </c>
      <c r="D133" s="211" t="s">
        <v>244</v>
      </c>
      <c r="E133" s="111">
        <f t="shared" si="2"/>
        <v>2</v>
      </c>
      <c r="F133" s="111">
        <v>2</v>
      </c>
      <c r="G133" s="111">
        <v>0</v>
      </c>
      <c r="H133" s="111">
        <v>0</v>
      </c>
      <c r="I133" s="18"/>
    </row>
    <row r="134" spans="2:9">
      <c r="B134" s="111">
        <v>78</v>
      </c>
      <c r="C134" s="6" t="s">
        <v>65</v>
      </c>
      <c r="D134" s="211" t="s">
        <v>244</v>
      </c>
      <c r="E134" s="111">
        <f t="shared" ref="E134:E147" si="3">SUM(F134:H134)</f>
        <v>91</v>
      </c>
      <c r="F134" s="111">
        <v>91</v>
      </c>
      <c r="G134" s="111">
        <v>0</v>
      </c>
      <c r="H134" s="111">
        <v>0</v>
      </c>
      <c r="I134" s="18"/>
    </row>
    <row r="135" spans="2:9">
      <c r="B135" s="111">
        <v>79</v>
      </c>
      <c r="C135" s="6" t="s">
        <v>74</v>
      </c>
      <c r="D135" s="211" t="s">
        <v>244</v>
      </c>
      <c r="E135" s="111">
        <f t="shared" si="3"/>
        <v>45</v>
      </c>
      <c r="F135" s="111">
        <v>45</v>
      </c>
      <c r="G135" s="111">
        <v>0</v>
      </c>
      <c r="H135" s="111">
        <v>0</v>
      </c>
      <c r="I135" s="18"/>
    </row>
    <row r="136" spans="2:9">
      <c r="B136" s="111">
        <v>80</v>
      </c>
      <c r="C136" s="6" t="s">
        <v>54</v>
      </c>
      <c r="D136" s="211" t="s">
        <v>244</v>
      </c>
      <c r="E136" s="111">
        <f t="shared" si="3"/>
        <v>88</v>
      </c>
      <c r="F136" s="111">
        <v>88</v>
      </c>
      <c r="G136" s="111">
        <v>0</v>
      </c>
      <c r="H136" s="111">
        <v>0</v>
      </c>
      <c r="I136" s="18"/>
    </row>
    <row r="137" spans="2:9">
      <c r="B137" s="111">
        <v>81</v>
      </c>
      <c r="C137" s="6" t="s">
        <v>72</v>
      </c>
      <c r="D137" s="211" t="s">
        <v>244</v>
      </c>
      <c r="E137" s="111">
        <f t="shared" si="3"/>
        <v>23</v>
      </c>
      <c r="F137" s="111">
        <v>23</v>
      </c>
      <c r="G137" s="111">
        <v>0</v>
      </c>
      <c r="H137" s="111">
        <v>0</v>
      </c>
      <c r="I137" s="18"/>
    </row>
    <row r="138" spans="2:9">
      <c r="B138" s="111">
        <v>82</v>
      </c>
      <c r="C138" s="6" t="s">
        <v>70</v>
      </c>
      <c r="D138" s="211" t="s">
        <v>244</v>
      </c>
      <c r="E138" s="111">
        <f t="shared" si="3"/>
        <v>47</v>
      </c>
      <c r="F138" s="111">
        <v>47</v>
      </c>
      <c r="G138" s="111">
        <v>0</v>
      </c>
      <c r="H138" s="111">
        <v>0</v>
      </c>
      <c r="I138" s="18"/>
    </row>
    <row r="139" spans="2:9">
      <c r="B139" s="111">
        <v>83</v>
      </c>
      <c r="C139" s="6" t="s">
        <v>59</v>
      </c>
      <c r="D139" s="211" t="s">
        <v>244</v>
      </c>
      <c r="E139" s="111">
        <f t="shared" si="3"/>
        <v>88</v>
      </c>
      <c r="F139" s="111">
        <v>88</v>
      </c>
      <c r="G139" s="111">
        <v>0</v>
      </c>
      <c r="H139" s="111">
        <v>0</v>
      </c>
      <c r="I139" s="18"/>
    </row>
    <row r="140" spans="2:9">
      <c r="B140" s="111">
        <v>84</v>
      </c>
      <c r="C140" s="6" t="s">
        <v>73</v>
      </c>
      <c r="D140" s="211" t="s">
        <v>244</v>
      </c>
      <c r="E140" s="111">
        <f t="shared" si="3"/>
        <v>5</v>
      </c>
      <c r="F140" s="111">
        <v>5</v>
      </c>
      <c r="G140" s="111">
        <v>0</v>
      </c>
      <c r="H140" s="111">
        <v>0</v>
      </c>
      <c r="I140" s="18"/>
    </row>
    <row r="141" spans="2:9">
      <c r="B141" s="111">
        <v>85</v>
      </c>
      <c r="C141" s="6" t="s">
        <v>79</v>
      </c>
      <c r="D141" s="211" t="s">
        <v>244</v>
      </c>
      <c r="E141" s="111">
        <f t="shared" si="3"/>
        <v>33</v>
      </c>
      <c r="F141" s="111">
        <v>32</v>
      </c>
      <c r="G141" s="111">
        <v>0</v>
      </c>
      <c r="H141" s="111">
        <v>1</v>
      </c>
      <c r="I141" s="18"/>
    </row>
    <row r="142" spans="2:9">
      <c r="B142" s="111">
        <v>86</v>
      </c>
      <c r="C142" s="6" t="s">
        <v>69</v>
      </c>
      <c r="D142" s="211" t="s">
        <v>244</v>
      </c>
      <c r="E142" s="111">
        <f t="shared" si="3"/>
        <v>10</v>
      </c>
      <c r="F142" s="111">
        <v>10</v>
      </c>
      <c r="G142" s="111">
        <v>0</v>
      </c>
      <c r="H142" s="111">
        <v>0</v>
      </c>
      <c r="I142" s="18"/>
    </row>
    <row r="143" spans="2:9">
      <c r="B143" s="111">
        <v>87</v>
      </c>
      <c r="C143" s="6" t="s">
        <v>76</v>
      </c>
      <c r="D143" s="211" t="s">
        <v>244</v>
      </c>
      <c r="E143" s="111">
        <f t="shared" si="3"/>
        <v>56</v>
      </c>
      <c r="F143" s="111">
        <v>55</v>
      </c>
      <c r="G143" s="111">
        <v>0</v>
      </c>
      <c r="H143" s="111">
        <v>1</v>
      </c>
      <c r="I143" s="18"/>
    </row>
    <row r="144" spans="2:9">
      <c r="B144" s="111">
        <v>88</v>
      </c>
      <c r="C144" s="6" t="s">
        <v>75</v>
      </c>
      <c r="D144" s="211" t="s">
        <v>244</v>
      </c>
      <c r="E144" s="111">
        <f t="shared" si="3"/>
        <v>47</v>
      </c>
      <c r="F144" s="111">
        <v>46</v>
      </c>
      <c r="G144" s="111">
        <v>0</v>
      </c>
      <c r="H144" s="111">
        <v>1</v>
      </c>
      <c r="I144" s="18"/>
    </row>
    <row r="145" spans="2:9">
      <c r="B145" s="111">
        <v>89</v>
      </c>
      <c r="C145" s="6" t="s">
        <v>68</v>
      </c>
      <c r="D145" s="211" t="s">
        <v>244</v>
      </c>
      <c r="E145" s="111">
        <f t="shared" si="3"/>
        <v>46</v>
      </c>
      <c r="F145" s="111">
        <v>44</v>
      </c>
      <c r="G145" s="111">
        <v>0</v>
      </c>
      <c r="H145" s="111">
        <v>2</v>
      </c>
      <c r="I145" s="18"/>
    </row>
    <row r="146" spans="2:9">
      <c r="B146" s="111">
        <v>90</v>
      </c>
      <c r="C146" s="6" t="s">
        <v>64</v>
      </c>
      <c r="D146" s="211" t="s">
        <v>244</v>
      </c>
      <c r="E146" s="111">
        <f t="shared" si="3"/>
        <v>88</v>
      </c>
      <c r="F146" s="111">
        <v>88</v>
      </c>
      <c r="G146" s="111">
        <v>0</v>
      </c>
      <c r="H146" s="111">
        <v>0</v>
      </c>
      <c r="I146" s="18"/>
    </row>
    <row r="147" spans="2:9">
      <c r="B147" s="111">
        <v>91</v>
      </c>
      <c r="C147" s="6" t="s">
        <v>61</v>
      </c>
      <c r="D147" s="211" t="s">
        <v>244</v>
      </c>
      <c r="E147" s="111">
        <f t="shared" si="3"/>
        <v>88</v>
      </c>
      <c r="F147" s="111">
        <v>88</v>
      </c>
      <c r="G147" s="111">
        <v>0</v>
      </c>
      <c r="H147" s="111">
        <v>0</v>
      </c>
      <c r="I147" s="18"/>
    </row>
    <row r="148" spans="2:9">
      <c r="B148" s="111">
        <v>92</v>
      </c>
      <c r="C148" s="6" t="s">
        <v>155</v>
      </c>
      <c r="D148" s="211" t="s">
        <v>244</v>
      </c>
      <c r="E148" s="111">
        <f t="shared" ref="E148:E154" si="4">SUM(F148:H148)</f>
        <v>4</v>
      </c>
      <c r="F148" s="144">
        <v>2</v>
      </c>
      <c r="G148" s="144">
        <v>0</v>
      </c>
      <c r="H148" s="7">
        <v>2</v>
      </c>
      <c r="I148" s="18"/>
    </row>
    <row r="149" spans="2:9">
      <c r="B149" s="111">
        <v>93</v>
      </c>
      <c r="C149" s="6" t="s">
        <v>156</v>
      </c>
      <c r="D149" s="211" t="s">
        <v>244</v>
      </c>
      <c r="E149" s="111">
        <f t="shared" si="4"/>
        <v>15</v>
      </c>
      <c r="F149" s="144">
        <v>15</v>
      </c>
      <c r="G149" s="144">
        <v>0</v>
      </c>
      <c r="H149" s="7">
        <v>0</v>
      </c>
      <c r="I149" s="18"/>
    </row>
    <row r="150" spans="2:9">
      <c r="B150" s="111">
        <v>94</v>
      </c>
      <c r="C150" s="6" t="s">
        <v>157</v>
      </c>
      <c r="D150" s="211" t="s">
        <v>244</v>
      </c>
      <c r="E150" s="111">
        <f t="shared" si="4"/>
        <v>4</v>
      </c>
      <c r="F150" s="144">
        <v>4</v>
      </c>
      <c r="G150" s="144">
        <v>0</v>
      </c>
      <c r="H150" s="7">
        <v>0</v>
      </c>
      <c r="I150" s="18"/>
    </row>
    <row r="151" spans="2:9">
      <c r="B151" s="111">
        <v>95</v>
      </c>
      <c r="C151" s="6" t="s">
        <v>152</v>
      </c>
      <c r="D151" s="211" t="s">
        <v>244</v>
      </c>
      <c r="E151" s="111">
        <f t="shared" si="4"/>
        <v>1</v>
      </c>
      <c r="F151" s="144">
        <v>1</v>
      </c>
      <c r="G151" s="144">
        <v>0</v>
      </c>
      <c r="H151" s="7">
        <v>0</v>
      </c>
      <c r="I151" s="18"/>
    </row>
    <row r="152" spans="2:9">
      <c r="B152" s="111">
        <v>96</v>
      </c>
      <c r="C152" s="6" t="s">
        <v>64</v>
      </c>
      <c r="D152" s="211" t="s">
        <v>244</v>
      </c>
      <c r="E152" s="111">
        <f t="shared" si="4"/>
        <v>0</v>
      </c>
      <c r="F152" s="144">
        <v>0</v>
      </c>
      <c r="G152" s="144">
        <v>0</v>
      </c>
      <c r="H152" s="7">
        <v>0</v>
      </c>
      <c r="I152" s="18"/>
    </row>
    <row r="153" spans="2:9">
      <c r="B153" s="111">
        <v>97</v>
      </c>
      <c r="C153" s="6" t="s">
        <v>61</v>
      </c>
      <c r="D153" s="211" t="s">
        <v>244</v>
      </c>
      <c r="E153" s="111">
        <f t="shared" si="4"/>
        <v>0</v>
      </c>
      <c r="F153" s="144">
        <v>0</v>
      </c>
      <c r="G153" s="144">
        <v>0</v>
      </c>
      <c r="H153" s="7">
        <v>0</v>
      </c>
      <c r="I153" s="18"/>
    </row>
    <row r="154" spans="2:9">
      <c r="B154" s="111">
        <v>98</v>
      </c>
      <c r="C154" s="6" t="s">
        <v>158</v>
      </c>
      <c r="D154" s="211" t="s">
        <v>244</v>
      </c>
      <c r="E154" s="111">
        <f t="shared" si="4"/>
        <v>2</v>
      </c>
      <c r="F154" s="144">
        <v>2</v>
      </c>
      <c r="G154" s="144">
        <v>0</v>
      </c>
      <c r="H154" s="7">
        <v>0</v>
      </c>
      <c r="I154" s="18"/>
    </row>
    <row r="155" spans="2:9">
      <c r="B155" s="111">
        <v>99</v>
      </c>
      <c r="C155" s="6" t="s">
        <v>196</v>
      </c>
      <c r="D155" s="211" t="s">
        <v>244</v>
      </c>
      <c r="E155" s="111">
        <f t="shared" ref="E155:E173" si="5">SUM(F155:H155)</f>
        <v>6</v>
      </c>
      <c r="F155" s="111">
        <v>6</v>
      </c>
      <c r="G155" s="111">
        <v>0</v>
      </c>
      <c r="H155" s="111">
        <v>0</v>
      </c>
      <c r="I155" s="18"/>
    </row>
    <row r="156" spans="2:9">
      <c r="B156" s="111">
        <v>100</v>
      </c>
      <c r="C156" s="6" t="s">
        <v>198</v>
      </c>
      <c r="D156" s="211" t="s">
        <v>244</v>
      </c>
      <c r="E156" s="111">
        <f t="shared" si="5"/>
        <v>10</v>
      </c>
      <c r="F156" s="111">
        <v>9</v>
      </c>
      <c r="G156" s="111">
        <v>0</v>
      </c>
      <c r="H156" s="111">
        <v>1</v>
      </c>
      <c r="I156" s="18"/>
    </row>
    <row r="157" spans="2:9">
      <c r="B157" s="111">
        <v>101</v>
      </c>
      <c r="C157" s="6" t="s">
        <v>200</v>
      </c>
      <c r="D157" s="211" t="s">
        <v>244</v>
      </c>
      <c r="E157" s="111">
        <f t="shared" si="5"/>
        <v>2</v>
      </c>
      <c r="F157" s="111">
        <v>1</v>
      </c>
      <c r="G157" s="111">
        <v>1</v>
      </c>
      <c r="H157" s="111">
        <v>0</v>
      </c>
      <c r="I157" s="18"/>
    </row>
    <row r="158" spans="2:9">
      <c r="B158" s="111">
        <v>102</v>
      </c>
      <c r="C158" s="6" t="s">
        <v>202</v>
      </c>
      <c r="D158" s="211" t="s">
        <v>244</v>
      </c>
      <c r="E158" s="111">
        <f t="shared" si="5"/>
        <v>2</v>
      </c>
      <c r="F158" s="111">
        <v>2</v>
      </c>
      <c r="G158" s="111">
        <v>0</v>
      </c>
      <c r="H158" s="111">
        <v>0</v>
      </c>
      <c r="I158" s="18"/>
    </row>
    <row r="159" spans="2:9">
      <c r="B159" s="111">
        <v>103</v>
      </c>
      <c r="C159" s="6" t="s">
        <v>110</v>
      </c>
      <c r="D159" s="211" t="s">
        <v>244</v>
      </c>
      <c r="E159" s="111">
        <f t="shared" si="5"/>
        <v>20</v>
      </c>
      <c r="F159" s="111">
        <v>20</v>
      </c>
      <c r="G159" s="111">
        <v>0</v>
      </c>
      <c r="H159" s="111">
        <v>0</v>
      </c>
      <c r="I159" s="18"/>
    </row>
    <row r="160" spans="2:9">
      <c r="B160" s="111">
        <v>104</v>
      </c>
      <c r="C160" s="6" t="s">
        <v>203</v>
      </c>
      <c r="D160" s="211" t="s">
        <v>244</v>
      </c>
      <c r="E160" s="111">
        <f t="shared" si="5"/>
        <v>23</v>
      </c>
      <c r="F160" s="111">
        <v>23</v>
      </c>
      <c r="G160" s="111">
        <v>0</v>
      </c>
      <c r="H160" s="111">
        <v>0</v>
      </c>
      <c r="I160" s="18"/>
    </row>
    <row r="161" spans="2:9">
      <c r="B161" s="111">
        <v>105</v>
      </c>
      <c r="C161" s="6" t="s">
        <v>204</v>
      </c>
      <c r="D161" s="211" t="s">
        <v>244</v>
      </c>
      <c r="E161" s="111">
        <f t="shared" si="5"/>
        <v>12</v>
      </c>
      <c r="F161" s="111">
        <v>12</v>
      </c>
      <c r="G161" s="111">
        <v>0</v>
      </c>
      <c r="H161" s="111">
        <v>0</v>
      </c>
      <c r="I161" s="18"/>
    </row>
    <row r="162" spans="2:9">
      <c r="B162" s="111">
        <v>106</v>
      </c>
      <c r="C162" s="6" t="s">
        <v>205</v>
      </c>
      <c r="D162" s="211" t="s">
        <v>244</v>
      </c>
      <c r="E162" s="111">
        <f t="shared" si="5"/>
        <v>1</v>
      </c>
      <c r="F162" s="111">
        <v>1</v>
      </c>
      <c r="G162" s="111">
        <v>0</v>
      </c>
      <c r="H162" s="111">
        <v>0</v>
      </c>
      <c r="I162" s="18"/>
    </row>
    <row r="163" spans="2:9">
      <c r="B163" s="111">
        <v>107</v>
      </c>
      <c r="C163" s="6" t="s">
        <v>206</v>
      </c>
      <c r="D163" s="211" t="s">
        <v>244</v>
      </c>
      <c r="E163" s="111">
        <f t="shared" si="5"/>
        <v>1</v>
      </c>
      <c r="F163" s="111">
        <v>1</v>
      </c>
      <c r="G163" s="111">
        <v>0</v>
      </c>
      <c r="H163" s="111">
        <v>0</v>
      </c>
      <c r="I163" s="18"/>
    </row>
    <row r="164" spans="2:9">
      <c r="B164" s="111">
        <v>108</v>
      </c>
      <c r="C164" s="6" t="s">
        <v>207</v>
      </c>
      <c r="D164" s="211" t="s">
        <v>244</v>
      </c>
      <c r="E164" s="111">
        <f t="shared" si="5"/>
        <v>9</v>
      </c>
      <c r="F164" s="111">
        <v>9</v>
      </c>
      <c r="G164" s="111">
        <v>0</v>
      </c>
      <c r="H164" s="111">
        <v>0</v>
      </c>
      <c r="I164" s="18"/>
    </row>
    <row r="165" spans="2:9">
      <c r="B165" s="111">
        <v>109</v>
      </c>
      <c r="C165" s="6" t="s">
        <v>480</v>
      </c>
      <c r="D165" s="211" t="s">
        <v>244</v>
      </c>
      <c r="E165" s="111">
        <f t="shared" si="5"/>
        <v>0</v>
      </c>
      <c r="F165" s="111">
        <v>0</v>
      </c>
      <c r="G165" s="111">
        <v>0</v>
      </c>
      <c r="H165" s="111">
        <v>0</v>
      </c>
      <c r="I165" s="18"/>
    </row>
    <row r="166" spans="2:9">
      <c r="B166" s="111">
        <v>110</v>
      </c>
      <c r="C166" s="6" t="s">
        <v>208</v>
      </c>
      <c r="D166" s="211" t="s">
        <v>244</v>
      </c>
      <c r="E166" s="111">
        <f t="shared" si="5"/>
        <v>35</v>
      </c>
      <c r="F166" s="111">
        <v>35</v>
      </c>
      <c r="G166" s="111">
        <v>0</v>
      </c>
      <c r="H166" s="111">
        <v>0</v>
      </c>
      <c r="I166" s="18"/>
    </row>
    <row r="167" spans="2:9">
      <c r="B167" s="111">
        <v>111</v>
      </c>
      <c r="C167" s="6" t="s">
        <v>209</v>
      </c>
      <c r="D167" s="211" t="s">
        <v>244</v>
      </c>
      <c r="E167" s="111">
        <f t="shared" si="5"/>
        <v>46</v>
      </c>
      <c r="F167" s="111">
        <v>46</v>
      </c>
      <c r="G167" s="111">
        <v>0</v>
      </c>
      <c r="H167" s="111">
        <v>0</v>
      </c>
      <c r="I167" s="18"/>
    </row>
    <row r="168" spans="2:9">
      <c r="B168" s="111">
        <v>112</v>
      </c>
      <c r="C168" s="6" t="s">
        <v>210</v>
      </c>
      <c r="D168" s="211" t="s">
        <v>244</v>
      </c>
      <c r="E168" s="111">
        <f t="shared" si="5"/>
        <v>11</v>
      </c>
      <c r="F168" s="111">
        <v>11</v>
      </c>
      <c r="G168" s="111">
        <v>0</v>
      </c>
      <c r="H168" s="111">
        <v>0</v>
      </c>
      <c r="I168" s="18"/>
    </row>
    <row r="169" spans="2:9">
      <c r="B169" s="111">
        <v>113</v>
      </c>
      <c r="C169" s="6" t="s">
        <v>107</v>
      </c>
      <c r="D169" s="211" t="s">
        <v>244</v>
      </c>
      <c r="E169" s="111">
        <f t="shared" si="5"/>
        <v>33</v>
      </c>
      <c r="F169" s="111">
        <v>33</v>
      </c>
      <c r="G169" s="111">
        <v>0</v>
      </c>
      <c r="H169" s="111">
        <v>0</v>
      </c>
      <c r="I169" s="18"/>
    </row>
    <row r="170" spans="2:9">
      <c r="B170" s="111">
        <v>114</v>
      </c>
      <c r="C170" s="6" t="s">
        <v>211</v>
      </c>
      <c r="D170" s="211" t="s">
        <v>244</v>
      </c>
      <c r="E170" s="111">
        <f t="shared" si="5"/>
        <v>20</v>
      </c>
      <c r="F170" s="111">
        <v>20</v>
      </c>
      <c r="G170" s="111">
        <v>0</v>
      </c>
      <c r="H170" s="111">
        <v>0</v>
      </c>
      <c r="I170" s="18"/>
    </row>
    <row r="171" spans="2:9">
      <c r="B171" s="111">
        <v>115</v>
      </c>
      <c r="C171" s="6" t="s">
        <v>173</v>
      </c>
      <c r="D171" s="211" t="s">
        <v>244</v>
      </c>
      <c r="E171" s="111">
        <f t="shared" si="5"/>
        <v>1</v>
      </c>
      <c r="F171" s="111">
        <v>1</v>
      </c>
      <c r="G171" s="111">
        <v>0</v>
      </c>
      <c r="H171" s="111">
        <v>0</v>
      </c>
      <c r="I171" s="18"/>
    </row>
    <row r="172" spans="2:9">
      <c r="B172" s="111">
        <v>116</v>
      </c>
      <c r="C172" s="6" t="s">
        <v>212</v>
      </c>
      <c r="D172" s="211" t="s">
        <v>244</v>
      </c>
      <c r="E172" s="111">
        <f t="shared" si="5"/>
        <v>2</v>
      </c>
      <c r="F172" s="111">
        <v>2</v>
      </c>
      <c r="G172" s="111">
        <v>0</v>
      </c>
      <c r="H172" s="111">
        <v>0</v>
      </c>
      <c r="I172" s="18"/>
    </row>
    <row r="173" spans="2:9">
      <c r="B173" s="111">
        <v>117</v>
      </c>
      <c r="C173" s="6" t="s">
        <v>213</v>
      </c>
      <c r="D173" s="211" t="s">
        <v>244</v>
      </c>
      <c r="E173" s="111">
        <f t="shared" si="5"/>
        <v>1</v>
      </c>
      <c r="F173" s="111">
        <v>1</v>
      </c>
      <c r="G173" s="111">
        <v>0</v>
      </c>
      <c r="H173" s="111">
        <v>0</v>
      </c>
      <c r="I173" s="18"/>
    </row>
    <row r="174" spans="2:9">
      <c r="B174" s="111">
        <v>118</v>
      </c>
      <c r="C174" s="6" t="s">
        <v>93</v>
      </c>
      <c r="D174" s="211" t="s">
        <v>244</v>
      </c>
      <c r="E174" s="111">
        <f t="shared" ref="E174" si="6">SUM(F174:H174)</f>
        <v>6</v>
      </c>
      <c r="F174" s="144">
        <v>6</v>
      </c>
      <c r="G174" s="144">
        <v>0</v>
      </c>
      <c r="H174" s="7">
        <v>0</v>
      </c>
      <c r="I174" s="18"/>
    </row>
    <row r="175" spans="2:9">
      <c r="B175" s="8">
        <v>119</v>
      </c>
      <c r="C175" s="6" t="s">
        <v>217</v>
      </c>
      <c r="D175" s="212" t="s">
        <v>244</v>
      </c>
      <c r="E175" s="8">
        <v>3</v>
      </c>
      <c r="F175" s="8">
        <v>3</v>
      </c>
      <c r="G175" s="144">
        <v>0</v>
      </c>
      <c r="H175" s="144">
        <v>0</v>
      </c>
      <c r="I175" s="6"/>
    </row>
    <row r="176" spans="2:9">
      <c r="B176" s="8">
        <v>120</v>
      </c>
      <c r="C176" s="6" t="s">
        <v>199</v>
      </c>
      <c r="D176" s="212" t="s">
        <v>244</v>
      </c>
      <c r="E176" s="8">
        <v>30</v>
      </c>
      <c r="F176" s="8">
        <v>30</v>
      </c>
      <c r="G176" s="144">
        <v>0</v>
      </c>
      <c r="H176" s="144">
        <v>0</v>
      </c>
      <c r="I176" s="6"/>
    </row>
    <row r="177" spans="2:9">
      <c r="B177" s="8">
        <v>121</v>
      </c>
      <c r="C177" s="6" t="s">
        <v>138</v>
      </c>
      <c r="D177" s="212" t="s">
        <v>244</v>
      </c>
      <c r="E177" s="8">
        <v>1</v>
      </c>
      <c r="F177" s="8">
        <v>1</v>
      </c>
      <c r="G177" s="144">
        <v>0</v>
      </c>
      <c r="H177" s="144">
        <v>0</v>
      </c>
      <c r="I177" s="6"/>
    </row>
    <row r="178" spans="2:9">
      <c r="B178" s="8">
        <v>122</v>
      </c>
      <c r="C178" s="6" t="s">
        <v>115</v>
      </c>
      <c r="D178" s="212" t="s">
        <v>244</v>
      </c>
      <c r="E178" s="8">
        <v>80</v>
      </c>
      <c r="F178" s="8">
        <v>80</v>
      </c>
      <c r="G178" s="144">
        <v>0</v>
      </c>
      <c r="H178" s="144">
        <v>0</v>
      </c>
      <c r="I178" s="6"/>
    </row>
    <row r="179" spans="2:9">
      <c r="B179" s="8">
        <v>123</v>
      </c>
      <c r="C179" s="6" t="s">
        <v>220</v>
      </c>
      <c r="D179" s="212" t="s">
        <v>244</v>
      </c>
      <c r="E179" s="8">
        <v>2</v>
      </c>
      <c r="F179" s="8">
        <v>2</v>
      </c>
      <c r="G179" s="144">
        <v>0</v>
      </c>
      <c r="H179" s="144">
        <v>0</v>
      </c>
      <c r="I179" s="6"/>
    </row>
    <row r="180" spans="2:9">
      <c r="B180" s="8">
        <v>124</v>
      </c>
      <c r="C180" s="6" t="s">
        <v>77</v>
      </c>
      <c r="D180" s="212" t="s">
        <v>244</v>
      </c>
      <c r="E180" s="8">
        <v>12</v>
      </c>
      <c r="F180" s="8">
        <v>12</v>
      </c>
      <c r="G180" s="144">
        <v>0</v>
      </c>
      <c r="H180" s="144">
        <v>0</v>
      </c>
      <c r="I180" s="6"/>
    </row>
    <row r="181" spans="2:9">
      <c r="B181" s="8">
        <v>125</v>
      </c>
      <c r="C181" s="6" t="s">
        <v>214</v>
      </c>
      <c r="D181" s="212" t="s">
        <v>244</v>
      </c>
      <c r="E181" s="8">
        <v>3</v>
      </c>
      <c r="F181" s="8">
        <v>3</v>
      </c>
      <c r="G181" s="144">
        <v>0</v>
      </c>
      <c r="H181" s="144">
        <v>0</v>
      </c>
      <c r="I181" s="6"/>
    </row>
    <row r="182" spans="2:9">
      <c r="B182" s="8">
        <v>126</v>
      </c>
      <c r="C182" s="6" t="s">
        <v>481</v>
      </c>
      <c r="D182" s="212" t="s">
        <v>244</v>
      </c>
      <c r="E182" s="8">
        <v>24</v>
      </c>
      <c r="F182" s="8">
        <v>24</v>
      </c>
      <c r="G182" s="144">
        <v>0</v>
      </c>
      <c r="H182" s="144">
        <v>0</v>
      </c>
      <c r="I182" s="6"/>
    </row>
    <row r="183" spans="2:9">
      <c r="B183" s="8">
        <v>127</v>
      </c>
      <c r="C183" s="6" t="s">
        <v>482</v>
      </c>
      <c r="D183" s="212" t="s">
        <v>244</v>
      </c>
      <c r="E183" s="8">
        <v>1</v>
      </c>
      <c r="F183" s="8">
        <v>1</v>
      </c>
      <c r="G183" s="144">
        <v>0</v>
      </c>
      <c r="H183" s="144">
        <v>0</v>
      </c>
      <c r="I183" s="6"/>
    </row>
    <row r="184" spans="2:9">
      <c r="B184" s="8">
        <v>128</v>
      </c>
      <c r="C184" s="6" t="s">
        <v>223</v>
      </c>
      <c r="D184" s="212" t="s">
        <v>244</v>
      </c>
      <c r="E184" s="8">
        <v>3</v>
      </c>
      <c r="F184" s="8">
        <v>3</v>
      </c>
      <c r="G184" s="144">
        <v>0</v>
      </c>
      <c r="H184" s="144">
        <v>0</v>
      </c>
      <c r="I184" s="6"/>
    </row>
    <row r="185" spans="2:9">
      <c r="B185" s="8">
        <v>129</v>
      </c>
      <c r="C185" s="6" t="s">
        <v>222</v>
      </c>
      <c r="D185" s="212" t="s">
        <v>244</v>
      </c>
      <c r="E185" s="8">
        <v>2</v>
      </c>
      <c r="F185" s="8">
        <v>2</v>
      </c>
      <c r="G185" s="144">
        <v>0</v>
      </c>
      <c r="H185" s="144">
        <v>0</v>
      </c>
      <c r="I185" s="6"/>
    </row>
    <row r="186" spans="2:9">
      <c r="B186" s="8">
        <v>130</v>
      </c>
      <c r="C186" s="6" t="s">
        <v>128</v>
      </c>
      <c r="D186" s="212" t="s">
        <v>244</v>
      </c>
      <c r="E186" s="8">
        <v>2</v>
      </c>
      <c r="F186" s="8">
        <v>2</v>
      </c>
      <c r="G186" s="144">
        <v>0</v>
      </c>
      <c r="H186" s="144">
        <v>0</v>
      </c>
      <c r="I186" s="6"/>
    </row>
    <row r="187" spans="2:9">
      <c r="B187" s="8">
        <v>131</v>
      </c>
      <c r="C187" s="6" t="s">
        <v>107</v>
      </c>
      <c r="D187" s="212" t="s">
        <v>244</v>
      </c>
      <c r="E187" s="8">
        <v>267</v>
      </c>
      <c r="F187" s="8">
        <v>267</v>
      </c>
      <c r="G187" s="144">
        <v>0</v>
      </c>
      <c r="H187" s="144">
        <v>0</v>
      </c>
      <c r="I187" s="6"/>
    </row>
    <row r="188" spans="2:9">
      <c r="B188" s="8">
        <v>132</v>
      </c>
      <c r="C188" s="6" t="s">
        <v>221</v>
      </c>
      <c r="D188" s="212" t="s">
        <v>244</v>
      </c>
      <c r="E188" s="8">
        <v>3</v>
      </c>
      <c r="F188" s="8">
        <v>3</v>
      </c>
      <c r="G188" s="144">
        <v>0</v>
      </c>
      <c r="H188" s="144">
        <v>0</v>
      </c>
      <c r="I188" s="6"/>
    </row>
    <row r="189" spans="2:9" ht="18">
      <c r="B189" s="248" t="s">
        <v>483</v>
      </c>
      <c r="C189" s="249"/>
      <c r="D189" s="249"/>
      <c r="E189" s="249"/>
      <c r="F189" s="249"/>
      <c r="G189" s="249"/>
      <c r="H189" s="249"/>
      <c r="I189" s="250"/>
    </row>
    <row r="190" spans="2:9" ht="21.6">
      <c r="B190" s="111">
        <v>1</v>
      </c>
      <c r="C190" s="167" t="s">
        <v>28</v>
      </c>
      <c r="D190" s="111" t="s">
        <v>244</v>
      </c>
      <c r="E190" s="111">
        <v>22</v>
      </c>
      <c r="F190" s="111">
        <v>18</v>
      </c>
      <c r="G190" s="111">
        <v>4</v>
      </c>
      <c r="H190" s="111" t="s">
        <v>56</v>
      </c>
      <c r="I190" s="168" t="s">
        <v>484</v>
      </c>
    </row>
    <row r="191" spans="2:9">
      <c r="B191" s="111">
        <f>B190+1</f>
        <v>2</v>
      </c>
      <c r="C191" s="167" t="s">
        <v>6</v>
      </c>
      <c r="D191" s="111" t="s">
        <v>244</v>
      </c>
      <c r="E191" s="111">
        <v>11</v>
      </c>
      <c r="F191" s="111">
        <v>11</v>
      </c>
      <c r="G191" s="111" t="s">
        <v>56</v>
      </c>
      <c r="H191" s="111" t="s">
        <v>56</v>
      </c>
      <c r="I191" s="168" t="s">
        <v>485</v>
      </c>
    </row>
    <row r="192" spans="2:9">
      <c r="B192" s="111">
        <f t="shared" ref="B192:B216" si="7">B191+1</f>
        <v>3</v>
      </c>
      <c r="C192" s="167" t="s">
        <v>7</v>
      </c>
      <c r="D192" s="111" t="s">
        <v>244</v>
      </c>
      <c r="E192" s="111">
        <v>9</v>
      </c>
      <c r="F192" s="111">
        <v>9</v>
      </c>
      <c r="G192" s="111" t="s">
        <v>56</v>
      </c>
      <c r="H192" s="111" t="s">
        <v>56</v>
      </c>
      <c r="I192" s="168" t="s">
        <v>486</v>
      </c>
    </row>
    <row r="193" spans="2:9" ht="21.6">
      <c r="B193" s="111">
        <f t="shared" si="7"/>
        <v>4</v>
      </c>
      <c r="C193" s="167" t="s">
        <v>8</v>
      </c>
      <c r="D193" s="111" t="s">
        <v>244</v>
      </c>
      <c r="E193" s="111">
        <v>8</v>
      </c>
      <c r="F193" s="111" t="s">
        <v>56</v>
      </c>
      <c r="G193" s="111">
        <v>3</v>
      </c>
      <c r="H193" s="111">
        <v>5</v>
      </c>
      <c r="I193" s="168" t="s">
        <v>487</v>
      </c>
    </row>
    <row r="194" spans="2:9">
      <c r="B194" s="111">
        <f t="shared" si="7"/>
        <v>5</v>
      </c>
      <c r="C194" s="18" t="s">
        <v>9</v>
      </c>
      <c r="D194" s="131" t="s">
        <v>244</v>
      </c>
      <c r="E194" s="111">
        <v>44</v>
      </c>
      <c r="F194" s="111">
        <v>41</v>
      </c>
      <c r="G194" s="111" t="s">
        <v>56</v>
      </c>
      <c r="H194" s="111">
        <v>3</v>
      </c>
      <c r="I194" s="168" t="s">
        <v>488</v>
      </c>
    </row>
    <row r="195" spans="2:9">
      <c r="B195" s="111">
        <f t="shared" si="7"/>
        <v>6</v>
      </c>
      <c r="C195" s="18" t="s">
        <v>489</v>
      </c>
      <c r="D195" s="131" t="s">
        <v>244</v>
      </c>
      <c r="E195" s="111">
        <v>7</v>
      </c>
      <c r="F195" s="111">
        <v>7</v>
      </c>
      <c r="G195" s="111" t="s">
        <v>56</v>
      </c>
      <c r="H195" s="111" t="s">
        <v>56</v>
      </c>
      <c r="I195" s="130"/>
    </row>
    <row r="196" spans="2:9">
      <c r="B196" s="111">
        <f t="shared" si="7"/>
        <v>7</v>
      </c>
      <c r="C196" s="18" t="s">
        <v>490</v>
      </c>
      <c r="D196" s="131" t="s">
        <v>244</v>
      </c>
      <c r="E196" s="111">
        <v>8</v>
      </c>
      <c r="F196" s="111">
        <v>8</v>
      </c>
      <c r="G196" s="111" t="s">
        <v>56</v>
      </c>
      <c r="H196" s="111" t="s">
        <v>56</v>
      </c>
      <c r="I196" s="130"/>
    </row>
    <row r="197" spans="2:9">
      <c r="B197" s="111">
        <f t="shared" si="7"/>
        <v>8</v>
      </c>
      <c r="C197" s="18" t="s">
        <v>491</v>
      </c>
      <c r="D197" s="131" t="s">
        <v>244</v>
      </c>
      <c r="E197" s="111">
        <v>6</v>
      </c>
      <c r="F197" s="111">
        <v>6</v>
      </c>
      <c r="G197" s="111" t="s">
        <v>56</v>
      </c>
      <c r="H197" s="111" t="s">
        <v>56</v>
      </c>
      <c r="I197" s="130"/>
    </row>
    <row r="198" spans="2:9">
      <c r="B198" s="111">
        <f t="shared" si="7"/>
        <v>9</v>
      </c>
      <c r="C198" s="18" t="s">
        <v>10</v>
      </c>
      <c r="D198" s="131" t="s">
        <v>244</v>
      </c>
      <c r="E198" s="111">
        <v>13</v>
      </c>
      <c r="F198" s="111">
        <v>13</v>
      </c>
      <c r="G198" s="111" t="s">
        <v>56</v>
      </c>
      <c r="H198" s="111" t="s">
        <v>56</v>
      </c>
      <c r="I198" s="130"/>
    </row>
    <row r="199" spans="2:9">
      <c r="B199" s="111">
        <f t="shared" si="7"/>
        <v>10</v>
      </c>
      <c r="C199" s="18" t="s">
        <v>11</v>
      </c>
      <c r="D199" s="131" t="s">
        <v>244</v>
      </c>
      <c r="E199" s="111">
        <v>10</v>
      </c>
      <c r="F199" s="111">
        <v>10</v>
      </c>
      <c r="G199" s="111" t="s">
        <v>56</v>
      </c>
      <c r="H199" s="111" t="s">
        <v>56</v>
      </c>
      <c r="I199" s="130"/>
    </row>
    <row r="200" spans="2:9">
      <c r="B200" s="111">
        <f t="shared" si="7"/>
        <v>11</v>
      </c>
      <c r="C200" s="18" t="s">
        <v>12</v>
      </c>
      <c r="D200" s="131" t="s">
        <v>244</v>
      </c>
      <c r="E200" s="111">
        <v>22</v>
      </c>
      <c r="F200" s="111">
        <v>22</v>
      </c>
      <c r="G200" s="111" t="s">
        <v>56</v>
      </c>
      <c r="H200" s="111" t="s">
        <v>56</v>
      </c>
      <c r="I200" s="130"/>
    </row>
    <row r="201" spans="2:9">
      <c r="B201" s="111">
        <f t="shared" si="7"/>
        <v>12</v>
      </c>
      <c r="C201" s="18" t="s">
        <v>13</v>
      </c>
      <c r="D201" s="131" t="s">
        <v>244</v>
      </c>
      <c r="E201" s="111">
        <v>3</v>
      </c>
      <c r="F201" s="111">
        <v>3</v>
      </c>
      <c r="G201" s="111" t="s">
        <v>56</v>
      </c>
      <c r="H201" s="111" t="s">
        <v>56</v>
      </c>
      <c r="I201" s="130"/>
    </row>
    <row r="202" spans="2:9">
      <c r="B202" s="111">
        <f t="shared" si="7"/>
        <v>13</v>
      </c>
      <c r="C202" s="18" t="s">
        <v>14</v>
      </c>
      <c r="D202" s="131" t="s">
        <v>244</v>
      </c>
      <c r="E202" s="111">
        <v>27</v>
      </c>
      <c r="F202" s="111">
        <v>27</v>
      </c>
      <c r="G202" s="111" t="s">
        <v>56</v>
      </c>
      <c r="H202" s="111" t="s">
        <v>56</v>
      </c>
      <c r="I202" s="130"/>
    </row>
    <row r="203" spans="2:9">
      <c r="B203" s="111">
        <f t="shared" si="7"/>
        <v>14</v>
      </c>
      <c r="C203" s="18" t="s">
        <v>15</v>
      </c>
      <c r="D203" s="131" t="s">
        <v>244</v>
      </c>
      <c r="E203" s="111">
        <v>38</v>
      </c>
      <c r="F203" s="111" t="s">
        <v>492</v>
      </c>
      <c r="G203" s="111" t="s">
        <v>56</v>
      </c>
      <c r="H203" s="111" t="s">
        <v>56</v>
      </c>
      <c r="I203" s="130"/>
    </row>
    <row r="204" spans="2:9">
      <c r="B204" s="111">
        <f t="shared" si="7"/>
        <v>15</v>
      </c>
      <c r="C204" s="18" t="s">
        <v>16</v>
      </c>
      <c r="D204" s="131" t="s">
        <v>244</v>
      </c>
      <c r="E204" s="111">
        <v>10</v>
      </c>
      <c r="F204" s="111">
        <v>10</v>
      </c>
      <c r="G204" s="111" t="s">
        <v>56</v>
      </c>
      <c r="H204" s="111" t="s">
        <v>56</v>
      </c>
      <c r="I204" s="169" t="s">
        <v>486</v>
      </c>
    </row>
    <row r="205" spans="2:9">
      <c r="B205" s="111">
        <f t="shared" si="7"/>
        <v>16</v>
      </c>
      <c r="C205" s="18" t="s">
        <v>17</v>
      </c>
      <c r="D205" s="131" t="s">
        <v>244</v>
      </c>
      <c r="E205" s="111">
        <v>3</v>
      </c>
      <c r="F205" s="111">
        <v>3</v>
      </c>
      <c r="G205" s="111" t="s">
        <v>56</v>
      </c>
      <c r="H205" s="111" t="s">
        <v>56</v>
      </c>
      <c r="I205" s="169"/>
    </row>
    <row r="206" spans="2:9">
      <c r="B206" s="111">
        <f t="shared" si="7"/>
        <v>17</v>
      </c>
      <c r="C206" s="167" t="s">
        <v>18</v>
      </c>
      <c r="D206" s="111" t="s">
        <v>244</v>
      </c>
      <c r="E206" s="111">
        <v>24</v>
      </c>
      <c r="F206" s="111">
        <v>18</v>
      </c>
      <c r="G206" s="111">
        <v>6</v>
      </c>
      <c r="H206" s="111" t="s">
        <v>56</v>
      </c>
      <c r="I206" s="169" t="s">
        <v>493</v>
      </c>
    </row>
    <row r="207" spans="2:9" ht="24.6">
      <c r="B207" s="111">
        <f t="shared" si="7"/>
        <v>18</v>
      </c>
      <c r="C207" s="167" t="s">
        <v>19</v>
      </c>
      <c r="D207" s="111" t="s">
        <v>244</v>
      </c>
      <c r="E207" s="111">
        <v>14</v>
      </c>
      <c r="F207" s="111">
        <v>3</v>
      </c>
      <c r="G207" s="111">
        <v>8</v>
      </c>
      <c r="H207" s="111">
        <v>3</v>
      </c>
      <c r="I207" s="169" t="s">
        <v>494</v>
      </c>
    </row>
    <row r="208" spans="2:9">
      <c r="B208" s="111">
        <f t="shared" si="7"/>
        <v>19</v>
      </c>
      <c r="C208" s="167" t="s">
        <v>20</v>
      </c>
      <c r="D208" s="111" t="s">
        <v>244</v>
      </c>
      <c r="E208" s="111">
        <v>10</v>
      </c>
      <c r="F208" s="111">
        <v>10</v>
      </c>
      <c r="G208" s="111" t="s">
        <v>56</v>
      </c>
      <c r="H208" s="111" t="s">
        <v>56</v>
      </c>
      <c r="I208" s="169"/>
    </row>
    <row r="209" spans="2:9">
      <c r="B209" s="111">
        <f t="shared" si="7"/>
        <v>20</v>
      </c>
      <c r="C209" s="167" t="s">
        <v>21</v>
      </c>
      <c r="D209" s="111" t="s">
        <v>244</v>
      </c>
      <c r="E209" s="111">
        <v>27</v>
      </c>
      <c r="F209" s="111">
        <v>22</v>
      </c>
      <c r="G209" s="111">
        <v>5</v>
      </c>
      <c r="H209" s="111" t="s">
        <v>56</v>
      </c>
      <c r="I209" s="169" t="s">
        <v>495</v>
      </c>
    </row>
    <row r="210" spans="2:9">
      <c r="B210" s="111">
        <f t="shared" si="7"/>
        <v>21</v>
      </c>
      <c r="C210" s="167" t="s">
        <v>22</v>
      </c>
      <c r="D210" s="111" t="s">
        <v>244</v>
      </c>
      <c r="E210" s="111">
        <v>86</v>
      </c>
      <c r="F210" s="111">
        <v>57</v>
      </c>
      <c r="G210" s="111">
        <v>10</v>
      </c>
      <c r="H210" s="111">
        <v>19</v>
      </c>
      <c r="I210" s="169" t="s">
        <v>495</v>
      </c>
    </row>
    <row r="211" spans="2:9">
      <c r="B211" s="111">
        <f t="shared" si="7"/>
        <v>22</v>
      </c>
      <c r="C211" s="167" t="s">
        <v>23</v>
      </c>
      <c r="D211" s="111" t="s">
        <v>244</v>
      </c>
      <c r="E211" s="111">
        <v>62</v>
      </c>
      <c r="F211" s="111">
        <v>62</v>
      </c>
      <c r="G211" s="111" t="s">
        <v>56</v>
      </c>
      <c r="H211" s="111" t="s">
        <v>56</v>
      </c>
      <c r="I211" s="169"/>
    </row>
    <row r="212" spans="2:9">
      <c r="B212" s="111">
        <f t="shared" si="7"/>
        <v>23</v>
      </c>
      <c r="C212" s="167" t="s">
        <v>24</v>
      </c>
      <c r="D212" s="111" t="s">
        <v>244</v>
      </c>
      <c r="E212" s="111">
        <v>2</v>
      </c>
      <c r="F212" s="111">
        <v>2</v>
      </c>
      <c r="G212" s="111" t="s">
        <v>56</v>
      </c>
      <c r="H212" s="111" t="s">
        <v>56</v>
      </c>
      <c r="I212" s="169"/>
    </row>
    <row r="213" spans="2:9">
      <c r="B213" s="111">
        <f t="shared" si="7"/>
        <v>24</v>
      </c>
      <c r="C213" s="167" t="s">
        <v>25</v>
      </c>
      <c r="D213" s="111" t="s">
        <v>244</v>
      </c>
      <c r="E213" s="111">
        <v>12</v>
      </c>
      <c r="F213" s="111">
        <v>12</v>
      </c>
      <c r="G213" s="111" t="s">
        <v>56</v>
      </c>
      <c r="H213" s="111" t="s">
        <v>56</v>
      </c>
      <c r="I213" s="169"/>
    </row>
    <row r="214" spans="2:9">
      <c r="B214" s="111">
        <f t="shared" si="7"/>
        <v>25</v>
      </c>
      <c r="C214" s="167" t="s">
        <v>496</v>
      </c>
      <c r="D214" s="111" t="s">
        <v>244</v>
      </c>
      <c r="E214" s="111">
        <v>2</v>
      </c>
      <c r="F214" s="111">
        <v>2</v>
      </c>
      <c r="G214" s="111" t="s">
        <v>56</v>
      </c>
      <c r="H214" s="111" t="s">
        <v>56</v>
      </c>
      <c r="I214" s="169"/>
    </row>
    <row r="215" spans="2:9">
      <c r="B215" s="111">
        <f t="shared" si="7"/>
        <v>26</v>
      </c>
      <c r="C215" s="18" t="s">
        <v>26</v>
      </c>
      <c r="D215" s="131" t="s">
        <v>244</v>
      </c>
      <c r="E215" s="111">
        <v>13</v>
      </c>
      <c r="F215" s="111">
        <v>6</v>
      </c>
      <c r="G215" s="111">
        <v>3</v>
      </c>
      <c r="H215" s="111">
        <v>4</v>
      </c>
      <c r="I215" s="169" t="s">
        <v>497</v>
      </c>
    </row>
    <row r="216" spans="2:9">
      <c r="B216" s="111">
        <f t="shared" si="7"/>
        <v>27</v>
      </c>
      <c r="C216" s="18" t="s">
        <v>27</v>
      </c>
      <c r="D216" s="131" t="s">
        <v>244</v>
      </c>
      <c r="E216" s="111">
        <v>122</v>
      </c>
      <c r="F216" s="111">
        <v>122</v>
      </c>
      <c r="G216" s="111" t="s">
        <v>56</v>
      </c>
      <c r="H216" s="111" t="s">
        <v>56</v>
      </c>
      <c r="I216" s="170"/>
    </row>
    <row r="217" spans="2:9" ht="18">
      <c r="B217" s="248" t="s">
        <v>498</v>
      </c>
      <c r="C217" s="249"/>
      <c r="D217" s="249"/>
      <c r="E217" s="249"/>
      <c r="F217" s="249"/>
      <c r="G217" s="249"/>
      <c r="H217" s="249"/>
      <c r="I217" s="250"/>
    </row>
    <row r="218" spans="2:9">
      <c r="B218" s="7">
        <v>1</v>
      </c>
      <c r="C218" s="6" t="s">
        <v>499</v>
      </c>
      <c r="D218" s="131" t="s">
        <v>244</v>
      </c>
      <c r="E218" s="111">
        <f>SUM(F218:H218)</f>
        <v>4</v>
      </c>
      <c r="F218" s="111">
        <v>3</v>
      </c>
      <c r="G218" s="111">
        <v>1</v>
      </c>
      <c r="H218" s="111">
        <v>0</v>
      </c>
      <c r="I218" s="18"/>
    </row>
    <row r="219" spans="2:9">
      <c r="B219" s="7">
        <f>B218+1</f>
        <v>2</v>
      </c>
      <c r="C219" s="6" t="s">
        <v>500</v>
      </c>
      <c r="D219" s="131" t="s">
        <v>251</v>
      </c>
      <c r="E219" s="111">
        <f t="shared" ref="E219:E242" si="8">SUM(F219:H219)</f>
        <v>4</v>
      </c>
      <c r="F219" s="111">
        <v>4</v>
      </c>
      <c r="G219" s="111">
        <v>0</v>
      </c>
      <c r="H219" s="111">
        <v>0</v>
      </c>
      <c r="I219" s="18"/>
    </row>
    <row r="220" spans="2:9">
      <c r="B220" s="7">
        <f t="shared" ref="B220:B242" si="9">B219+1</f>
        <v>3</v>
      </c>
      <c r="C220" s="6" t="s">
        <v>501</v>
      </c>
      <c r="D220" s="131" t="s">
        <v>244</v>
      </c>
      <c r="E220" s="111">
        <f t="shared" si="8"/>
        <v>8</v>
      </c>
      <c r="F220" s="111">
        <v>7</v>
      </c>
      <c r="G220" s="111">
        <v>0</v>
      </c>
      <c r="H220" s="111">
        <v>1</v>
      </c>
      <c r="I220" s="18"/>
    </row>
    <row r="221" spans="2:9">
      <c r="B221" s="7">
        <f t="shared" si="9"/>
        <v>4</v>
      </c>
      <c r="C221" s="6" t="s">
        <v>502</v>
      </c>
      <c r="D221" s="131" t="s">
        <v>244</v>
      </c>
      <c r="E221" s="111">
        <f t="shared" si="8"/>
        <v>4</v>
      </c>
      <c r="F221" s="111">
        <v>3</v>
      </c>
      <c r="G221" s="111">
        <v>0</v>
      </c>
      <c r="H221" s="111">
        <v>1</v>
      </c>
      <c r="I221" s="18"/>
    </row>
    <row r="222" spans="2:9">
      <c r="B222" s="7">
        <f t="shared" si="9"/>
        <v>5</v>
      </c>
      <c r="C222" s="6" t="s">
        <v>503</v>
      </c>
      <c r="D222" s="131" t="s">
        <v>244</v>
      </c>
      <c r="E222" s="111">
        <f t="shared" si="8"/>
        <v>3</v>
      </c>
      <c r="F222" s="111">
        <v>3</v>
      </c>
      <c r="G222" s="111">
        <v>0</v>
      </c>
      <c r="H222" s="111">
        <v>0</v>
      </c>
      <c r="I222" s="18"/>
    </row>
    <row r="223" spans="2:9">
      <c r="B223" s="7">
        <f t="shared" si="9"/>
        <v>6</v>
      </c>
      <c r="C223" s="6" t="s">
        <v>504</v>
      </c>
      <c r="D223" s="131" t="s">
        <v>244</v>
      </c>
      <c r="E223" s="111">
        <f t="shared" si="8"/>
        <v>8</v>
      </c>
      <c r="F223" s="111">
        <v>8</v>
      </c>
      <c r="G223" s="111">
        <v>0</v>
      </c>
      <c r="H223" s="111">
        <v>0</v>
      </c>
      <c r="I223" s="18"/>
    </row>
    <row r="224" spans="2:9">
      <c r="B224" s="7">
        <f t="shared" si="9"/>
        <v>7</v>
      </c>
      <c r="C224" s="6" t="s">
        <v>505</v>
      </c>
      <c r="D224" s="131" t="s">
        <v>244</v>
      </c>
      <c r="E224" s="111">
        <f t="shared" si="8"/>
        <v>4</v>
      </c>
      <c r="F224" s="111">
        <v>4</v>
      </c>
      <c r="G224" s="111">
        <v>0</v>
      </c>
      <c r="H224" s="111">
        <v>0</v>
      </c>
      <c r="I224" s="18"/>
    </row>
    <row r="225" spans="2:9">
      <c r="B225" s="7">
        <f t="shared" si="9"/>
        <v>8</v>
      </c>
      <c r="C225" s="6" t="s">
        <v>79</v>
      </c>
      <c r="D225" s="131" t="s">
        <v>244</v>
      </c>
      <c r="E225" s="111">
        <f t="shared" si="8"/>
        <v>1</v>
      </c>
      <c r="F225" s="111">
        <v>1</v>
      </c>
      <c r="G225" s="111">
        <v>0</v>
      </c>
      <c r="H225" s="111">
        <v>0</v>
      </c>
      <c r="I225" s="18"/>
    </row>
    <row r="226" spans="2:9">
      <c r="B226" s="7">
        <f t="shared" si="9"/>
        <v>9</v>
      </c>
      <c r="C226" s="6" t="s">
        <v>506</v>
      </c>
      <c r="D226" s="131" t="s">
        <v>251</v>
      </c>
      <c r="E226" s="111">
        <f t="shared" si="8"/>
        <v>0</v>
      </c>
      <c r="F226" s="111">
        <v>0</v>
      </c>
      <c r="G226" s="111">
        <v>0</v>
      </c>
      <c r="H226" s="111">
        <v>0</v>
      </c>
      <c r="I226" s="18"/>
    </row>
    <row r="227" spans="2:9">
      <c r="B227" s="7">
        <f t="shared" si="9"/>
        <v>10</v>
      </c>
      <c r="C227" s="6" t="s">
        <v>507</v>
      </c>
      <c r="D227" s="131" t="s">
        <v>244</v>
      </c>
      <c r="E227" s="111">
        <f t="shared" si="8"/>
        <v>4</v>
      </c>
      <c r="F227" s="111">
        <v>4</v>
      </c>
      <c r="G227" s="111">
        <v>0</v>
      </c>
      <c r="H227" s="111">
        <v>0</v>
      </c>
      <c r="I227" s="18"/>
    </row>
    <row r="228" spans="2:9">
      <c r="B228" s="7">
        <f t="shared" si="9"/>
        <v>11</v>
      </c>
      <c r="C228" s="6" t="s">
        <v>508</v>
      </c>
      <c r="D228" s="131" t="s">
        <v>244</v>
      </c>
      <c r="E228" s="111">
        <f t="shared" si="8"/>
        <v>4</v>
      </c>
      <c r="F228" s="111">
        <v>4</v>
      </c>
      <c r="G228" s="111">
        <v>0</v>
      </c>
      <c r="H228" s="111">
        <v>0</v>
      </c>
      <c r="I228" s="18"/>
    </row>
    <row r="229" spans="2:9">
      <c r="B229" s="7">
        <f t="shared" si="9"/>
        <v>12</v>
      </c>
      <c r="C229" s="6" t="s">
        <v>509</v>
      </c>
      <c r="D229" s="131" t="s">
        <v>244</v>
      </c>
      <c r="E229" s="111">
        <f t="shared" si="8"/>
        <v>4</v>
      </c>
      <c r="F229" s="111">
        <v>4</v>
      </c>
      <c r="G229" s="111">
        <v>0</v>
      </c>
      <c r="H229" s="111">
        <v>0</v>
      </c>
      <c r="I229" s="18"/>
    </row>
    <row r="230" spans="2:9">
      <c r="B230" s="7">
        <f t="shared" si="9"/>
        <v>13</v>
      </c>
      <c r="C230" s="6" t="s">
        <v>510</v>
      </c>
      <c r="D230" s="131" t="s">
        <v>244</v>
      </c>
      <c r="E230" s="111">
        <f t="shared" si="8"/>
        <v>4</v>
      </c>
      <c r="F230" s="111">
        <v>3</v>
      </c>
      <c r="G230" s="111">
        <v>0</v>
      </c>
      <c r="H230" s="111">
        <v>1</v>
      </c>
      <c r="I230" s="18"/>
    </row>
    <row r="231" spans="2:9">
      <c r="B231" s="7">
        <f t="shared" si="9"/>
        <v>14</v>
      </c>
      <c r="C231" s="6" t="s">
        <v>511</v>
      </c>
      <c r="D231" s="131" t="s">
        <v>244</v>
      </c>
      <c r="E231" s="111">
        <f t="shared" si="8"/>
        <v>5</v>
      </c>
      <c r="F231" s="111">
        <v>5</v>
      </c>
      <c r="G231" s="111">
        <v>0</v>
      </c>
      <c r="H231" s="111">
        <v>0</v>
      </c>
      <c r="I231" s="18"/>
    </row>
    <row r="232" spans="2:9">
      <c r="B232" s="7">
        <f t="shared" si="9"/>
        <v>15</v>
      </c>
      <c r="C232" s="6" t="s">
        <v>512</v>
      </c>
      <c r="D232" s="131" t="s">
        <v>244</v>
      </c>
      <c r="E232" s="111">
        <f t="shared" si="8"/>
        <v>4</v>
      </c>
      <c r="F232" s="111">
        <v>4</v>
      </c>
      <c r="G232" s="111">
        <v>0</v>
      </c>
      <c r="H232" s="111">
        <v>0</v>
      </c>
      <c r="I232" s="18"/>
    </row>
    <row r="233" spans="2:9">
      <c r="B233" s="7">
        <f t="shared" si="9"/>
        <v>16</v>
      </c>
      <c r="C233" s="6" t="s">
        <v>513</v>
      </c>
      <c r="D233" s="131" t="s">
        <v>251</v>
      </c>
      <c r="E233" s="111">
        <f t="shared" si="8"/>
        <v>4</v>
      </c>
      <c r="F233" s="111">
        <v>4</v>
      </c>
      <c r="G233" s="111">
        <v>0</v>
      </c>
      <c r="H233" s="111">
        <v>0</v>
      </c>
      <c r="I233" s="18"/>
    </row>
    <row r="234" spans="2:9">
      <c r="B234" s="7">
        <f t="shared" si="9"/>
        <v>17</v>
      </c>
      <c r="C234" s="6" t="s">
        <v>179</v>
      </c>
      <c r="D234" s="131" t="s">
        <v>244</v>
      </c>
      <c r="E234" s="111">
        <f t="shared" si="8"/>
        <v>4</v>
      </c>
      <c r="F234" s="111">
        <v>4</v>
      </c>
      <c r="G234" s="111">
        <v>0</v>
      </c>
      <c r="H234" s="111">
        <v>0</v>
      </c>
      <c r="I234" s="18"/>
    </row>
    <row r="235" spans="2:9">
      <c r="B235" s="7">
        <f t="shared" si="9"/>
        <v>18</v>
      </c>
      <c r="C235" s="6" t="s">
        <v>97</v>
      </c>
      <c r="D235" s="131" t="s">
        <v>244</v>
      </c>
      <c r="E235" s="111">
        <f t="shared" si="8"/>
        <v>4</v>
      </c>
      <c r="F235" s="111">
        <v>4</v>
      </c>
      <c r="G235" s="111">
        <v>0</v>
      </c>
      <c r="H235" s="111">
        <v>0</v>
      </c>
      <c r="I235" s="18"/>
    </row>
    <row r="236" spans="2:9">
      <c r="B236" s="7">
        <f t="shared" si="9"/>
        <v>19</v>
      </c>
      <c r="C236" s="6" t="s">
        <v>514</v>
      </c>
      <c r="D236" s="131" t="s">
        <v>244</v>
      </c>
      <c r="E236" s="111">
        <f t="shared" si="8"/>
        <v>4</v>
      </c>
      <c r="F236" s="111">
        <v>3</v>
      </c>
      <c r="G236" s="111">
        <v>0</v>
      </c>
      <c r="H236" s="111">
        <v>1</v>
      </c>
      <c r="I236" s="18"/>
    </row>
    <row r="237" spans="2:9">
      <c r="B237" s="7">
        <f t="shared" si="9"/>
        <v>20</v>
      </c>
      <c r="C237" s="6" t="s">
        <v>515</v>
      </c>
      <c r="D237" s="131" t="s">
        <v>244</v>
      </c>
      <c r="E237" s="111">
        <f t="shared" si="8"/>
        <v>4</v>
      </c>
      <c r="F237" s="111">
        <v>3</v>
      </c>
      <c r="G237" s="111">
        <v>0</v>
      </c>
      <c r="H237" s="111">
        <v>1</v>
      </c>
      <c r="I237" s="18"/>
    </row>
    <row r="238" spans="2:9">
      <c r="B238" s="7">
        <f t="shared" si="9"/>
        <v>21</v>
      </c>
      <c r="C238" s="6" t="s">
        <v>516</v>
      </c>
      <c r="D238" s="131" t="s">
        <v>244</v>
      </c>
      <c r="E238" s="111">
        <f t="shared" si="8"/>
        <v>4</v>
      </c>
      <c r="F238" s="111">
        <v>4</v>
      </c>
      <c r="G238" s="111">
        <v>0</v>
      </c>
      <c r="H238" s="111">
        <v>0</v>
      </c>
      <c r="I238" s="18"/>
    </row>
    <row r="239" spans="2:9">
      <c r="B239" s="7">
        <f t="shared" si="9"/>
        <v>22</v>
      </c>
      <c r="C239" s="6" t="s">
        <v>141</v>
      </c>
      <c r="D239" s="131" t="s">
        <v>244</v>
      </c>
      <c r="E239" s="111">
        <f t="shared" si="8"/>
        <v>4</v>
      </c>
      <c r="F239" s="111">
        <v>4</v>
      </c>
      <c r="G239" s="111">
        <v>0</v>
      </c>
      <c r="H239" s="111">
        <v>0</v>
      </c>
      <c r="I239" s="18"/>
    </row>
    <row r="240" spans="2:9">
      <c r="B240" s="7">
        <f t="shared" si="9"/>
        <v>23</v>
      </c>
      <c r="C240" s="6" t="s">
        <v>517</v>
      </c>
      <c r="D240" s="131" t="s">
        <v>244</v>
      </c>
      <c r="E240" s="111">
        <f t="shared" si="8"/>
        <v>4</v>
      </c>
      <c r="F240" s="111">
        <v>4</v>
      </c>
      <c r="G240" s="111">
        <v>0</v>
      </c>
      <c r="H240" s="111">
        <v>0</v>
      </c>
      <c r="I240" s="18"/>
    </row>
    <row r="241" spans="2:9">
      <c r="B241" s="7">
        <f t="shared" si="9"/>
        <v>24</v>
      </c>
      <c r="C241" s="6" t="s">
        <v>518</v>
      </c>
      <c r="D241" s="131" t="s">
        <v>244</v>
      </c>
      <c r="E241" s="111">
        <f t="shared" si="8"/>
        <v>7</v>
      </c>
      <c r="F241" s="111">
        <v>7</v>
      </c>
      <c r="G241" s="111">
        <v>0</v>
      </c>
      <c r="H241" s="111">
        <v>0</v>
      </c>
      <c r="I241" s="18"/>
    </row>
    <row r="242" spans="2:9">
      <c r="B242" s="7">
        <f t="shared" si="9"/>
        <v>25</v>
      </c>
      <c r="C242" s="6" t="s">
        <v>519</v>
      </c>
      <c r="D242" s="131" t="s">
        <v>244</v>
      </c>
      <c r="E242" s="111">
        <f t="shared" si="8"/>
        <v>0</v>
      </c>
      <c r="F242" s="111">
        <v>0</v>
      </c>
      <c r="G242" s="111">
        <v>0</v>
      </c>
      <c r="H242" s="111">
        <v>0</v>
      </c>
      <c r="I242" s="18"/>
    </row>
  </sheetData>
  <mergeCells count="15">
    <mergeCell ref="B2:I5"/>
    <mergeCell ref="B217:I217"/>
    <mergeCell ref="B7:B9"/>
    <mergeCell ref="C7:C9"/>
    <mergeCell ref="D7:D9"/>
    <mergeCell ref="E8:E9"/>
    <mergeCell ref="F8:F9"/>
    <mergeCell ref="G8:G9"/>
    <mergeCell ref="H8:H9"/>
    <mergeCell ref="I7:I9"/>
    <mergeCell ref="E7:F7"/>
    <mergeCell ref="G7:H7"/>
    <mergeCell ref="B10:I10"/>
    <mergeCell ref="B56:I56"/>
    <mergeCell ref="B189:I189"/>
  </mergeCells>
  <printOptions horizontalCentered="1"/>
  <pageMargins left="0" right="0" top="0.196850393700787" bottom="0" header="0" footer="0"/>
  <pageSetup paperSize="9" scale="9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220"/>
  <sheetViews>
    <sheetView workbookViewId="0">
      <pane xSplit="3" ySplit="9" topLeftCell="D34" activePane="bottomRight" state="frozen"/>
      <selection pane="topRight"/>
      <selection pane="bottomLeft"/>
      <selection pane="bottomRight" activeCell="O26" sqref="O26"/>
    </sheetView>
  </sheetViews>
  <sheetFormatPr defaultColWidth="8.6640625" defaultRowHeight="14.4"/>
  <cols>
    <col min="1" max="1" width="1.6640625" style="1" customWidth="1"/>
    <col min="2" max="2" width="7.109375" style="1" customWidth="1"/>
    <col min="3" max="3" width="20.88671875" style="1" customWidth="1"/>
    <col min="4" max="4" width="9.109375" style="1" customWidth="1"/>
    <col min="5" max="5" width="7" style="1" customWidth="1"/>
    <col min="6" max="6" width="6.109375" style="1" customWidth="1"/>
    <col min="7" max="7" width="6.88671875" style="1" customWidth="1"/>
    <col min="8" max="9" width="9" style="1" customWidth="1"/>
    <col min="10" max="10" width="19.33203125" style="1" customWidth="1"/>
    <col min="11" max="11" width="17" style="1" customWidth="1"/>
    <col min="12" max="16384" width="8.6640625" style="1"/>
  </cols>
  <sheetData>
    <row r="1" spans="2:12" ht="7.5" customHeight="1"/>
    <row r="2" spans="2:12" ht="14.4" customHeight="1">
      <c r="B2" s="246" t="s">
        <v>229</v>
      </c>
      <c r="C2" s="247"/>
      <c r="D2" s="247"/>
      <c r="E2" s="247"/>
      <c r="F2" s="247"/>
      <c r="G2" s="247"/>
      <c r="H2" s="247"/>
      <c r="I2" s="247"/>
      <c r="J2" s="247"/>
      <c r="K2" s="247"/>
    </row>
    <row r="3" spans="2:12" ht="18.600000000000001" customHeight="1">
      <c r="B3" s="246"/>
      <c r="C3" s="247"/>
      <c r="D3" s="247"/>
      <c r="E3" s="247"/>
      <c r="F3" s="247"/>
      <c r="G3" s="247"/>
      <c r="H3" s="247"/>
      <c r="I3" s="247"/>
      <c r="J3" s="247"/>
      <c r="K3" s="247"/>
    </row>
    <row r="4" spans="2:12" ht="18.600000000000001" customHeight="1">
      <c r="B4" s="246"/>
      <c r="C4" s="247"/>
      <c r="D4" s="247"/>
      <c r="E4" s="247"/>
      <c r="F4" s="247"/>
      <c r="G4" s="247"/>
      <c r="H4" s="247"/>
      <c r="I4" s="247"/>
      <c r="J4" s="247"/>
      <c r="K4" s="247"/>
    </row>
    <row r="5" spans="2:12" ht="21.6" customHeight="1">
      <c r="B5" s="246"/>
      <c r="C5" s="247"/>
      <c r="D5" s="247"/>
      <c r="E5" s="247"/>
      <c r="F5" s="247"/>
      <c r="G5" s="247"/>
      <c r="H5" s="247"/>
      <c r="I5" s="247"/>
      <c r="J5" s="247"/>
      <c r="K5" s="247"/>
    </row>
    <row r="6" spans="2:12" ht="9" customHeight="1"/>
    <row r="7" spans="2:12" s="109" customFormat="1" ht="21" customHeight="1">
      <c r="B7" s="235" t="s">
        <v>32</v>
      </c>
      <c r="C7" s="235" t="s">
        <v>1</v>
      </c>
      <c r="D7" s="238" t="s">
        <v>230</v>
      </c>
      <c r="E7" s="241" t="s">
        <v>231</v>
      </c>
      <c r="F7" s="224" t="s">
        <v>232</v>
      </c>
      <c r="G7" s="225"/>
      <c r="H7" s="224" t="s">
        <v>233</v>
      </c>
      <c r="I7" s="225"/>
      <c r="J7" s="235" t="s">
        <v>234</v>
      </c>
      <c r="K7" s="235" t="s">
        <v>2</v>
      </c>
      <c r="L7" s="122"/>
    </row>
    <row r="8" spans="2:12" s="109" customFormat="1" ht="21" customHeight="1">
      <c r="B8" s="236"/>
      <c r="C8" s="236"/>
      <c r="D8" s="239"/>
      <c r="E8" s="242"/>
      <c r="F8" s="238" t="s">
        <v>237</v>
      </c>
      <c r="G8" s="238" t="s">
        <v>238</v>
      </c>
      <c r="H8" s="238" t="s">
        <v>239</v>
      </c>
      <c r="I8" s="238" t="s">
        <v>240</v>
      </c>
      <c r="J8" s="236"/>
      <c r="K8" s="236"/>
      <c r="L8" s="122"/>
    </row>
    <row r="9" spans="2:12" s="109" customFormat="1" ht="21" customHeight="1">
      <c r="B9" s="237"/>
      <c r="C9" s="237"/>
      <c r="D9" s="240"/>
      <c r="E9" s="243"/>
      <c r="F9" s="240"/>
      <c r="G9" s="240"/>
      <c r="H9" s="240"/>
      <c r="I9" s="240"/>
      <c r="J9" s="237"/>
      <c r="K9" s="237"/>
      <c r="L9" s="122"/>
    </row>
    <row r="10" spans="2:12">
      <c r="B10" s="111">
        <v>1</v>
      </c>
      <c r="C10" s="130" t="s">
        <v>243</v>
      </c>
      <c r="D10" s="131">
        <v>2010</v>
      </c>
      <c r="E10" s="211" t="s">
        <v>244</v>
      </c>
      <c r="F10" s="131">
        <v>6</v>
      </c>
      <c r="G10" s="131">
        <v>6</v>
      </c>
      <c r="H10" s="211" t="s">
        <v>56</v>
      </c>
      <c r="I10" s="211" t="s">
        <v>56</v>
      </c>
      <c r="J10" s="211" t="s">
        <v>245</v>
      </c>
      <c r="K10" s="131"/>
    </row>
    <row r="11" spans="2:12">
      <c r="B11" s="111">
        <f>B10+1</f>
        <v>2</v>
      </c>
      <c r="C11" s="130" t="s">
        <v>172</v>
      </c>
      <c r="D11" s="131">
        <v>2010</v>
      </c>
      <c r="E11" s="211" t="s">
        <v>244</v>
      </c>
      <c r="F11" s="131">
        <v>5</v>
      </c>
      <c r="G11" s="131">
        <v>5</v>
      </c>
      <c r="H11" s="211" t="s">
        <v>56</v>
      </c>
      <c r="I11" s="211" t="s">
        <v>56</v>
      </c>
      <c r="J11" s="211" t="s">
        <v>245</v>
      </c>
      <c r="K11" s="131"/>
    </row>
    <row r="12" spans="2:12">
      <c r="B12" s="111">
        <f t="shared" ref="B12:B75" si="0">B11+1</f>
        <v>3</v>
      </c>
      <c r="C12" s="130" t="s">
        <v>248</v>
      </c>
      <c r="D12" s="131">
        <v>2010</v>
      </c>
      <c r="E12" s="211" t="s">
        <v>244</v>
      </c>
      <c r="F12" s="131">
        <v>1</v>
      </c>
      <c r="G12" s="131">
        <v>1</v>
      </c>
      <c r="H12" s="211" t="s">
        <v>56</v>
      </c>
      <c r="I12" s="211" t="s">
        <v>56</v>
      </c>
      <c r="J12" s="211" t="s">
        <v>245</v>
      </c>
      <c r="K12" s="131"/>
    </row>
    <row r="13" spans="2:12">
      <c r="B13" s="111">
        <f t="shared" si="0"/>
        <v>4</v>
      </c>
      <c r="C13" s="130" t="s">
        <v>250</v>
      </c>
      <c r="D13" s="131"/>
      <c r="E13" s="211" t="s">
        <v>251</v>
      </c>
      <c r="F13" s="131">
        <v>1</v>
      </c>
      <c r="G13" s="131">
        <v>1</v>
      </c>
      <c r="H13" s="211" t="s">
        <v>56</v>
      </c>
      <c r="I13" s="211" t="s">
        <v>56</v>
      </c>
      <c r="J13" s="211" t="s">
        <v>245</v>
      </c>
      <c r="K13" s="131"/>
    </row>
    <row r="14" spans="2:12" customFormat="1">
      <c r="B14" s="111">
        <f t="shared" si="0"/>
        <v>5</v>
      </c>
      <c r="C14" s="132" t="s">
        <v>253</v>
      </c>
      <c r="D14" s="7">
        <v>2018</v>
      </c>
      <c r="E14" s="212" t="s">
        <v>244</v>
      </c>
      <c r="F14" s="7">
        <v>35</v>
      </c>
      <c r="G14" s="7">
        <v>35</v>
      </c>
      <c r="H14" s="212" t="s">
        <v>56</v>
      </c>
      <c r="I14" s="212" t="s">
        <v>56</v>
      </c>
      <c r="J14" s="212" t="s">
        <v>245</v>
      </c>
      <c r="K14" s="7"/>
    </row>
    <row r="15" spans="2:12" customFormat="1">
      <c r="B15" s="111">
        <f t="shared" si="0"/>
        <v>6</v>
      </c>
      <c r="C15" s="132" t="s">
        <v>256</v>
      </c>
      <c r="D15" s="7"/>
      <c r="E15" s="212" t="s">
        <v>244</v>
      </c>
      <c r="F15" s="7">
        <v>1</v>
      </c>
      <c r="G15" s="7">
        <v>1</v>
      </c>
      <c r="H15" s="212" t="s">
        <v>56</v>
      </c>
      <c r="I15" s="212" t="s">
        <v>56</v>
      </c>
      <c r="J15" s="212" t="s">
        <v>245</v>
      </c>
      <c r="K15" s="7"/>
    </row>
    <row r="16" spans="2:12" customFormat="1">
      <c r="B16" s="111">
        <f t="shared" si="0"/>
        <v>7</v>
      </c>
      <c r="C16" s="132" t="s">
        <v>258</v>
      </c>
      <c r="D16" s="7">
        <v>2010</v>
      </c>
      <c r="E16" s="212" t="s">
        <v>244</v>
      </c>
      <c r="F16" s="7">
        <v>2</v>
      </c>
      <c r="G16" s="7">
        <v>2</v>
      </c>
      <c r="H16" s="212" t="s">
        <v>56</v>
      </c>
      <c r="I16" s="212" t="s">
        <v>56</v>
      </c>
      <c r="J16" s="212" t="s">
        <v>245</v>
      </c>
      <c r="K16" s="7"/>
    </row>
    <row r="17" spans="2:11" customFormat="1">
      <c r="B17" s="111">
        <f t="shared" si="0"/>
        <v>8</v>
      </c>
      <c r="C17" s="132" t="s">
        <v>260</v>
      </c>
      <c r="D17" s="7">
        <v>2024</v>
      </c>
      <c r="E17" s="212" t="s">
        <v>244</v>
      </c>
      <c r="F17" s="7">
        <v>1</v>
      </c>
      <c r="G17" s="7">
        <v>1</v>
      </c>
      <c r="H17" s="212" t="s">
        <v>56</v>
      </c>
      <c r="I17" s="212" t="s">
        <v>56</v>
      </c>
      <c r="J17" s="212" t="s">
        <v>245</v>
      </c>
      <c r="K17" s="7"/>
    </row>
    <row r="18" spans="2:11" customFormat="1">
      <c r="B18" s="111">
        <f t="shared" si="0"/>
        <v>9</v>
      </c>
      <c r="C18" s="132" t="s">
        <v>262</v>
      </c>
      <c r="D18" s="7"/>
      <c r="E18" s="212" t="s">
        <v>244</v>
      </c>
      <c r="F18" s="7">
        <v>1</v>
      </c>
      <c r="G18" s="7">
        <v>1</v>
      </c>
      <c r="H18" s="212" t="s">
        <v>56</v>
      </c>
      <c r="I18" s="212" t="s">
        <v>56</v>
      </c>
      <c r="J18" s="212" t="s">
        <v>245</v>
      </c>
      <c r="K18" s="7"/>
    </row>
    <row r="19" spans="2:11" customFormat="1">
      <c r="B19" s="111">
        <f t="shared" si="0"/>
        <v>10</v>
      </c>
      <c r="C19" s="132" t="s">
        <v>264</v>
      </c>
      <c r="D19" s="7">
        <v>2010</v>
      </c>
      <c r="E19" s="212" t="s">
        <v>244</v>
      </c>
      <c r="F19" s="7">
        <v>1</v>
      </c>
      <c r="G19" s="7">
        <v>1</v>
      </c>
      <c r="H19" s="212" t="s">
        <v>56</v>
      </c>
      <c r="I19" s="212" t="s">
        <v>56</v>
      </c>
      <c r="J19" s="212" t="s">
        <v>245</v>
      </c>
      <c r="K19" s="7"/>
    </row>
    <row r="20" spans="2:11" customFormat="1">
      <c r="B20" s="111">
        <f t="shared" si="0"/>
        <v>11</v>
      </c>
      <c r="C20" s="132" t="s">
        <v>172</v>
      </c>
      <c r="D20" s="7">
        <v>2010</v>
      </c>
      <c r="E20" s="212" t="s">
        <v>244</v>
      </c>
      <c r="F20" s="7">
        <v>2</v>
      </c>
      <c r="G20" s="7">
        <v>2</v>
      </c>
      <c r="H20" s="212" t="s">
        <v>56</v>
      </c>
      <c r="I20" s="212" t="s">
        <v>56</v>
      </c>
      <c r="J20" s="212" t="s">
        <v>267</v>
      </c>
      <c r="K20" s="7"/>
    </row>
    <row r="21" spans="2:11" customFormat="1">
      <c r="B21" s="111">
        <f t="shared" si="0"/>
        <v>12</v>
      </c>
      <c r="C21" s="132" t="s">
        <v>269</v>
      </c>
      <c r="D21" s="7"/>
      <c r="E21" s="212" t="s">
        <v>244</v>
      </c>
      <c r="F21" s="7">
        <v>4</v>
      </c>
      <c r="G21" s="7">
        <v>4</v>
      </c>
      <c r="H21" s="212" t="s">
        <v>56</v>
      </c>
      <c r="I21" s="212" t="s">
        <v>56</v>
      </c>
      <c r="J21" s="212" t="s">
        <v>267</v>
      </c>
      <c r="K21" s="7"/>
    </row>
    <row r="22" spans="2:11" customFormat="1">
      <c r="B22" s="111">
        <f t="shared" si="0"/>
        <v>13</v>
      </c>
      <c r="C22" s="132" t="s">
        <v>271</v>
      </c>
      <c r="D22" s="8">
        <v>2022</v>
      </c>
      <c r="E22" s="212" t="s">
        <v>244</v>
      </c>
      <c r="F22" s="8">
        <v>1</v>
      </c>
      <c r="G22" s="8">
        <v>1</v>
      </c>
      <c r="H22" s="8" t="s">
        <v>56</v>
      </c>
      <c r="I22" s="212" t="s">
        <v>56</v>
      </c>
      <c r="J22" s="212" t="s">
        <v>267</v>
      </c>
      <c r="K22" s="8"/>
    </row>
    <row r="23" spans="2:11" customFormat="1">
      <c r="B23" s="111">
        <f t="shared" si="0"/>
        <v>14</v>
      </c>
      <c r="C23" s="132" t="s">
        <v>273</v>
      </c>
      <c r="D23" s="7"/>
      <c r="E23" s="212" t="s">
        <v>244</v>
      </c>
      <c r="F23" s="7">
        <v>3</v>
      </c>
      <c r="G23" s="7">
        <v>3</v>
      </c>
      <c r="H23" s="8" t="s">
        <v>56</v>
      </c>
      <c r="I23" s="212" t="s">
        <v>56</v>
      </c>
      <c r="J23" s="212" t="s">
        <v>267</v>
      </c>
      <c r="K23" s="7"/>
    </row>
    <row r="24" spans="2:11" customFormat="1">
      <c r="B24" s="111">
        <f t="shared" si="0"/>
        <v>15</v>
      </c>
      <c r="C24" s="132" t="s">
        <v>275</v>
      </c>
      <c r="D24" s="7">
        <v>2010</v>
      </c>
      <c r="E24" s="212" t="s">
        <v>244</v>
      </c>
      <c r="F24" s="7">
        <v>1</v>
      </c>
      <c r="G24" s="7">
        <v>1</v>
      </c>
      <c r="H24" s="7" t="s">
        <v>56</v>
      </c>
      <c r="I24" s="212" t="s">
        <v>56</v>
      </c>
      <c r="J24" s="212" t="s">
        <v>267</v>
      </c>
      <c r="K24" s="7"/>
    </row>
    <row r="25" spans="2:11" customFormat="1">
      <c r="B25" s="111">
        <f t="shared" si="0"/>
        <v>16</v>
      </c>
      <c r="C25" s="132" t="s">
        <v>277</v>
      </c>
      <c r="D25" s="7">
        <v>2010</v>
      </c>
      <c r="E25" s="212" t="s">
        <v>244</v>
      </c>
      <c r="F25" s="7">
        <v>5</v>
      </c>
      <c r="G25" s="7">
        <v>5</v>
      </c>
      <c r="H25" s="7" t="s">
        <v>56</v>
      </c>
      <c r="I25" s="212" t="s">
        <v>56</v>
      </c>
      <c r="J25" s="212" t="s">
        <v>267</v>
      </c>
      <c r="K25" s="7"/>
    </row>
    <row r="26" spans="2:11" customFormat="1">
      <c r="B26" s="111">
        <f t="shared" si="0"/>
        <v>17</v>
      </c>
      <c r="C26" s="132" t="s">
        <v>280</v>
      </c>
      <c r="D26" s="7">
        <v>2010</v>
      </c>
      <c r="E26" s="212" t="s">
        <v>244</v>
      </c>
      <c r="F26" s="7">
        <v>4</v>
      </c>
      <c r="G26" s="7">
        <v>4</v>
      </c>
      <c r="H26" s="212" t="s">
        <v>56</v>
      </c>
      <c r="I26" s="212" t="s">
        <v>56</v>
      </c>
      <c r="J26" s="212" t="s">
        <v>267</v>
      </c>
      <c r="K26" s="7"/>
    </row>
    <row r="27" spans="2:11" customFormat="1">
      <c r="B27" s="111">
        <f t="shared" si="0"/>
        <v>18</v>
      </c>
      <c r="C27" s="132" t="s">
        <v>253</v>
      </c>
      <c r="D27" s="8">
        <v>2018</v>
      </c>
      <c r="E27" s="212" t="s">
        <v>244</v>
      </c>
      <c r="F27" s="8">
        <v>3</v>
      </c>
      <c r="G27" s="8">
        <v>3</v>
      </c>
      <c r="H27" s="8" t="s">
        <v>56</v>
      </c>
      <c r="I27" s="212" t="s">
        <v>56</v>
      </c>
      <c r="J27" s="212" t="s">
        <v>267</v>
      </c>
      <c r="K27" s="8"/>
    </row>
    <row r="28" spans="2:11" customFormat="1">
      <c r="B28" s="111">
        <f t="shared" si="0"/>
        <v>19</v>
      </c>
      <c r="C28" s="132" t="s">
        <v>256</v>
      </c>
      <c r="D28" s="7">
        <v>2010</v>
      </c>
      <c r="E28" s="212" t="s">
        <v>244</v>
      </c>
      <c r="F28" s="7">
        <v>6</v>
      </c>
      <c r="G28" s="7">
        <v>2</v>
      </c>
      <c r="H28" s="7">
        <v>4</v>
      </c>
      <c r="I28" s="212" t="s">
        <v>56</v>
      </c>
      <c r="J28" s="212" t="s">
        <v>267</v>
      </c>
      <c r="K28" s="7"/>
    </row>
    <row r="29" spans="2:11" customFormat="1">
      <c r="B29" s="111">
        <f t="shared" si="0"/>
        <v>20</v>
      </c>
      <c r="C29" s="132" t="s">
        <v>286</v>
      </c>
      <c r="D29" s="7">
        <v>2010</v>
      </c>
      <c r="E29" s="7" t="s">
        <v>251</v>
      </c>
      <c r="F29" s="7">
        <v>2</v>
      </c>
      <c r="G29" s="7">
        <v>2</v>
      </c>
      <c r="H29" s="212" t="s">
        <v>56</v>
      </c>
      <c r="I29" s="212" t="s">
        <v>56</v>
      </c>
      <c r="J29" s="212" t="s">
        <v>267</v>
      </c>
      <c r="K29" s="7"/>
    </row>
    <row r="30" spans="2:11" customFormat="1">
      <c r="B30" s="111">
        <f t="shared" si="0"/>
        <v>21</v>
      </c>
      <c r="C30" s="132" t="s">
        <v>288</v>
      </c>
      <c r="D30" s="7">
        <v>2010</v>
      </c>
      <c r="E30" s="212" t="s">
        <v>244</v>
      </c>
      <c r="F30" s="7">
        <v>1</v>
      </c>
      <c r="G30" s="7">
        <v>1</v>
      </c>
      <c r="H30" s="212" t="s">
        <v>56</v>
      </c>
      <c r="I30" s="212" t="s">
        <v>56</v>
      </c>
      <c r="J30" s="212" t="s">
        <v>267</v>
      </c>
      <c r="K30" s="7"/>
    </row>
    <row r="31" spans="2:11" customFormat="1">
      <c r="B31" s="111">
        <f t="shared" si="0"/>
        <v>22</v>
      </c>
      <c r="C31" s="132" t="s">
        <v>290</v>
      </c>
      <c r="D31" s="7">
        <v>2022</v>
      </c>
      <c r="E31" s="212" t="s">
        <v>244</v>
      </c>
      <c r="F31" s="7">
        <v>1</v>
      </c>
      <c r="G31" s="7">
        <v>1</v>
      </c>
      <c r="H31" s="212" t="s">
        <v>56</v>
      </c>
      <c r="I31" s="212" t="s">
        <v>56</v>
      </c>
      <c r="J31" s="212" t="s">
        <v>267</v>
      </c>
      <c r="K31" s="7"/>
    </row>
    <row r="32" spans="2:11" customFormat="1">
      <c r="B32" s="111">
        <f t="shared" si="0"/>
        <v>23</v>
      </c>
      <c r="C32" s="132" t="s">
        <v>262</v>
      </c>
      <c r="D32" s="7"/>
      <c r="E32" s="212" t="s">
        <v>244</v>
      </c>
      <c r="F32" s="212" t="s">
        <v>56</v>
      </c>
      <c r="G32" s="212" t="s">
        <v>56</v>
      </c>
      <c r="H32" s="212" t="s">
        <v>56</v>
      </c>
      <c r="I32" s="212" t="s">
        <v>56</v>
      </c>
      <c r="J32" s="212" t="s">
        <v>267</v>
      </c>
      <c r="K32" s="7"/>
    </row>
    <row r="33" spans="2:11" customFormat="1">
      <c r="B33" s="111">
        <f t="shared" si="0"/>
        <v>24</v>
      </c>
      <c r="C33" s="132" t="s">
        <v>264</v>
      </c>
      <c r="D33" s="7">
        <v>2010</v>
      </c>
      <c r="E33" s="212" t="s">
        <v>244</v>
      </c>
      <c r="F33" s="7">
        <v>1</v>
      </c>
      <c r="G33" s="7">
        <v>1</v>
      </c>
      <c r="H33" s="212" t="s">
        <v>56</v>
      </c>
      <c r="I33" s="212" t="s">
        <v>56</v>
      </c>
      <c r="J33" s="212" t="s">
        <v>267</v>
      </c>
      <c r="K33" s="7"/>
    </row>
    <row r="34" spans="2:11" customFormat="1">
      <c r="B34" s="111">
        <f t="shared" si="0"/>
        <v>25</v>
      </c>
      <c r="C34" s="132" t="s">
        <v>294</v>
      </c>
      <c r="D34" s="7">
        <v>2010</v>
      </c>
      <c r="E34" s="212" t="s">
        <v>244</v>
      </c>
      <c r="F34" s="7">
        <v>2</v>
      </c>
      <c r="G34" s="7">
        <v>2</v>
      </c>
      <c r="H34" s="212" t="s">
        <v>56</v>
      </c>
      <c r="I34" s="212" t="s">
        <v>56</v>
      </c>
      <c r="J34" s="212" t="s">
        <v>267</v>
      </c>
      <c r="K34" s="7"/>
    </row>
    <row r="35" spans="2:11" customFormat="1">
      <c r="B35" s="111">
        <f t="shared" si="0"/>
        <v>26</v>
      </c>
      <c r="C35" s="132" t="s">
        <v>172</v>
      </c>
      <c r="D35" s="7">
        <v>2010</v>
      </c>
      <c r="E35" s="212" t="s">
        <v>244</v>
      </c>
      <c r="F35" s="7">
        <v>4</v>
      </c>
      <c r="G35" s="7">
        <v>4</v>
      </c>
      <c r="H35" s="212" t="s">
        <v>56</v>
      </c>
      <c r="I35" s="212" t="s">
        <v>56</v>
      </c>
      <c r="J35" s="212" t="s">
        <v>296</v>
      </c>
      <c r="K35" s="7"/>
    </row>
    <row r="36" spans="2:11" customFormat="1">
      <c r="B36" s="111">
        <f t="shared" si="0"/>
        <v>27</v>
      </c>
      <c r="C36" s="132" t="s">
        <v>264</v>
      </c>
      <c r="D36" s="7">
        <v>2010</v>
      </c>
      <c r="E36" s="212" t="s">
        <v>244</v>
      </c>
      <c r="F36" s="7">
        <v>1</v>
      </c>
      <c r="G36" s="7">
        <v>1</v>
      </c>
      <c r="H36" s="212" t="s">
        <v>56</v>
      </c>
      <c r="I36" s="212" t="s">
        <v>56</v>
      </c>
      <c r="J36" s="212" t="s">
        <v>296</v>
      </c>
      <c r="K36" s="7"/>
    </row>
    <row r="37" spans="2:11" customFormat="1">
      <c r="B37" s="111">
        <f t="shared" si="0"/>
        <v>28</v>
      </c>
      <c r="C37" s="132" t="s">
        <v>253</v>
      </c>
      <c r="D37" s="7">
        <v>2018</v>
      </c>
      <c r="E37" s="212" t="s">
        <v>244</v>
      </c>
      <c r="F37" s="7">
        <f>6+30</f>
        <v>36</v>
      </c>
      <c r="G37" s="7">
        <v>23</v>
      </c>
      <c r="H37" s="7">
        <v>13</v>
      </c>
      <c r="I37" s="212" t="s">
        <v>56</v>
      </c>
      <c r="J37" s="212" t="s">
        <v>296</v>
      </c>
      <c r="K37" s="7"/>
    </row>
    <row r="38" spans="2:11" customFormat="1">
      <c r="B38" s="111">
        <f t="shared" si="0"/>
        <v>29</v>
      </c>
      <c r="C38" s="132" t="s">
        <v>248</v>
      </c>
      <c r="D38" s="7">
        <v>2010</v>
      </c>
      <c r="E38" s="212" t="s">
        <v>244</v>
      </c>
      <c r="F38" s="7">
        <v>1</v>
      </c>
      <c r="G38" s="7">
        <v>1</v>
      </c>
      <c r="H38" s="212" t="s">
        <v>56</v>
      </c>
      <c r="I38" s="212" t="s">
        <v>56</v>
      </c>
      <c r="J38" s="212" t="s">
        <v>296</v>
      </c>
      <c r="K38" s="7"/>
    </row>
    <row r="39" spans="2:11" customFormat="1">
      <c r="B39" s="111">
        <f t="shared" si="0"/>
        <v>30</v>
      </c>
      <c r="C39" s="132" t="s">
        <v>302</v>
      </c>
      <c r="D39" s="7">
        <v>2018</v>
      </c>
      <c r="E39" s="212" t="s">
        <v>244</v>
      </c>
      <c r="F39" s="7">
        <v>3</v>
      </c>
      <c r="G39" s="7">
        <v>3</v>
      </c>
      <c r="H39" s="212" t="s">
        <v>56</v>
      </c>
      <c r="I39" s="212" t="s">
        <v>56</v>
      </c>
      <c r="J39" s="212" t="s">
        <v>296</v>
      </c>
      <c r="K39" s="7"/>
    </row>
    <row r="40" spans="2:11" customFormat="1">
      <c r="B40" s="111">
        <f t="shared" si="0"/>
        <v>31</v>
      </c>
      <c r="C40" s="132" t="s">
        <v>305</v>
      </c>
      <c r="D40" s="7">
        <v>2010</v>
      </c>
      <c r="E40" s="212" t="s">
        <v>244</v>
      </c>
      <c r="F40" s="7">
        <v>18</v>
      </c>
      <c r="G40" s="7">
        <v>18</v>
      </c>
      <c r="H40" s="212" t="s">
        <v>56</v>
      </c>
      <c r="I40" s="212" t="s">
        <v>56</v>
      </c>
      <c r="J40" s="212" t="s">
        <v>296</v>
      </c>
      <c r="K40" s="8"/>
    </row>
    <row r="41" spans="2:11" customFormat="1">
      <c r="B41" s="111">
        <f t="shared" si="0"/>
        <v>32</v>
      </c>
      <c r="C41" s="132" t="s">
        <v>308</v>
      </c>
      <c r="D41" s="7">
        <v>2010</v>
      </c>
      <c r="E41" s="212" t="s">
        <v>244</v>
      </c>
      <c r="F41" s="7">
        <v>20</v>
      </c>
      <c r="G41" s="7">
        <v>20</v>
      </c>
      <c r="H41" s="212" t="s">
        <v>56</v>
      </c>
      <c r="I41" s="212" t="s">
        <v>56</v>
      </c>
      <c r="J41" s="212" t="s">
        <v>296</v>
      </c>
      <c r="K41" s="8"/>
    </row>
    <row r="42" spans="2:11" customFormat="1">
      <c r="B42" s="111">
        <f t="shared" si="0"/>
        <v>33</v>
      </c>
      <c r="C42" s="132" t="s">
        <v>311</v>
      </c>
      <c r="D42" s="7">
        <v>2010</v>
      </c>
      <c r="E42" s="212" t="s">
        <v>244</v>
      </c>
      <c r="F42" s="7">
        <v>18</v>
      </c>
      <c r="G42" s="7">
        <v>18</v>
      </c>
      <c r="H42" s="212" t="s">
        <v>56</v>
      </c>
      <c r="I42" s="212" t="s">
        <v>56</v>
      </c>
      <c r="J42" s="212" t="s">
        <v>296</v>
      </c>
      <c r="K42" s="8"/>
    </row>
    <row r="43" spans="2:11" customFormat="1">
      <c r="B43" s="111">
        <f t="shared" si="0"/>
        <v>34</v>
      </c>
      <c r="C43" s="132" t="s">
        <v>294</v>
      </c>
      <c r="D43" s="7">
        <v>2010</v>
      </c>
      <c r="E43" s="212" t="s">
        <v>244</v>
      </c>
      <c r="F43" s="7">
        <v>7</v>
      </c>
      <c r="G43" s="7">
        <v>7</v>
      </c>
      <c r="H43" s="212" t="s">
        <v>56</v>
      </c>
      <c r="I43" s="212" t="s">
        <v>56</v>
      </c>
      <c r="J43" s="212" t="s">
        <v>296</v>
      </c>
      <c r="K43" s="7"/>
    </row>
    <row r="44" spans="2:11" customFormat="1">
      <c r="B44" s="111">
        <f t="shared" si="0"/>
        <v>35</v>
      </c>
      <c r="C44" s="132" t="s">
        <v>315</v>
      </c>
      <c r="D44" s="7">
        <v>2010</v>
      </c>
      <c r="E44" s="212" t="s">
        <v>244</v>
      </c>
      <c r="F44" s="7">
        <v>3</v>
      </c>
      <c r="G44" s="7">
        <v>3</v>
      </c>
      <c r="H44" s="212" t="s">
        <v>56</v>
      </c>
      <c r="I44" s="212" t="s">
        <v>56</v>
      </c>
      <c r="J44" s="212" t="s">
        <v>296</v>
      </c>
      <c r="K44" s="7"/>
    </row>
    <row r="45" spans="2:11" customFormat="1">
      <c r="B45" s="111">
        <f t="shared" si="0"/>
        <v>36</v>
      </c>
      <c r="C45" s="132" t="s">
        <v>318</v>
      </c>
      <c r="D45" s="7">
        <v>2010</v>
      </c>
      <c r="E45" s="212" t="s">
        <v>244</v>
      </c>
      <c r="F45" s="7">
        <v>18</v>
      </c>
      <c r="G45" s="7">
        <v>18</v>
      </c>
      <c r="H45" s="212" t="s">
        <v>56</v>
      </c>
      <c r="I45" s="212" t="s">
        <v>56</v>
      </c>
      <c r="J45" s="212" t="s">
        <v>296</v>
      </c>
      <c r="K45" s="7"/>
    </row>
    <row r="46" spans="2:11" customFormat="1">
      <c r="B46" s="111">
        <f t="shared" si="0"/>
        <v>37</v>
      </c>
      <c r="C46" s="132" t="s">
        <v>172</v>
      </c>
      <c r="D46" s="7">
        <v>2010</v>
      </c>
      <c r="E46" s="212" t="s">
        <v>244</v>
      </c>
      <c r="F46" s="7">
        <v>2</v>
      </c>
      <c r="G46" s="7">
        <v>2</v>
      </c>
      <c r="H46" s="212" t="s">
        <v>56</v>
      </c>
      <c r="I46" s="212" t="s">
        <v>56</v>
      </c>
      <c r="J46" s="212" t="s">
        <v>321</v>
      </c>
      <c r="K46" s="7"/>
    </row>
    <row r="47" spans="2:11" customFormat="1">
      <c r="B47" s="111">
        <f t="shared" si="0"/>
        <v>38</v>
      </c>
      <c r="C47" s="132" t="s">
        <v>264</v>
      </c>
      <c r="D47" s="7">
        <v>2010</v>
      </c>
      <c r="E47" s="212" t="s">
        <v>244</v>
      </c>
      <c r="F47" s="7">
        <v>1</v>
      </c>
      <c r="G47" s="7">
        <v>1</v>
      </c>
      <c r="H47" s="212" t="s">
        <v>56</v>
      </c>
      <c r="I47" s="212" t="s">
        <v>56</v>
      </c>
      <c r="J47" s="212" t="s">
        <v>321</v>
      </c>
      <c r="K47" s="7"/>
    </row>
    <row r="48" spans="2:11" customFormat="1">
      <c r="B48" s="111">
        <f t="shared" si="0"/>
        <v>39</v>
      </c>
      <c r="C48" s="132" t="s">
        <v>325</v>
      </c>
      <c r="D48" s="7">
        <v>2010</v>
      </c>
      <c r="E48" s="212" t="s">
        <v>244</v>
      </c>
      <c r="F48" s="7">
        <v>9</v>
      </c>
      <c r="G48" s="7">
        <v>9</v>
      </c>
      <c r="H48" s="212" t="s">
        <v>56</v>
      </c>
      <c r="I48" s="212" t="s">
        <v>56</v>
      </c>
      <c r="J48" s="212" t="s">
        <v>321</v>
      </c>
      <c r="K48" s="7"/>
    </row>
    <row r="49" spans="2:11" customFormat="1">
      <c r="B49" s="111">
        <f t="shared" si="0"/>
        <v>40</v>
      </c>
      <c r="C49" s="132" t="s">
        <v>327</v>
      </c>
      <c r="D49" s="7">
        <v>2010</v>
      </c>
      <c r="E49" s="212" t="s">
        <v>244</v>
      </c>
      <c r="F49" s="7">
        <v>1</v>
      </c>
      <c r="G49" s="7">
        <v>1</v>
      </c>
      <c r="H49" s="212" t="s">
        <v>56</v>
      </c>
      <c r="I49" s="212" t="s">
        <v>56</v>
      </c>
      <c r="J49" s="212" t="s">
        <v>321</v>
      </c>
      <c r="K49" s="7"/>
    </row>
    <row r="50" spans="2:11" customFormat="1">
      <c r="B50" s="111">
        <f t="shared" si="0"/>
        <v>41</v>
      </c>
      <c r="C50" s="132" t="s">
        <v>302</v>
      </c>
      <c r="D50" s="7">
        <v>2018</v>
      </c>
      <c r="E50" s="212" t="s">
        <v>244</v>
      </c>
      <c r="F50" s="7">
        <v>1</v>
      </c>
      <c r="G50" s="7">
        <v>1</v>
      </c>
      <c r="H50" s="212" t="s">
        <v>56</v>
      </c>
      <c r="I50" s="212" t="s">
        <v>56</v>
      </c>
      <c r="J50" s="212" t="s">
        <v>321</v>
      </c>
      <c r="K50" s="7"/>
    </row>
    <row r="51" spans="2:11" customFormat="1">
      <c r="B51" s="111">
        <f t="shared" si="0"/>
        <v>42</v>
      </c>
      <c r="C51" s="132" t="s">
        <v>288</v>
      </c>
      <c r="D51" s="7">
        <v>2010</v>
      </c>
      <c r="E51" s="212" t="s">
        <v>244</v>
      </c>
      <c r="F51" s="7">
        <v>1</v>
      </c>
      <c r="G51" s="7">
        <v>1</v>
      </c>
      <c r="H51" s="212" t="s">
        <v>56</v>
      </c>
      <c r="I51" s="212" t="s">
        <v>56</v>
      </c>
      <c r="J51" s="212" t="s">
        <v>321</v>
      </c>
      <c r="K51" s="7"/>
    </row>
    <row r="52" spans="2:11" customFormat="1">
      <c r="B52" s="111">
        <f t="shared" si="0"/>
        <v>43</v>
      </c>
      <c r="C52" s="132" t="s">
        <v>172</v>
      </c>
      <c r="D52" s="7">
        <v>2010</v>
      </c>
      <c r="E52" s="212" t="s">
        <v>244</v>
      </c>
      <c r="F52" s="7">
        <v>1</v>
      </c>
      <c r="G52" s="7">
        <v>1</v>
      </c>
      <c r="H52" s="212" t="s">
        <v>56</v>
      </c>
      <c r="I52" s="212" t="s">
        <v>56</v>
      </c>
      <c r="J52" s="212" t="s">
        <v>331</v>
      </c>
      <c r="K52" s="7"/>
    </row>
    <row r="53" spans="2:11" customFormat="1">
      <c r="B53" s="111">
        <f t="shared" si="0"/>
        <v>44</v>
      </c>
      <c r="C53" s="132" t="s">
        <v>333</v>
      </c>
      <c r="D53" s="7">
        <v>2022</v>
      </c>
      <c r="E53" s="212" t="s">
        <v>244</v>
      </c>
      <c r="F53" s="7">
        <v>1</v>
      </c>
      <c r="G53" s="7">
        <v>1</v>
      </c>
      <c r="H53" s="212" t="s">
        <v>56</v>
      </c>
      <c r="I53" s="212" t="s">
        <v>56</v>
      </c>
      <c r="J53" s="212" t="s">
        <v>331</v>
      </c>
      <c r="K53" s="7"/>
    </row>
    <row r="54" spans="2:11" customFormat="1">
      <c r="B54" s="111">
        <f t="shared" si="0"/>
        <v>45</v>
      </c>
      <c r="C54" s="132" t="s">
        <v>271</v>
      </c>
      <c r="D54" s="7">
        <v>2010</v>
      </c>
      <c r="E54" s="212" t="s">
        <v>244</v>
      </c>
      <c r="F54" s="7">
        <v>1</v>
      </c>
      <c r="G54" s="7">
        <v>1</v>
      </c>
      <c r="H54" s="212" t="s">
        <v>56</v>
      </c>
      <c r="I54" s="212" t="s">
        <v>56</v>
      </c>
      <c r="J54" s="212" t="s">
        <v>331</v>
      </c>
      <c r="K54" s="7"/>
    </row>
    <row r="55" spans="2:11" customFormat="1">
      <c r="B55" s="111">
        <f t="shared" si="0"/>
        <v>46</v>
      </c>
      <c r="C55" s="132" t="s">
        <v>248</v>
      </c>
      <c r="D55" s="7">
        <v>2010</v>
      </c>
      <c r="E55" s="212" t="s">
        <v>244</v>
      </c>
      <c r="F55" s="7">
        <v>3</v>
      </c>
      <c r="G55" s="7">
        <v>3</v>
      </c>
      <c r="H55" s="212" t="s">
        <v>56</v>
      </c>
      <c r="I55" s="212" t="s">
        <v>56</v>
      </c>
      <c r="J55" s="212" t="s">
        <v>331</v>
      </c>
      <c r="K55" s="7"/>
    </row>
    <row r="56" spans="2:11" customFormat="1">
      <c r="B56" s="111">
        <f t="shared" si="0"/>
        <v>47</v>
      </c>
      <c r="C56" s="132" t="s">
        <v>253</v>
      </c>
      <c r="D56" s="7">
        <v>2018</v>
      </c>
      <c r="E56" s="212" t="s">
        <v>244</v>
      </c>
      <c r="F56" s="7">
        <v>4</v>
      </c>
      <c r="G56" s="7">
        <v>4</v>
      </c>
      <c r="H56" s="212" t="s">
        <v>56</v>
      </c>
      <c r="I56" s="212" t="s">
        <v>56</v>
      </c>
      <c r="J56" s="212" t="s">
        <v>331</v>
      </c>
      <c r="K56" s="7"/>
    </row>
    <row r="57" spans="2:11" customFormat="1">
      <c r="B57" s="111">
        <f t="shared" si="0"/>
        <v>48</v>
      </c>
      <c r="C57" s="132" t="s">
        <v>315</v>
      </c>
      <c r="D57" s="7">
        <v>2010</v>
      </c>
      <c r="E57" s="212" t="s">
        <v>244</v>
      </c>
      <c r="F57" s="7">
        <v>2</v>
      </c>
      <c r="G57" s="7">
        <v>2</v>
      </c>
      <c r="H57" s="212" t="s">
        <v>56</v>
      </c>
      <c r="I57" s="212" t="s">
        <v>56</v>
      </c>
      <c r="J57" s="212" t="s">
        <v>331</v>
      </c>
      <c r="K57" s="7"/>
    </row>
    <row r="58" spans="2:11" customFormat="1">
      <c r="B58" s="111">
        <f t="shared" si="0"/>
        <v>49</v>
      </c>
      <c r="C58" s="132" t="s">
        <v>286</v>
      </c>
      <c r="D58" s="7">
        <v>2010</v>
      </c>
      <c r="E58" s="212" t="s">
        <v>251</v>
      </c>
      <c r="F58" s="7">
        <v>1</v>
      </c>
      <c r="G58" s="7">
        <v>1</v>
      </c>
      <c r="H58" s="212" t="s">
        <v>56</v>
      </c>
      <c r="I58" s="212" t="s">
        <v>56</v>
      </c>
      <c r="J58" s="212" t="s">
        <v>331</v>
      </c>
      <c r="K58" s="7"/>
    </row>
    <row r="59" spans="2:11" customFormat="1">
      <c r="B59" s="111">
        <f t="shared" si="0"/>
        <v>50</v>
      </c>
      <c r="C59" s="132" t="s">
        <v>341</v>
      </c>
      <c r="D59" s="7">
        <v>2010</v>
      </c>
      <c r="E59" s="212" t="s">
        <v>244</v>
      </c>
      <c r="F59" s="7">
        <v>1</v>
      </c>
      <c r="G59" s="7">
        <v>1</v>
      </c>
      <c r="H59" s="212" t="s">
        <v>56</v>
      </c>
      <c r="I59" s="212" t="s">
        <v>56</v>
      </c>
      <c r="J59" s="212" t="s">
        <v>331</v>
      </c>
      <c r="K59" s="7"/>
    </row>
    <row r="60" spans="2:11" customFormat="1">
      <c r="B60" s="111">
        <f t="shared" si="0"/>
        <v>51</v>
      </c>
      <c r="C60" s="132" t="s">
        <v>343</v>
      </c>
      <c r="D60" s="7">
        <v>2010</v>
      </c>
      <c r="E60" s="212" t="s">
        <v>244</v>
      </c>
      <c r="F60" s="7">
        <v>1</v>
      </c>
      <c r="G60" s="7">
        <v>1</v>
      </c>
      <c r="H60" s="212" t="s">
        <v>56</v>
      </c>
      <c r="I60" s="212" t="s">
        <v>56</v>
      </c>
      <c r="J60" s="212" t="s">
        <v>331</v>
      </c>
      <c r="K60" s="7"/>
    </row>
    <row r="61" spans="2:11" customFormat="1">
      <c r="B61" s="111">
        <f t="shared" si="0"/>
        <v>52</v>
      </c>
      <c r="C61" s="132" t="s">
        <v>262</v>
      </c>
      <c r="D61" s="7"/>
      <c r="E61" s="212" t="s">
        <v>244</v>
      </c>
      <c r="F61" s="7">
        <v>1</v>
      </c>
      <c r="G61" s="7">
        <v>1</v>
      </c>
      <c r="H61" s="212" t="s">
        <v>56</v>
      </c>
      <c r="I61" s="212" t="s">
        <v>56</v>
      </c>
      <c r="J61" s="212" t="s">
        <v>331</v>
      </c>
      <c r="K61" s="7"/>
    </row>
    <row r="62" spans="2:11" customFormat="1">
      <c r="B62" s="111">
        <f t="shared" si="0"/>
        <v>53</v>
      </c>
      <c r="C62" s="132" t="s">
        <v>346</v>
      </c>
      <c r="D62" s="7">
        <v>2010</v>
      </c>
      <c r="E62" s="212" t="s">
        <v>244</v>
      </c>
      <c r="F62" s="7">
        <v>1</v>
      </c>
      <c r="G62" s="7">
        <v>1</v>
      </c>
      <c r="H62" s="212" t="s">
        <v>56</v>
      </c>
      <c r="I62" s="212" t="s">
        <v>56</v>
      </c>
      <c r="J62" s="212" t="s">
        <v>331</v>
      </c>
      <c r="K62" s="7"/>
    </row>
    <row r="63" spans="2:11" customFormat="1">
      <c r="B63" s="111">
        <f t="shared" si="0"/>
        <v>54</v>
      </c>
      <c r="C63" s="132" t="s">
        <v>264</v>
      </c>
      <c r="D63" s="7">
        <v>2010</v>
      </c>
      <c r="E63" s="212" t="s">
        <v>244</v>
      </c>
      <c r="F63" s="7">
        <v>1</v>
      </c>
      <c r="G63" s="7">
        <v>1</v>
      </c>
      <c r="H63" s="212" t="s">
        <v>56</v>
      </c>
      <c r="I63" s="212" t="s">
        <v>56</v>
      </c>
      <c r="J63" s="212" t="s">
        <v>331</v>
      </c>
      <c r="K63" s="7"/>
    </row>
    <row r="64" spans="2:11" customFormat="1">
      <c r="B64" s="111">
        <f t="shared" si="0"/>
        <v>55</v>
      </c>
      <c r="C64" s="132" t="s">
        <v>349</v>
      </c>
      <c r="D64" s="7">
        <v>2022</v>
      </c>
      <c r="E64" s="212" t="s">
        <v>244</v>
      </c>
      <c r="F64" s="7">
        <v>1</v>
      </c>
      <c r="G64" s="7">
        <v>1</v>
      </c>
      <c r="H64" s="212" t="s">
        <v>56</v>
      </c>
      <c r="I64" s="212" t="s">
        <v>56</v>
      </c>
      <c r="J64" s="212" t="s">
        <v>350</v>
      </c>
      <c r="K64" s="7"/>
    </row>
    <row r="65" spans="2:11" customFormat="1">
      <c r="B65" s="111">
        <f t="shared" si="0"/>
        <v>56</v>
      </c>
      <c r="C65" s="132" t="s">
        <v>172</v>
      </c>
      <c r="D65" s="7">
        <v>2010</v>
      </c>
      <c r="E65" s="212" t="s">
        <v>244</v>
      </c>
      <c r="F65" s="7">
        <v>1</v>
      </c>
      <c r="G65" s="7">
        <v>1</v>
      </c>
      <c r="H65" s="212" t="s">
        <v>56</v>
      </c>
      <c r="I65" s="212" t="s">
        <v>56</v>
      </c>
      <c r="J65" s="212" t="s">
        <v>350</v>
      </c>
      <c r="K65" s="7"/>
    </row>
    <row r="66" spans="2:11" customFormat="1">
      <c r="B66" s="111">
        <f t="shared" si="0"/>
        <v>57</v>
      </c>
      <c r="C66" s="132" t="s">
        <v>353</v>
      </c>
      <c r="D66" s="7">
        <v>2010</v>
      </c>
      <c r="E66" s="212" t="s">
        <v>244</v>
      </c>
      <c r="F66" s="7">
        <v>1</v>
      </c>
      <c r="G66" s="7">
        <v>1</v>
      </c>
      <c r="H66" s="212" t="s">
        <v>56</v>
      </c>
      <c r="I66" s="212" t="s">
        <v>56</v>
      </c>
      <c r="J66" s="212" t="s">
        <v>350</v>
      </c>
      <c r="K66" s="7"/>
    </row>
    <row r="67" spans="2:11" customFormat="1">
      <c r="B67" s="111">
        <f t="shared" si="0"/>
        <v>58</v>
      </c>
      <c r="C67" s="132" t="s">
        <v>346</v>
      </c>
      <c r="D67" s="7">
        <v>2010</v>
      </c>
      <c r="E67" s="212" t="s">
        <v>244</v>
      </c>
      <c r="F67" s="7">
        <v>4</v>
      </c>
      <c r="G67" s="7">
        <v>4</v>
      </c>
      <c r="H67" s="212" t="s">
        <v>56</v>
      </c>
      <c r="I67" s="212" t="s">
        <v>56</v>
      </c>
      <c r="J67" s="212" t="s">
        <v>350</v>
      </c>
      <c r="K67" s="7"/>
    </row>
    <row r="68" spans="2:11" customFormat="1">
      <c r="B68" s="111">
        <f t="shared" si="0"/>
        <v>59</v>
      </c>
      <c r="C68" s="132" t="s">
        <v>256</v>
      </c>
      <c r="D68" s="7">
        <v>2010</v>
      </c>
      <c r="E68" s="212" t="s">
        <v>244</v>
      </c>
      <c r="F68" s="7">
        <v>3</v>
      </c>
      <c r="G68" s="7">
        <v>3</v>
      </c>
      <c r="H68" s="212" t="s">
        <v>56</v>
      </c>
      <c r="I68" s="212" t="s">
        <v>56</v>
      </c>
      <c r="J68" s="212" t="s">
        <v>350</v>
      </c>
      <c r="K68" s="7"/>
    </row>
    <row r="69" spans="2:11" customFormat="1">
      <c r="B69" s="111">
        <f t="shared" si="0"/>
        <v>60</v>
      </c>
      <c r="C69" s="132" t="s">
        <v>358</v>
      </c>
      <c r="D69" s="7">
        <v>2010</v>
      </c>
      <c r="E69" s="212" t="s">
        <v>244</v>
      </c>
      <c r="F69" s="7">
        <v>2</v>
      </c>
      <c r="G69" s="7">
        <v>2</v>
      </c>
      <c r="H69" s="212" t="s">
        <v>56</v>
      </c>
      <c r="I69" s="212" t="s">
        <v>56</v>
      </c>
      <c r="J69" s="212" t="s">
        <v>350</v>
      </c>
      <c r="K69" s="7"/>
    </row>
    <row r="70" spans="2:11" customFormat="1">
      <c r="B70" s="111">
        <f t="shared" si="0"/>
        <v>61</v>
      </c>
      <c r="C70" s="132" t="s">
        <v>360</v>
      </c>
      <c r="D70" s="7">
        <v>2010</v>
      </c>
      <c r="E70" s="212" t="s">
        <v>244</v>
      </c>
      <c r="F70" s="7">
        <v>1</v>
      </c>
      <c r="G70" s="7">
        <v>1</v>
      </c>
      <c r="H70" s="212" t="s">
        <v>56</v>
      </c>
      <c r="I70" s="212" t="s">
        <v>56</v>
      </c>
      <c r="J70" s="212" t="s">
        <v>350</v>
      </c>
      <c r="K70" s="7"/>
    </row>
    <row r="71" spans="2:11" customFormat="1">
      <c r="B71" s="111">
        <f t="shared" si="0"/>
        <v>62</v>
      </c>
      <c r="C71" s="132" t="s">
        <v>264</v>
      </c>
      <c r="D71" s="7">
        <v>2010</v>
      </c>
      <c r="E71" s="212" t="s">
        <v>244</v>
      </c>
      <c r="F71" s="7">
        <v>1</v>
      </c>
      <c r="G71" s="7">
        <v>1</v>
      </c>
      <c r="H71" s="212" t="s">
        <v>56</v>
      </c>
      <c r="I71" s="212" t="s">
        <v>56</v>
      </c>
      <c r="J71" s="212" t="s">
        <v>350</v>
      </c>
      <c r="K71" s="7"/>
    </row>
    <row r="72" spans="2:11" customFormat="1">
      <c r="B72" s="111">
        <f t="shared" si="0"/>
        <v>63</v>
      </c>
      <c r="C72" s="132" t="s">
        <v>172</v>
      </c>
      <c r="D72" s="7">
        <v>2010</v>
      </c>
      <c r="E72" s="212" t="s">
        <v>244</v>
      </c>
      <c r="F72" s="7">
        <v>2</v>
      </c>
      <c r="G72" s="7">
        <v>2</v>
      </c>
      <c r="H72" s="212" t="s">
        <v>56</v>
      </c>
      <c r="I72" s="212" t="s">
        <v>56</v>
      </c>
      <c r="J72" s="212" t="s">
        <v>363</v>
      </c>
      <c r="K72" s="7"/>
    </row>
    <row r="73" spans="2:11" customFormat="1">
      <c r="B73" s="111">
        <f t="shared" si="0"/>
        <v>64</v>
      </c>
      <c r="C73" s="132" t="s">
        <v>349</v>
      </c>
      <c r="D73" s="7">
        <v>2010</v>
      </c>
      <c r="E73" s="212" t="s">
        <v>244</v>
      </c>
      <c r="F73" s="7">
        <v>1</v>
      </c>
      <c r="G73" s="7">
        <v>1</v>
      </c>
      <c r="H73" s="212" t="s">
        <v>56</v>
      </c>
      <c r="I73" s="212" t="s">
        <v>56</v>
      </c>
      <c r="J73" s="212" t="s">
        <v>363</v>
      </c>
      <c r="K73" s="7"/>
    </row>
    <row r="74" spans="2:11" customFormat="1">
      <c r="B74" s="111">
        <f t="shared" si="0"/>
        <v>65</v>
      </c>
      <c r="C74" s="132" t="s">
        <v>366</v>
      </c>
      <c r="D74" s="7">
        <v>2023</v>
      </c>
      <c r="E74" s="212" t="s">
        <v>244</v>
      </c>
      <c r="F74" s="7">
        <v>1</v>
      </c>
      <c r="G74" s="7">
        <v>1</v>
      </c>
      <c r="H74" s="212" t="s">
        <v>56</v>
      </c>
      <c r="I74" s="212" t="s">
        <v>56</v>
      </c>
      <c r="J74" s="212" t="s">
        <v>363</v>
      </c>
      <c r="K74" s="7"/>
    </row>
    <row r="75" spans="2:11" customFormat="1">
      <c r="B75" s="111">
        <f t="shared" si="0"/>
        <v>66</v>
      </c>
      <c r="C75" s="132" t="s">
        <v>264</v>
      </c>
      <c r="D75" s="7">
        <v>2010</v>
      </c>
      <c r="E75" s="212" t="s">
        <v>244</v>
      </c>
      <c r="F75" s="7">
        <v>1</v>
      </c>
      <c r="G75" s="7">
        <v>1</v>
      </c>
      <c r="H75" s="212" t="s">
        <v>56</v>
      </c>
      <c r="I75" s="212" t="s">
        <v>56</v>
      </c>
      <c r="J75" s="212" t="s">
        <v>363</v>
      </c>
      <c r="K75" s="7"/>
    </row>
    <row r="76" spans="2:11" customFormat="1">
      <c r="B76" s="111">
        <f t="shared" ref="B76:B134" si="1">B75+1</f>
        <v>67</v>
      </c>
      <c r="C76" s="132" t="s">
        <v>277</v>
      </c>
      <c r="D76" s="7">
        <v>2010</v>
      </c>
      <c r="E76" s="212" t="s">
        <v>244</v>
      </c>
      <c r="F76" s="7">
        <v>3</v>
      </c>
      <c r="G76" s="7">
        <v>3</v>
      </c>
      <c r="H76" s="212" t="s">
        <v>56</v>
      </c>
      <c r="I76" s="212" t="s">
        <v>56</v>
      </c>
      <c r="J76" s="212" t="s">
        <v>363</v>
      </c>
      <c r="K76" s="7"/>
    </row>
    <row r="77" spans="2:11" customFormat="1">
      <c r="B77" s="111">
        <f t="shared" si="1"/>
        <v>68</v>
      </c>
      <c r="C77" s="132" t="s">
        <v>371</v>
      </c>
      <c r="D77" s="7">
        <v>2010</v>
      </c>
      <c r="E77" s="212" t="s">
        <v>244</v>
      </c>
      <c r="F77" s="7">
        <v>4</v>
      </c>
      <c r="G77" s="7">
        <v>4</v>
      </c>
      <c r="H77" s="212" t="s">
        <v>56</v>
      </c>
      <c r="I77" s="212" t="s">
        <v>56</v>
      </c>
      <c r="J77" s="212" t="s">
        <v>363</v>
      </c>
      <c r="K77" s="7"/>
    </row>
    <row r="78" spans="2:11" customFormat="1">
      <c r="B78" s="111">
        <f t="shared" si="1"/>
        <v>69</v>
      </c>
      <c r="C78" s="132" t="s">
        <v>373</v>
      </c>
      <c r="D78" s="7">
        <v>2010</v>
      </c>
      <c r="E78" s="212" t="s">
        <v>244</v>
      </c>
      <c r="F78" s="7">
        <v>1</v>
      </c>
      <c r="G78" s="7">
        <v>1</v>
      </c>
      <c r="H78" s="212" t="s">
        <v>56</v>
      </c>
      <c r="I78" s="212" t="s">
        <v>56</v>
      </c>
      <c r="J78" s="212" t="s">
        <v>363</v>
      </c>
      <c r="K78" s="7"/>
    </row>
    <row r="79" spans="2:11" customFormat="1">
      <c r="B79" s="111">
        <f t="shared" si="1"/>
        <v>70</v>
      </c>
      <c r="C79" s="132" t="s">
        <v>353</v>
      </c>
      <c r="D79" s="7">
        <v>2010</v>
      </c>
      <c r="E79" s="212" t="s">
        <v>244</v>
      </c>
      <c r="F79" s="7">
        <v>10</v>
      </c>
      <c r="G79" s="7">
        <v>10</v>
      </c>
      <c r="H79" s="212" t="s">
        <v>56</v>
      </c>
      <c r="I79" s="212" t="s">
        <v>56</v>
      </c>
      <c r="J79" s="212" t="s">
        <v>363</v>
      </c>
      <c r="K79" s="7"/>
    </row>
    <row r="80" spans="2:11" customFormat="1">
      <c r="B80" s="111">
        <f t="shared" si="1"/>
        <v>71</v>
      </c>
      <c r="C80" s="132" t="s">
        <v>315</v>
      </c>
      <c r="D80" s="7">
        <v>2010</v>
      </c>
      <c r="E80" s="212" t="s">
        <v>244</v>
      </c>
      <c r="F80" s="7">
        <v>5</v>
      </c>
      <c r="G80" s="7">
        <v>5</v>
      </c>
      <c r="H80" s="212" t="s">
        <v>56</v>
      </c>
      <c r="I80" s="212" t="s">
        <v>56</v>
      </c>
      <c r="J80" s="212" t="s">
        <v>363</v>
      </c>
      <c r="K80" s="7"/>
    </row>
    <row r="81" spans="2:11" customFormat="1">
      <c r="B81" s="111">
        <f t="shared" si="1"/>
        <v>72</v>
      </c>
      <c r="C81" s="132" t="s">
        <v>311</v>
      </c>
      <c r="D81" s="7">
        <v>2010</v>
      </c>
      <c r="E81" s="212" t="s">
        <v>244</v>
      </c>
      <c r="F81" s="7">
        <v>1</v>
      </c>
      <c r="G81" s="7">
        <v>1</v>
      </c>
      <c r="H81" s="212" t="s">
        <v>56</v>
      </c>
      <c r="I81" s="212" t="s">
        <v>56</v>
      </c>
      <c r="J81" s="212" t="s">
        <v>363</v>
      </c>
      <c r="K81" s="7"/>
    </row>
    <row r="82" spans="2:11" customFormat="1">
      <c r="B82" s="111">
        <f t="shared" si="1"/>
        <v>73</v>
      </c>
      <c r="C82" s="132" t="s">
        <v>360</v>
      </c>
      <c r="D82" s="7">
        <v>2010</v>
      </c>
      <c r="E82" s="212" t="s">
        <v>244</v>
      </c>
      <c r="F82" s="7">
        <v>2</v>
      </c>
      <c r="G82" s="7">
        <v>2</v>
      </c>
      <c r="H82" s="212" t="s">
        <v>56</v>
      </c>
      <c r="I82" s="212" t="s">
        <v>56</v>
      </c>
      <c r="J82" s="212" t="s">
        <v>363</v>
      </c>
      <c r="K82" s="7"/>
    </row>
    <row r="83" spans="2:11" customFormat="1">
      <c r="B83" s="111">
        <f t="shared" si="1"/>
        <v>74</v>
      </c>
      <c r="C83" s="132" t="s">
        <v>172</v>
      </c>
      <c r="D83" s="7">
        <v>2010</v>
      </c>
      <c r="E83" s="212" t="s">
        <v>244</v>
      </c>
      <c r="F83" s="7">
        <v>1</v>
      </c>
      <c r="G83" s="7">
        <v>1</v>
      </c>
      <c r="H83" s="212" t="s">
        <v>56</v>
      </c>
      <c r="I83" s="212" t="s">
        <v>56</v>
      </c>
      <c r="J83" s="212" t="s">
        <v>381</v>
      </c>
      <c r="K83" s="7"/>
    </row>
    <row r="84" spans="2:11" customFormat="1">
      <c r="B84" s="111">
        <f t="shared" si="1"/>
        <v>75</v>
      </c>
      <c r="C84" s="132" t="s">
        <v>373</v>
      </c>
      <c r="D84" s="7">
        <v>2010</v>
      </c>
      <c r="E84" s="212" t="s">
        <v>244</v>
      </c>
      <c r="F84" s="7">
        <v>1</v>
      </c>
      <c r="G84" s="7">
        <v>1</v>
      </c>
      <c r="H84" s="212" t="s">
        <v>56</v>
      </c>
      <c r="I84" s="212" t="s">
        <v>56</v>
      </c>
      <c r="J84" s="212" t="s">
        <v>381</v>
      </c>
      <c r="K84" s="7"/>
    </row>
    <row r="85" spans="2:11" customFormat="1">
      <c r="B85" s="8">
        <f t="shared" si="1"/>
        <v>76</v>
      </c>
      <c r="C85" s="132" t="s">
        <v>371</v>
      </c>
      <c r="D85" s="7">
        <v>2010</v>
      </c>
      <c r="E85" s="212" t="s">
        <v>244</v>
      </c>
      <c r="F85" s="7">
        <v>1</v>
      </c>
      <c r="G85" s="7">
        <v>1</v>
      </c>
      <c r="H85" s="212" t="s">
        <v>56</v>
      </c>
      <c r="I85" s="212" t="s">
        <v>56</v>
      </c>
      <c r="J85" s="212" t="s">
        <v>384</v>
      </c>
      <c r="K85" s="7"/>
    </row>
    <row r="86" spans="2:11" customFormat="1">
      <c r="B86" s="8">
        <f t="shared" si="1"/>
        <v>77</v>
      </c>
      <c r="C86" s="132" t="s">
        <v>172</v>
      </c>
      <c r="D86" s="7">
        <v>2010</v>
      </c>
      <c r="E86" s="212" t="s">
        <v>244</v>
      </c>
      <c r="F86" s="7">
        <v>1</v>
      </c>
      <c r="G86" s="7">
        <v>1</v>
      </c>
      <c r="H86" s="212" t="s">
        <v>56</v>
      </c>
      <c r="I86" s="212" t="s">
        <v>56</v>
      </c>
      <c r="J86" s="212" t="s">
        <v>386</v>
      </c>
      <c r="K86" s="7"/>
    </row>
    <row r="87" spans="2:11" customFormat="1">
      <c r="B87" s="8">
        <f t="shared" si="1"/>
        <v>78</v>
      </c>
      <c r="C87" s="132" t="s">
        <v>277</v>
      </c>
      <c r="D87" s="7">
        <v>2010</v>
      </c>
      <c r="E87" s="212" t="s">
        <v>244</v>
      </c>
      <c r="F87" s="7">
        <v>1</v>
      </c>
      <c r="G87" s="7">
        <v>1</v>
      </c>
      <c r="H87" s="212" t="s">
        <v>56</v>
      </c>
      <c r="I87" s="212" t="s">
        <v>56</v>
      </c>
      <c r="J87" s="212" t="s">
        <v>386</v>
      </c>
      <c r="K87" s="7"/>
    </row>
    <row r="88" spans="2:11" customFormat="1">
      <c r="B88" s="8">
        <f t="shared" si="1"/>
        <v>79</v>
      </c>
      <c r="C88" s="132" t="s">
        <v>371</v>
      </c>
      <c r="D88" s="7">
        <v>2010</v>
      </c>
      <c r="E88" s="212" t="s">
        <v>244</v>
      </c>
      <c r="F88" s="7">
        <v>2</v>
      </c>
      <c r="G88" s="7">
        <v>2</v>
      </c>
      <c r="H88" s="212" t="s">
        <v>56</v>
      </c>
      <c r="I88" s="212" t="s">
        <v>56</v>
      </c>
      <c r="J88" s="212" t="s">
        <v>386</v>
      </c>
      <c r="K88" s="7"/>
    </row>
    <row r="89" spans="2:11" customFormat="1">
      <c r="B89" s="8">
        <f t="shared" si="1"/>
        <v>80</v>
      </c>
      <c r="C89" s="132" t="s">
        <v>373</v>
      </c>
      <c r="D89" s="7">
        <v>2010</v>
      </c>
      <c r="E89" s="212" t="s">
        <v>244</v>
      </c>
      <c r="F89" s="7">
        <v>1</v>
      </c>
      <c r="G89" s="7">
        <v>1</v>
      </c>
      <c r="H89" s="212" t="s">
        <v>56</v>
      </c>
      <c r="I89" s="212" t="s">
        <v>56</v>
      </c>
      <c r="J89" s="212" t="s">
        <v>386</v>
      </c>
      <c r="K89" s="7"/>
    </row>
    <row r="90" spans="2:11" customFormat="1">
      <c r="B90" s="8">
        <f t="shared" si="1"/>
        <v>81</v>
      </c>
      <c r="C90" s="132" t="s">
        <v>391</v>
      </c>
      <c r="D90" s="7">
        <v>2010</v>
      </c>
      <c r="E90" s="212" t="s">
        <v>244</v>
      </c>
      <c r="F90" s="7">
        <v>1</v>
      </c>
      <c r="G90" s="7">
        <v>1</v>
      </c>
      <c r="H90" s="212" t="s">
        <v>56</v>
      </c>
      <c r="I90" s="212" t="s">
        <v>56</v>
      </c>
      <c r="J90" s="212" t="s">
        <v>386</v>
      </c>
      <c r="K90" s="7"/>
    </row>
    <row r="91" spans="2:11" customFormat="1">
      <c r="B91" s="8">
        <f t="shared" si="1"/>
        <v>82</v>
      </c>
      <c r="C91" s="132" t="s">
        <v>393</v>
      </c>
      <c r="D91" s="7">
        <v>2011</v>
      </c>
      <c r="E91" s="212" t="s">
        <v>244</v>
      </c>
      <c r="F91" s="7">
        <v>1</v>
      </c>
      <c r="G91" s="7">
        <v>1</v>
      </c>
      <c r="H91" s="212" t="s">
        <v>56</v>
      </c>
      <c r="I91" s="212" t="s">
        <v>56</v>
      </c>
      <c r="J91" s="212" t="s">
        <v>386</v>
      </c>
      <c r="K91" s="7"/>
    </row>
    <row r="92" spans="2:11" customFormat="1">
      <c r="B92" s="8">
        <f t="shared" si="1"/>
        <v>83</v>
      </c>
      <c r="C92" s="132" t="s">
        <v>395</v>
      </c>
      <c r="D92" s="7">
        <v>2011</v>
      </c>
      <c r="E92" s="212" t="s">
        <v>244</v>
      </c>
      <c r="F92" s="7">
        <v>2</v>
      </c>
      <c r="G92" s="7">
        <v>2</v>
      </c>
      <c r="H92" s="212" t="s">
        <v>56</v>
      </c>
      <c r="I92" s="212" t="s">
        <v>56</v>
      </c>
      <c r="J92" s="212" t="s">
        <v>386</v>
      </c>
      <c r="K92" s="7"/>
    </row>
    <row r="93" spans="2:11" customFormat="1">
      <c r="B93" s="8">
        <f t="shared" si="1"/>
        <v>84</v>
      </c>
      <c r="C93" s="132" t="s">
        <v>172</v>
      </c>
      <c r="D93" s="7">
        <v>2010</v>
      </c>
      <c r="E93" s="212" t="s">
        <v>244</v>
      </c>
      <c r="F93" s="7">
        <v>1</v>
      </c>
      <c r="G93" s="7">
        <v>1</v>
      </c>
      <c r="H93" s="212" t="s">
        <v>56</v>
      </c>
      <c r="I93" s="212" t="s">
        <v>56</v>
      </c>
      <c r="J93" s="212" t="s">
        <v>397</v>
      </c>
      <c r="K93" s="7"/>
    </row>
    <row r="94" spans="2:11" customFormat="1">
      <c r="B94" s="8">
        <f t="shared" si="1"/>
        <v>85</v>
      </c>
      <c r="C94" s="132" t="s">
        <v>269</v>
      </c>
      <c r="D94" s="7"/>
      <c r="E94" s="212" t="s">
        <v>244</v>
      </c>
      <c r="F94" s="7">
        <v>6</v>
      </c>
      <c r="G94" s="7">
        <v>1</v>
      </c>
      <c r="H94" s="7">
        <v>5</v>
      </c>
      <c r="I94" s="212" t="s">
        <v>56</v>
      </c>
      <c r="J94" s="212" t="s">
        <v>397</v>
      </c>
      <c r="K94" s="7"/>
    </row>
    <row r="95" spans="2:11" customFormat="1">
      <c r="B95" s="8">
        <f t="shared" si="1"/>
        <v>86</v>
      </c>
      <c r="C95" s="132" t="s">
        <v>273</v>
      </c>
      <c r="D95" s="7"/>
      <c r="E95" s="212" t="s">
        <v>244</v>
      </c>
      <c r="F95" s="7">
        <v>6</v>
      </c>
      <c r="G95" s="7">
        <v>1</v>
      </c>
      <c r="H95" s="7">
        <v>5</v>
      </c>
      <c r="I95" s="212" t="s">
        <v>56</v>
      </c>
      <c r="J95" s="212" t="s">
        <v>397</v>
      </c>
      <c r="K95" s="7"/>
    </row>
    <row r="96" spans="2:11" customFormat="1">
      <c r="B96" s="8">
        <f t="shared" si="1"/>
        <v>87</v>
      </c>
      <c r="C96" s="132" t="s">
        <v>402</v>
      </c>
      <c r="D96" s="7">
        <v>2011</v>
      </c>
      <c r="E96" s="212" t="s">
        <v>244</v>
      </c>
      <c r="F96" s="7">
        <v>1</v>
      </c>
      <c r="G96" s="7">
        <v>1</v>
      </c>
      <c r="H96" s="7">
        <v>1</v>
      </c>
      <c r="I96" s="212" t="s">
        <v>56</v>
      </c>
      <c r="J96" s="212" t="s">
        <v>397</v>
      </c>
      <c r="K96" s="7"/>
    </row>
    <row r="97" spans="2:11" customFormat="1">
      <c r="B97" s="8">
        <f t="shared" si="1"/>
        <v>88</v>
      </c>
      <c r="C97" s="132" t="s">
        <v>404</v>
      </c>
      <c r="D97" s="7">
        <v>2011</v>
      </c>
      <c r="E97" s="212" t="s">
        <v>244</v>
      </c>
      <c r="F97" s="7">
        <v>2</v>
      </c>
      <c r="G97" s="7">
        <v>2</v>
      </c>
      <c r="H97" s="212" t="s">
        <v>56</v>
      </c>
      <c r="I97" s="212" t="s">
        <v>56</v>
      </c>
      <c r="J97" s="212" t="s">
        <v>397</v>
      </c>
      <c r="K97" s="7"/>
    </row>
    <row r="98" spans="2:11" customFormat="1">
      <c r="B98" s="8">
        <f t="shared" si="1"/>
        <v>89</v>
      </c>
      <c r="C98" s="132" t="s">
        <v>407</v>
      </c>
      <c r="D98" s="7">
        <v>2022</v>
      </c>
      <c r="E98" s="212" t="s">
        <v>244</v>
      </c>
      <c r="F98" s="7">
        <v>1</v>
      </c>
      <c r="G98" s="7">
        <v>1</v>
      </c>
      <c r="H98" s="7">
        <v>1</v>
      </c>
      <c r="I98" s="212" t="s">
        <v>56</v>
      </c>
      <c r="J98" s="212" t="s">
        <v>397</v>
      </c>
      <c r="K98" s="7"/>
    </row>
    <row r="99" spans="2:11" customFormat="1">
      <c r="B99" s="8">
        <f t="shared" si="1"/>
        <v>90</v>
      </c>
      <c r="C99" s="132" t="s">
        <v>410</v>
      </c>
      <c r="D99" s="7">
        <v>2011</v>
      </c>
      <c r="E99" s="212" t="s">
        <v>244</v>
      </c>
      <c r="F99" s="7">
        <v>4</v>
      </c>
      <c r="G99" s="7">
        <v>4</v>
      </c>
      <c r="H99" s="212" t="s">
        <v>56</v>
      </c>
      <c r="I99" s="212" t="s">
        <v>56</v>
      </c>
      <c r="J99" s="212" t="s">
        <v>397</v>
      </c>
      <c r="K99" s="7"/>
    </row>
    <row r="100" spans="2:11" customFormat="1">
      <c r="B100" s="8">
        <f t="shared" si="1"/>
        <v>91</v>
      </c>
      <c r="C100" s="132" t="s">
        <v>277</v>
      </c>
      <c r="D100" s="7">
        <v>2010</v>
      </c>
      <c r="E100" s="212" t="s">
        <v>244</v>
      </c>
      <c r="F100" s="7">
        <v>2</v>
      </c>
      <c r="G100" s="7">
        <v>2</v>
      </c>
      <c r="H100" s="212" t="s">
        <v>56</v>
      </c>
      <c r="I100" s="212" t="s">
        <v>56</v>
      </c>
      <c r="J100" s="212" t="s">
        <v>397</v>
      </c>
      <c r="K100" s="7"/>
    </row>
    <row r="101" spans="2:11" customFormat="1">
      <c r="B101" s="8">
        <f t="shared" si="1"/>
        <v>92</v>
      </c>
      <c r="C101" s="132" t="s">
        <v>371</v>
      </c>
      <c r="D101" s="7">
        <v>2010</v>
      </c>
      <c r="E101" s="212" t="s">
        <v>244</v>
      </c>
      <c r="F101" s="7">
        <v>1</v>
      </c>
      <c r="G101" s="7">
        <v>1</v>
      </c>
      <c r="H101" s="212" t="s">
        <v>56</v>
      </c>
      <c r="I101" s="212" t="s">
        <v>56</v>
      </c>
      <c r="J101" s="212" t="s">
        <v>397</v>
      </c>
      <c r="K101" s="7"/>
    </row>
    <row r="102" spans="2:11" customFormat="1">
      <c r="B102" s="8">
        <f t="shared" si="1"/>
        <v>93</v>
      </c>
      <c r="C102" s="132" t="s">
        <v>353</v>
      </c>
      <c r="D102" s="7">
        <v>2010</v>
      </c>
      <c r="E102" s="212" t="s">
        <v>244</v>
      </c>
      <c r="F102" s="7">
        <v>1</v>
      </c>
      <c r="G102" s="7">
        <v>1</v>
      </c>
      <c r="H102" s="212" t="s">
        <v>56</v>
      </c>
      <c r="I102" s="212" t="s">
        <v>56</v>
      </c>
      <c r="J102" s="212" t="s">
        <v>397</v>
      </c>
      <c r="K102" s="7"/>
    </row>
    <row r="103" spans="2:11" customFormat="1">
      <c r="B103" s="8">
        <f t="shared" si="1"/>
        <v>94</v>
      </c>
      <c r="C103" s="132" t="s">
        <v>315</v>
      </c>
      <c r="D103" s="7">
        <v>2010</v>
      </c>
      <c r="E103" s="212" t="s">
        <v>244</v>
      </c>
      <c r="F103" s="7">
        <v>1</v>
      </c>
      <c r="G103" s="7">
        <v>1</v>
      </c>
      <c r="H103" s="212" t="s">
        <v>56</v>
      </c>
      <c r="I103" s="212" t="s">
        <v>56</v>
      </c>
      <c r="J103" s="212" t="s">
        <v>397</v>
      </c>
      <c r="K103" s="7"/>
    </row>
    <row r="104" spans="2:11" customFormat="1">
      <c r="B104" s="8">
        <f t="shared" si="1"/>
        <v>95</v>
      </c>
      <c r="C104" s="132" t="s">
        <v>311</v>
      </c>
      <c r="D104" s="7">
        <v>2010</v>
      </c>
      <c r="E104" s="212" t="s">
        <v>244</v>
      </c>
      <c r="F104" s="7">
        <v>1</v>
      </c>
      <c r="G104" s="7">
        <v>1</v>
      </c>
      <c r="H104" s="212" t="s">
        <v>56</v>
      </c>
      <c r="I104" s="212" t="s">
        <v>56</v>
      </c>
      <c r="J104" s="212" t="s">
        <v>397</v>
      </c>
      <c r="K104" s="7"/>
    </row>
    <row r="105" spans="2:11" customFormat="1">
      <c r="B105" s="8">
        <f t="shared" si="1"/>
        <v>96</v>
      </c>
      <c r="C105" s="132" t="s">
        <v>260</v>
      </c>
      <c r="D105" s="7">
        <v>2024</v>
      </c>
      <c r="E105" s="212" t="s">
        <v>244</v>
      </c>
      <c r="F105" s="7">
        <v>3</v>
      </c>
      <c r="G105" s="7">
        <v>3</v>
      </c>
      <c r="H105" s="212" t="s">
        <v>56</v>
      </c>
      <c r="I105" s="212" t="s">
        <v>56</v>
      </c>
      <c r="J105" s="212" t="s">
        <v>397</v>
      </c>
      <c r="K105" s="7"/>
    </row>
    <row r="106" spans="2:11" customFormat="1">
      <c r="B106" s="8">
        <f t="shared" si="1"/>
        <v>97</v>
      </c>
      <c r="C106" s="132" t="s">
        <v>373</v>
      </c>
      <c r="D106" s="7">
        <v>2010</v>
      </c>
      <c r="E106" s="212" t="s">
        <v>244</v>
      </c>
      <c r="F106" s="7">
        <v>1</v>
      </c>
      <c r="G106" s="7">
        <v>1</v>
      </c>
      <c r="H106" s="212" t="s">
        <v>56</v>
      </c>
      <c r="I106" s="212" t="s">
        <v>56</v>
      </c>
      <c r="J106" s="212" t="s">
        <v>420</v>
      </c>
      <c r="K106" s="7"/>
    </row>
    <row r="107" spans="2:11" customFormat="1">
      <c r="B107" s="8">
        <f t="shared" si="1"/>
        <v>98</v>
      </c>
      <c r="C107" s="132" t="s">
        <v>277</v>
      </c>
      <c r="D107" s="7">
        <v>2010</v>
      </c>
      <c r="E107" s="212" t="s">
        <v>244</v>
      </c>
      <c r="F107" s="7">
        <v>1</v>
      </c>
      <c r="G107" s="7">
        <v>1</v>
      </c>
      <c r="H107" s="212" t="s">
        <v>56</v>
      </c>
      <c r="I107" s="212" t="s">
        <v>56</v>
      </c>
      <c r="J107" s="212" t="s">
        <v>420</v>
      </c>
      <c r="K107" s="7"/>
    </row>
    <row r="108" spans="2:11" customFormat="1">
      <c r="B108" s="8">
        <f t="shared" si="1"/>
        <v>99</v>
      </c>
      <c r="C108" s="132" t="s">
        <v>253</v>
      </c>
      <c r="D108" s="7">
        <v>2018</v>
      </c>
      <c r="E108" s="212" t="s">
        <v>244</v>
      </c>
      <c r="F108" s="7">
        <v>2</v>
      </c>
      <c r="G108" s="7">
        <v>2</v>
      </c>
      <c r="H108" s="212" t="s">
        <v>56</v>
      </c>
      <c r="I108" s="212" t="s">
        <v>56</v>
      </c>
      <c r="J108" s="212" t="s">
        <v>420</v>
      </c>
      <c r="K108" s="7"/>
    </row>
    <row r="109" spans="2:11" customFormat="1">
      <c r="B109" s="8">
        <f t="shared" si="1"/>
        <v>100</v>
      </c>
      <c r="C109" s="132" t="s">
        <v>353</v>
      </c>
      <c r="D109" s="7">
        <v>2010</v>
      </c>
      <c r="E109" s="212" t="s">
        <v>244</v>
      </c>
      <c r="F109" s="7">
        <v>1</v>
      </c>
      <c r="G109" s="7">
        <v>1</v>
      </c>
      <c r="H109" s="212" t="s">
        <v>56</v>
      </c>
      <c r="I109" s="212" t="s">
        <v>56</v>
      </c>
      <c r="J109" s="212" t="s">
        <v>420</v>
      </c>
      <c r="K109" s="7"/>
    </row>
    <row r="110" spans="2:11" customFormat="1">
      <c r="B110" s="8">
        <f t="shared" si="1"/>
        <v>101</v>
      </c>
      <c r="C110" s="132" t="s">
        <v>172</v>
      </c>
      <c r="D110" s="7">
        <v>2010</v>
      </c>
      <c r="E110" s="212" t="s">
        <v>244</v>
      </c>
      <c r="F110" s="7">
        <v>1</v>
      </c>
      <c r="G110" s="7">
        <v>1</v>
      </c>
      <c r="H110" s="212" t="s">
        <v>56</v>
      </c>
      <c r="I110" s="212" t="s">
        <v>56</v>
      </c>
      <c r="J110" s="212" t="s">
        <v>420</v>
      </c>
      <c r="K110" s="7"/>
    </row>
    <row r="111" spans="2:11" customFormat="1">
      <c r="B111" s="8">
        <f t="shared" si="1"/>
        <v>102</v>
      </c>
      <c r="C111" s="132" t="s">
        <v>172</v>
      </c>
      <c r="D111" s="7">
        <v>2010</v>
      </c>
      <c r="E111" s="212" t="s">
        <v>244</v>
      </c>
      <c r="F111" s="7">
        <v>1</v>
      </c>
      <c r="G111" s="7">
        <v>1</v>
      </c>
      <c r="H111" s="212" t="s">
        <v>56</v>
      </c>
      <c r="I111" s="212" t="s">
        <v>56</v>
      </c>
      <c r="J111" s="212" t="s">
        <v>384</v>
      </c>
      <c r="K111" s="7"/>
    </row>
    <row r="112" spans="2:11" customFormat="1">
      <c r="B112" s="8">
        <f t="shared" si="1"/>
        <v>103</v>
      </c>
      <c r="C112" s="132" t="s">
        <v>302</v>
      </c>
      <c r="D112" s="7">
        <v>2018</v>
      </c>
      <c r="E112" s="212" t="s">
        <v>244</v>
      </c>
      <c r="F112" s="7">
        <v>1</v>
      </c>
      <c r="G112" s="7">
        <v>1</v>
      </c>
      <c r="H112" s="212" t="s">
        <v>56</v>
      </c>
      <c r="I112" s="212" t="s">
        <v>56</v>
      </c>
      <c r="J112" s="212" t="s">
        <v>245</v>
      </c>
      <c r="K112" s="7"/>
    </row>
    <row r="113" spans="2:11" customFormat="1">
      <c r="B113" s="8">
        <f t="shared" si="1"/>
        <v>104</v>
      </c>
      <c r="C113" s="132" t="s">
        <v>253</v>
      </c>
      <c r="D113" s="7">
        <v>2018</v>
      </c>
      <c r="E113" s="212" t="s">
        <v>244</v>
      </c>
      <c r="F113" s="7">
        <v>2</v>
      </c>
      <c r="G113" s="7">
        <v>2</v>
      </c>
      <c r="H113" s="212" t="s">
        <v>56</v>
      </c>
      <c r="I113" s="212" t="s">
        <v>56</v>
      </c>
      <c r="J113" s="212" t="s">
        <v>420</v>
      </c>
      <c r="K113" s="7"/>
    </row>
    <row r="114" spans="2:11" customFormat="1">
      <c r="B114" s="8">
        <f t="shared" si="1"/>
        <v>105</v>
      </c>
      <c r="C114" s="132" t="s">
        <v>172</v>
      </c>
      <c r="D114" s="7">
        <v>2010</v>
      </c>
      <c r="E114" s="212" t="s">
        <v>244</v>
      </c>
      <c r="F114" s="7">
        <v>4</v>
      </c>
      <c r="G114" s="7">
        <v>4</v>
      </c>
      <c r="H114" s="212" t="s">
        <v>56</v>
      </c>
      <c r="I114" s="212" t="s">
        <v>56</v>
      </c>
      <c r="J114" s="212" t="s">
        <v>430</v>
      </c>
      <c r="K114" s="7"/>
    </row>
    <row r="115" spans="2:11" customFormat="1">
      <c r="B115" s="8">
        <f t="shared" si="1"/>
        <v>106</v>
      </c>
      <c r="C115" s="132" t="s">
        <v>248</v>
      </c>
      <c r="D115" s="7">
        <v>2010</v>
      </c>
      <c r="E115" s="212" t="s">
        <v>244</v>
      </c>
      <c r="F115" s="7">
        <v>5</v>
      </c>
      <c r="G115" s="7">
        <v>5</v>
      </c>
      <c r="H115" s="212" t="s">
        <v>56</v>
      </c>
      <c r="I115" s="212" t="s">
        <v>56</v>
      </c>
      <c r="J115" s="212" t="s">
        <v>430</v>
      </c>
      <c r="K115" s="7"/>
    </row>
    <row r="116" spans="2:11" customFormat="1">
      <c r="B116" s="8">
        <f t="shared" si="1"/>
        <v>107</v>
      </c>
      <c r="C116" s="132" t="s">
        <v>302</v>
      </c>
      <c r="D116" s="7">
        <v>2018</v>
      </c>
      <c r="E116" s="212" t="s">
        <v>244</v>
      </c>
      <c r="F116" s="7">
        <v>7</v>
      </c>
      <c r="G116" s="7">
        <v>7</v>
      </c>
      <c r="H116" s="212" t="s">
        <v>56</v>
      </c>
      <c r="I116" s="212" t="s">
        <v>56</v>
      </c>
      <c r="J116" s="212" t="s">
        <v>430</v>
      </c>
      <c r="K116" s="7"/>
    </row>
    <row r="117" spans="2:11" customFormat="1">
      <c r="B117" s="8">
        <f t="shared" si="1"/>
        <v>108</v>
      </c>
      <c r="C117" s="132" t="s">
        <v>258</v>
      </c>
      <c r="D117" s="7">
        <v>2010</v>
      </c>
      <c r="E117" s="212" t="s">
        <v>244</v>
      </c>
      <c r="F117" s="7">
        <v>4</v>
      </c>
      <c r="G117" s="7">
        <v>4</v>
      </c>
      <c r="H117" s="212" t="s">
        <v>56</v>
      </c>
      <c r="I117" s="212" t="s">
        <v>56</v>
      </c>
      <c r="J117" s="212" t="s">
        <v>430</v>
      </c>
      <c r="K117" s="7"/>
    </row>
    <row r="118" spans="2:11" customFormat="1">
      <c r="B118" s="8">
        <f t="shared" si="1"/>
        <v>109</v>
      </c>
      <c r="C118" s="132" t="s">
        <v>315</v>
      </c>
      <c r="D118" s="7">
        <v>2010</v>
      </c>
      <c r="E118" s="212" t="s">
        <v>244</v>
      </c>
      <c r="F118" s="7">
        <v>1</v>
      </c>
      <c r="G118" s="7">
        <v>1</v>
      </c>
      <c r="H118" s="212" t="s">
        <v>56</v>
      </c>
      <c r="I118" s="212" t="s">
        <v>56</v>
      </c>
      <c r="J118" s="212" t="s">
        <v>430</v>
      </c>
      <c r="K118" s="7"/>
    </row>
    <row r="119" spans="2:11" customFormat="1">
      <c r="B119" s="8">
        <f t="shared" si="1"/>
        <v>110</v>
      </c>
      <c r="C119" s="132" t="s">
        <v>311</v>
      </c>
      <c r="D119" s="7">
        <v>2010</v>
      </c>
      <c r="E119" s="212" t="s">
        <v>244</v>
      </c>
      <c r="F119" s="7">
        <v>1</v>
      </c>
      <c r="G119" s="7">
        <v>1</v>
      </c>
      <c r="H119" s="212" t="s">
        <v>56</v>
      </c>
      <c r="I119" s="212" t="s">
        <v>56</v>
      </c>
      <c r="J119" s="212" t="s">
        <v>430</v>
      </c>
      <c r="K119" s="7"/>
    </row>
    <row r="120" spans="2:11" customFormat="1">
      <c r="B120" s="8">
        <f t="shared" si="1"/>
        <v>111</v>
      </c>
      <c r="C120" s="132" t="s">
        <v>253</v>
      </c>
      <c r="D120" s="7">
        <v>2018</v>
      </c>
      <c r="E120" s="212" t="s">
        <v>244</v>
      </c>
      <c r="F120" s="7">
        <v>29</v>
      </c>
      <c r="G120" s="7">
        <v>29</v>
      </c>
      <c r="H120" s="212" t="s">
        <v>56</v>
      </c>
      <c r="I120" s="212" t="s">
        <v>56</v>
      </c>
      <c r="J120" s="212" t="s">
        <v>430</v>
      </c>
      <c r="K120" s="7"/>
    </row>
    <row r="121" spans="2:11" customFormat="1">
      <c r="B121" s="8">
        <f t="shared" si="1"/>
        <v>112</v>
      </c>
      <c r="C121" s="132" t="s">
        <v>264</v>
      </c>
      <c r="D121" s="7">
        <v>2010</v>
      </c>
      <c r="E121" s="212" t="s">
        <v>244</v>
      </c>
      <c r="F121" s="7">
        <v>2</v>
      </c>
      <c r="G121" s="7">
        <v>2</v>
      </c>
      <c r="H121" s="212" t="s">
        <v>56</v>
      </c>
      <c r="I121" s="212" t="s">
        <v>56</v>
      </c>
      <c r="J121" s="212" t="s">
        <v>430</v>
      </c>
      <c r="K121" s="7"/>
    </row>
    <row r="122" spans="2:11" customFormat="1">
      <c r="B122" s="8">
        <f t="shared" si="1"/>
        <v>113</v>
      </c>
      <c r="C122" s="132" t="s">
        <v>248</v>
      </c>
      <c r="D122" s="7">
        <v>2010</v>
      </c>
      <c r="E122" s="212" t="s">
        <v>244</v>
      </c>
      <c r="F122" s="7">
        <v>2</v>
      </c>
      <c r="G122" s="7">
        <v>2</v>
      </c>
      <c r="H122" s="212" t="s">
        <v>56</v>
      </c>
      <c r="I122" s="212" t="s">
        <v>56</v>
      </c>
      <c r="J122" s="212" t="s">
        <v>444</v>
      </c>
      <c r="K122" s="7"/>
    </row>
    <row r="123" spans="2:11" customFormat="1">
      <c r="B123" s="8">
        <f t="shared" si="1"/>
        <v>114</v>
      </c>
      <c r="C123" s="132" t="s">
        <v>172</v>
      </c>
      <c r="D123" s="7">
        <v>2010</v>
      </c>
      <c r="E123" s="212" t="s">
        <v>244</v>
      </c>
      <c r="F123" s="7">
        <v>2</v>
      </c>
      <c r="G123" s="7">
        <v>2</v>
      </c>
      <c r="H123" s="212" t="s">
        <v>56</v>
      </c>
      <c r="I123" s="212" t="s">
        <v>56</v>
      </c>
      <c r="J123" s="212" t="s">
        <v>444</v>
      </c>
      <c r="K123" s="7"/>
    </row>
    <row r="124" spans="2:11" customFormat="1">
      <c r="B124" s="8">
        <f t="shared" si="1"/>
        <v>115</v>
      </c>
      <c r="C124" s="132" t="s">
        <v>447</v>
      </c>
      <c r="D124" s="7">
        <v>2010</v>
      </c>
      <c r="E124" s="212" t="s">
        <v>244</v>
      </c>
      <c r="F124" s="7">
        <v>1</v>
      </c>
      <c r="G124" s="7">
        <v>1</v>
      </c>
      <c r="H124" s="212" t="s">
        <v>56</v>
      </c>
      <c r="I124" s="212" t="s">
        <v>56</v>
      </c>
      <c r="J124" s="212" t="s">
        <v>444</v>
      </c>
      <c r="K124" s="7"/>
    </row>
    <row r="125" spans="2:11" customFormat="1">
      <c r="B125" s="8">
        <f t="shared" si="1"/>
        <v>116</v>
      </c>
      <c r="C125" s="132" t="s">
        <v>258</v>
      </c>
      <c r="D125" s="7">
        <v>2010</v>
      </c>
      <c r="E125" s="212" t="s">
        <v>244</v>
      </c>
      <c r="F125" s="7">
        <v>3</v>
      </c>
      <c r="G125" s="7">
        <v>3</v>
      </c>
      <c r="H125" s="212" t="s">
        <v>56</v>
      </c>
      <c r="I125" s="212" t="s">
        <v>56</v>
      </c>
      <c r="J125" s="212" t="s">
        <v>444</v>
      </c>
      <c r="K125" s="7"/>
    </row>
    <row r="126" spans="2:11" customFormat="1">
      <c r="B126" s="8">
        <f t="shared" si="1"/>
        <v>117</v>
      </c>
      <c r="C126" s="132" t="s">
        <v>353</v>
      </c>
      <c r="D126" s="7">
        <v>2010</v>
      </c>
      <c r="E126" s="212" t="s">
        <v>244</v>
      </c>
      <c r="F126" s="7">
        <v>1</v>
      </c>
      <c r="G126" s="7">
        <v>1</v>
      </c>
      <c r="H126" s="212" t="s">
        <v>56</v>
      </c>
      <c r="I126" s="212" t="s">
        <v>56</v>
      </c>
      <c r="J126" s="212" t="s">
        <v>444</v>
      </c>
      <c r="K126" s="7"/>
    </row>
    <row r="127" spans="2:11" customFormat="1">
      <c r="B127" s="8">
        <f t="shared" si="1"/>
        <v>118</v>
      </c>
      <c r="C127" s="132" t="s">
        <v>264</v>
      </c>
      <c r="D127" s="7">
        <v>2010</v>
      </c>
      <c r="E127" s="212" t="s">
        <v>244</v>
      </c>
      <c r="F127" s="7">
        <v>1</v>
      </c>
      <c r="G127" s="7">
        <v>1</v>
      </c>
      <c r="H127" s="212" t="s">
        <v>56</v>
      </c>
      <c r="I127" s="212" t="s">
        <v>56</v>
      </c>
      <c r="J127" s="212" t="s">
        <v>444</v>
      </c>
      <c r="K127" s="7"/>
    </row>
    <row r="128" spans="2:11" customFormat="1">
      <c r="B128" s="8">
        <f t="shared" si="1"/>
        <v>119</v>
      </c>
      <c r="C128" s="132" t="s">
        <v>452</v>
      </c>
      <c r="D128" s="7">
        <v>2010</v>
      </c>
      <c r="E128" s="212" t="s">
        <v>251</v>
      </c>
      <c r="F128" s="7">
        <v>1</v>
      </c>
      <c r="G128" s="7">
        <v>1</v>
      </c>
      <c r="H128" s="212" t="s">
        <v>56</v>
      </c>
      <c r="I128" s="212" t="s">
        <v>56</v>
      </c>
      <c r="J128" s="212" t="s">
        <v>453</v>
      </c>
      <c r="K128" s="7"/>
    </row>
    <row r="129" spans="2:11" customFormat="1">
      <c r="B129" s="8">
        <f t="shared" si="1"/>
        <v>120</v>
      </c>
      <c r="C129" s="132" t="s">
        <v>371</v>
      </c>
      <c r="D129" s="7">
        <v>2010</v>
      </c>
      <c r="E129" s="212" t="s">
        <v>244</v>
      </c>
      <c r="F129" s="7">
        <v>1</v>
      </c>
      <c r="G129" s="7">
        <v>1</v>
      </c>
      <c r="H129" s="212" t="s">
        <v>56</v>
      </c>
      <c r="I129" s="212" t="s">
        <v>56</v>
      </c>
      <c r="J129" s="212" t="s">
        <v>453</v>
      </c>
      <c r="K129" s="7"/>
    </row>
    <row r="130" spans="2:11" customFormat="1">
      <c r="B130" s="8">
        <f t="shared" si="1"/>
        <v>121</v>
      </c>
      <c r="C130" s="132" t="s">
        <v>456</v>
      </c>
      <c r="D130" s="7">
        <v>2011</v>
      </c>
      <c r="E130" s="212" t="s">
        <v>244</v>
      </c>
      <c r="F130" s="7">
        <v>1</v>
      </c>
      <c r="G130" s="7">
        <v>1</v>
      </c>
      <c r="H130" s="212" t="s">
        <v>56</v>
      </c>
      <c r="I130" s="212" t="s">
        <v>56</v>
      </c>
      <c r="J130" s="212" t="s">
        <v>453</v>
      </c>
      <c r="K130" s="7"/>
    </row>
    <row r="131" spans="2:11" customFormat="1">
      <c r="B131" s="8">
        <f t="shared" si="1"/>
        <v>122</v>
      </c>
      <c r="C131" s="132" t="s">
        <v>288</v>
      </c>
      <c r="D131" s="7">
        <v>2010</v>
      </c>
      <c r="E131" s="212" t="s">
        <v>244</v>
      </c>
      <c r="F131" s="7">
        <v>6</v>
      </c>
      <c r="G131" s="7">
        <v>6</v>
      </c>
      <c r="H131" s="212" t="s">
        <v>56</v>
      </c>
      <c r="I131" s="212" t="s">
        <v>56</v>
      </c>
      <c r="J131" s="212" t="s">
        <v>453</v>
      </c>
      <c r="K131" s="7"/>
    </row>
    <row r="132" spans="2:11" customFormat="1">
      <c r="B132" s="8">
        <f t="shared" si="1"/>
        <v>123</v>
      </c>
      <c r="C132" s="132" t="s">
        <v>459</v>
      </c>
      <c r="D132" s="7">
        <v>2010</v>
      </c>
      <c r="E132" s="212" t="s">
        <v>244</v>
      </c>
      <c r="F132" s="7">
        <v>1</v>
      </c>
      <c r="G132" s="7">
        <v>1</v>
      </c>
      <c r="H132" s="212" t="s">
        <v>56</v>
      </c>
      <c r="I132" s="212" t="s">
        <v>56</v>
      </c>
      <c r="J132" s="212" t="s">
        <v>453</v>
      </c>
      <c r="K132" s="7"/>
    </row>
    <row r="133" spans="2:11" customFormat="1">
      <c r="B133" s="8">
        <f t="shared" si="1"/>
        <v>124</v>
      </c>
      <c r="C133" s="132" t="s">
        <v>262</v>
      </c>
      <c r="D133" s="7"/>
      <c r="E133" s="212" t="s">
        <v>244</v>
      </c>
      <c r="F133" s="7">
        <v>1</v>
      </c>
      <c r="G133" s="7">
        <v>1</v>
      </c>
      <c r="H133" s="212" t="s">
        <v>56</v>
      </c>
      <c r="I133" s="212" t="s">
        <v>56</v>
      </c>
      <c r="J133" s="212" t="s">
        <v>453</v>
      </c>
      <c r="K133" s="7"/>
    </row>
    <row r="134" spans="2:11" customFormat="1">
      <c r="B134" s="8">
        <f t="shared" si="1"/>
        <v>125</v>
      </c>
      <c r="C134" s="132" t="s">
        <v>462</v>
      </c>
      <c r="D134" s="7"/>
      <c r="E134" s="212" t="s">
        <v>244</v>
      </c>
      <c r="F134" s="7">
        <v>2</v>
      </c>
      <c r="G134" s="7">
        <v>2</v>
      </c>
      <c r="H134" s="212" t="s">
        <v>56</v>
      </c>
      <c r="I134" s="212" t="s">
        <v>56</v>
      </c>
      <c r="J134" s="212" t="s">
        <v>453</v>
      </c>
      <c r="K134" s="7"/>
    </row>
    <row r="135" spans="2:11">
      <c r="B135" s="114"/>
      <c r="C135" s="115"/>
      <c r="D135" s="115"/>
      <c r="E135" s="115"/>
      <c r="F135" s="115"/>
      <c r="G135" s="115"/>
      <c r="H135" s="115"/>
      <c r="I135" s="115"/>
      <c r="J135" s="115"/>
      <c r="K135" s="125"/>
    </row>
    <row r="136" spans="2:11">
      <c r="B136" s="227" t="s">
        <v>468</v>
      </c>
      <c r="C136" s="228"/>
      <c r="D136" s="46"/>
      <c r="E136" s="228" t="s">
        <v>469</v>
      </c>
      <c r="F136" s="228"/>
      <c r="G136" s="228"/>
      <c r="H136" s="46"/>
      <c r="I136" s="46"/>
      <c r="J136" s="229" t="s">
        <v>470</v>
      </c>
      <c r="K136" s="230"/>
    </row>
    <row r="137" spans="2:11">
      <c r="B137" s="116"/>
      <c r="C137" s="46"/>
      <c r="D137" s="46"/>
      <c r="E137" s="46"/>
      <c r="F137" s="46"/>
      <c r="G137" s="46"/>
      <c r="H137" s="46"/>
      <c r="I137" s="46"/>
      <c r="J137" s="46"/>
      <c r="K137" s="128"/>
    </row>
    <row r="138" spans="2:11">
      <c r="B138" s="116"/>
      <c r="C138" s="46"/>
      <c r="D138" s="46"/>
      <c r="E138" s="46"/>
      <c r="F138" s="46"/>
      <c r="G138" s="46"/>
      <c r="H138" s="46"/>
      <c r="I138" s="46"/>
      <c r="J138" s="46"/>
      <c r="K138" s="128"/>
    </row>
    <row r="139" spans="2:11">
      <c r="B139" s="116"/>
      <c r="C139" s="46"/>
      <c r="D139" s="46"/>
      <c r="E139" s="46"/>
      <c r="F139" s="46"/>
      <c r="G139" s="46"/>
      <c r="H139" s="46"/>
      <c r="I139" s="46"/>
      <c r="J139" s="46"/>
      <c r="K139" s="128"/>
    </row>
    <row r="140" spans="2:11">
      <c r="B140" s="116"/>
      <c r="C140" s="46"/>
      <c r="D140" s="46"/>
      <c r="E140" s="46"/>
      <c r="F140" s="46"/>
      <c r="G140" s="46"/>
      <c r="H140" s="46"/>
      <c r="I140" s="46"/>
      <c r="J140" s="46"/>
      <c r="K140" s="128"/>
    </row>
    <row r="141" spans="2:11">
      <c r="B141" s="231" t="s">
        <v>471</v>
      </c>
      <c r="C141" s="232"/>
      <c r="D141" s="118"/>
      <c r="E141" s="233" t="s">
        <v>472</v>
      </c>
      <c r="F141" s="233"/>
      <c r="G141" s="233"/>
      <c r="H141" s="118"/>
      <c r="I141" s="118"/>
      <c r="J141" s="233" t="s">
        <v>473</v>
      </c>
      <c r="K141" s="234"/>
    </row>
    <row r="142" spans="2:11">
      <c r="B142" s="120"/>
    </row>
    <row r="143" spans="2:11">
      <c r="B143" s="120"/>
    </row>
    <row r="144" spans="2:11">
      <c r="B144" s="120"/>
    </row>
    <row r="145" spans="2:2">
      <c r="B145" s="120"/>
    </row>
    <row r="146" spans="2:2">
      <c r="B146" s="120"/>
    </row>
    <row r="147" spans="2:2">
      <c r="B147" s="120"/>
    </row>
    <row r="148" spans="2:2">
      <c r="B148" s="120"/>
    </row>
    <row r="149" spans="2:2">
      <c r="B149" s="120"/>
    </row>
    <row r="150" spans="2:2">
      <c r="B150" s="120"/>
    </row>
    <row r="151" spans="2:2">
      <c r="B151" s="120"/>
    </row>
    <row r="152" spans="2:2">
      <c r="B152" s="120"/>
    </row>
    <row r="153" spans="2:2">
      <c r="B153" s="120"/>
    </row>
    <row r="154" spans="2:2">
      <c r="B154" s="120"/>
    </row>
    <row r="155" spans="2:2">
      <c r="B155" s="120"/>
    </row>
    <row r="156" spans="2:2">
      <c r="B156" s="120"/>
    </row>
    <row r="157" spans="2:2">
      <c r="B157" s="120"/>
    </row>
    <row r="158" spans="2:2">
      <c r="B158" s="120"/>
    </row>
    <row r="159" spans="2:2">
      <c r="B159" s="120"/>
    </row>
    <row r="160" spans="2:2">
      <c r="B160" s="120"/>
    </row>
    <row r="161" spans="2:2">
      <c r="B161" s="120"/>
    </row>
    <row r="162" spans="2:2">
      <c r="B162" s="120"/>
    </row>
    <row r="163" spans="2:2">
      <c r="B163" s="120"/>
    </row>
    <row r="164" spans="2:2">
      <c r="B164" s="120"/>
    </row>
    <row r="165" spans="2:2">
      <c r="B165" s="120"/>
    </row>
    <row r="166" spans="2:2">
      <c r="B166" s="120"/>
    </row>
    <row r="167" spans="2:2">
      <c r="B167" s="120"/>
    </row>
    <row r="168" spans="2:2">
      <c r="B168" s="120"/>
    </row>
    <row r="169" spans="2:2">
      <c r="B169" s="120"/>
    </row>
    <row r="170" spans="2:2">
      <c r="B170" s="120"/>
    </row>
    <row r="171" spans="2:2">
      <c r="B171" s="120"/>
    </row>
    <row r="172" spans="2:2">
      <c r="B172" s="120"/>
    </row>
    <row r="173" spans="2:2">
      <c r="B173" s="120"/>
    </row>
    <row r="174" spans="2:2">
      <c r="B174" s="120"/>
    </row>
    <row r="175" spans="2:2">
      <c r="B175" s="120"/>
    </row>
    <row r="176" spans="2:2">
      <c r="B176" s="120"/>
    </row>
    <row r="177" spans="2:2">
      <c r="B177" s="120"/>
    </row>
    <row r="178" spans="2:2">
      <c r="B178" s="120"/>
    </row>
    <row r="179" spans="2:2">
      <c r="B179" s="120"/>
    </row>
    <row r="180" spans="2:2">
      <c r="B180" s="120"/>
    </row>
    <row r="181" spans="2:2">
      <c r="B181" s="120"/>
    </row>
    <row r="182" spans="2:2">
      <c r="B182" s="120"/>
    </row>
    <row r="183" spans="2:2">
      <c r="B183" s="120"/>
    </row>
    <row r="184" spans="2:2">
      <c r="B184" s="120"/>
    </row>
    <row r="185" spans="2:2">
      <c r="B185" s="120"/>
    </row>
    <row r="186" spans="2:2">
      <c r="B186" s="120"/>
    </row>
    <row r="187" spans="2:2">
      <c r="B187" s="120"/>
    </row>
    <row r="188" spans="2:2">
      <c r="B188" s="120"/>
    </row>
    <row r="189" spans="2:2">
      <c r="B189" s="120"/>
    </row>
    <row r="190" spans="2:2">
      <c r="B190" s="120"/>
    </row>
    <row r="191" spans="2:2">
      <c r="B191" s="120"/>
    </row>
    <row r="192" spans="2:2">
      <c r="B192" s="120"/>
    </row>
    <row r="193" spans="2:2">
      <c r="B193" s="120"/>
    </row>
    <row r="194" spans="2:2">
      <c r="B194" s="120"/>
    </row>
    <row r="195" spans="2:2">
      <c r="B195" s="120"/>
    </row>
    <row r="196" spans="2:2">
      <c r="B196" s="120"/>
    </row>
    <row r="197" spans="2:2">
      <c r="B197" s="120"/>
    </row>
    <row r="198" spans="2:2">
      <c r="B198" s="120"/>
    </row>
    <row r="199" spans="2:2">
      <c r="B199" s="120"/>
    </row>
    <row r="200" spans="2:2">
      <c r="B200" s="120"/>
    </row>
    <row r="201" spans="2:2">
      <c r="B201" s="120"/>
    </row>
    <row r="202" spans="2:2">
      <c r="B202" s="120"/>
    </row>
    <row r="203" spans="2:2">
      <c r="B203" s="120"/>
    </row>
    <row r="204" spans="2:2">
      <c r="B204" s="120"/>
    </row>
    <row r="205" spans="2:2">
      <c r="B205" s="120"/>
    </row>
    <row r="206" spans="2:2">
      <c r="B206" s="120"/>
    </row>
    <row r="207" spans="2:2">
      <c r="B207" s="120"/>
    </row>
    <row r="208" spans="2:2">
      <c r="B208" s="120"/>
    </row>
    <row r="209" spans="2:2">
      <c r="B209" s="120"/>
    </row>
    <row r="210" spans="2:2">
      <c r="B210" s="120"/>
    </row>
    <row r="211" spans="2:2">
      <c r="B211" s="120"/>
    </row>
    <row r="212" spans="2:2">
      <c r="B212" s="120"/>
    </row>
    <row r="213" spans="2:2">
      <c r="B213" s="120"/>
    </row>
    <row r="214" spans="2:2">
      <c r="B214" s="120"/>
    </row>
    <row r="215" spans="2:2">
      <c r="B215" s="120"/>
    </row>
    <row r="216" spans="2:2">
      <c r="B216" s="120"/>
    </row>
    <row r="217" spans="2:2">
      <c r="B217" s="120"/>
    </row>
    <row r="218" spans="2:2">
      <c r="B218" s="120"/>
    </row>
    <row r="219" spans="2:2">
      <c r="B219" s="120"/>
    </row>
    <row r="220" spans="2:2">
      <c r="B220" s="120"/>
    </row>
  </sheetData>
  <autoFilter ref="B7:K134" xr:uid="{00000000-0009-0000-0000-000005000000}"/>
  <mergeCells count="19">
    <mergeCell ref="B2:K5"/>
    <mergeCell ref="B141:C141"/>
    <mergeCell ref="E141:G141"/>
    <mergeCell ref="J141:K141"/>
    <mergeCell ref="B7:B9"/>
    <mergeCell ref="C7:C9"/>
    <mergeCell ref="D7:D9"/>
    <mergeCell ref="E7:E9"/>
    <mergeCell ref="F8:F9"/>
    <mergeCell ref="G8:G9"/>
    <mergeCell ref="H8:H9"/>
    <mergeCell ref="I8:I9"/>
    <mergeCell ref="J7:J9"/>
    <mergeCell ref="K7:K9"/>
    <mergeCell ref="F7:G7"/>
    <mergeCell ref="H7:I7"/>
    <mergeCell ref="B136:C136"/>
    <mergeCell ref="E136:G136"/>
    <mergeCell ref="J136:K136"/>
  </mergeCells>
  <printOptions horizontalCentered="1"/>
  <pageMargins left="0" right="0" top="0.196850393700787" bottom="0" header="0" footer="0"/>
  <pageSetup paperSize="9" scale="9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B1:I155"/>
  <sheetViews>
    <sheetView showGridLines="0" workbookViewId="0">
      <pane xSplit="1" ySplit="3" topLeftCell="B126" activePane="bottomRight" state="frozen"/>
      <selection pane="topRight"/>
      <selection pane="bottomLeft"/>
      <selection pane="bottomRight" activeCell="I14" sqref="I14"/>
    </sheetView>
  </sheetViews>
  <sheetFormatPr defaultColWidth="9" defaultRowHeight="14.4"/>
  <cols>
    <col min="1" max="1" width="2.5546875" customWidth="1"/>
    <col min="2" max="2" width="4.109375" style="26" customWidth="1"/>
    <col min="3" max="3" width="30.44140625" customWidth="1"/>
    <col min="4" max="4" width="12.5546875" style="26" customWidth="1"/>
    <col min="5" max="5" width="12.5546875" style="68" customWidth="1"/>
    <col min="6" max="7" width="11.5546875" style="68" customWidth="1"/>
    <col min="8" max="8" width="11.109375" style="68" customWidth="1"/>
    <col min="9" max="9" width="11.109375" style="26" customWidth="1"/>
  </cols>
  <sheetData>
    <row r="1" spans="2:9" ht="38.1" customHeight="1">
      <c r="B1" s="253" t="s">
        <v>520</v>
      </c>
      <c r="C1" s="253"/>
      <c r="D1" s="253"/>
      <c r="E1" s="253"/>
      <c r="F1" s="253"/>
      <c r="G1" s="253"/>
      <c r="H1" s="253"/>
      <c r="I1" s="253"/>
    </row>
    <row r="2" spans="2:9" ht="12.9" customHeight="1"/>
    <row r="3" spans="2:9" s="147" customFormat="1" ht="57.6" customHeight="1">
      <c r="B3" s="148" t="s">
        <v>32</v>
      </c>
      <c r="C3" s="149" t="s">
        <v>521</v>
      </c>
      <c r="D3" s="150" t="s">
        <v>36</v>
      </c>
      <c r="E3" s="151" t="s">
        <v>40</v>
      </c>
      <c r="F3" s="150" t="s">
        <v>37</v>
      </c>
      <c r="G3" s="151" t="s">
        <v>41</v>
      </c>
      <c r="H3" s="150" t="s">
        <v>38</v>
      </c>
      <c r="I3" s="151" t="s">
        <v>42</v>
      </c>
    </row>
    <row r="4" spans="2:9" s="147" customFormat="1" ht="15.6">
      <c r="B4" s="254" t="s">
        <v>522</v>
      </c>
      <c r="C4" s="254"/>
      <c r="D4" s="254"/>
      <c r="E4" s="254"/>
      <c r="F4" s="254"/>
      <c r="G4" s="254"/>
      <c r="H4" s="254"/>
      <c r="I4" s="254"/>
    </row>
    <row r="5" spans="2:9">
      <c r="B5" s="7">
        <v>1</v>
      </c>
      <c r="C5" s="6" t="s">
        <v>134</v>
      </c>
      <c r="D5" s="7">
        <v>10</v>
      </c>
      <c r="E5" s="144">
        <v>0</v>
      </c>
      <c r="F5" s="144">
        <v>0</v>
      </c>
      <c r="G5" s="144">
        <v>10</v>
      </c>
      <c r="H5" s="144">
        <v>0</v>
      </c>
      <c r="I5" s="7">
        <v>0</v>
      </c>
    </row>
    <row r="6" spans="2:9">
      <c r="B6" s="7">
        <f>B5+1</f>
        <v>2</v>
      </c>
      <c r="C6" s="6" t="s">
        <v>145</v>
      </c>
      <c r="D6" s="7">
        <v>1</v>
      </c>
      <c r="E6" s="144">
        <v>1</v>
      </c>
      <c r="F6" s="144">
        <v>0</v>
      </c>
      <c r="G6" s="144">
        <v>0</v>
      </c>
      <c r="H6" s="144">
        <v>0</v>
      </c>
      <c r="I6" s="7">
        <v>0</v>
      </c>
    </row>
    <row r="7" spans="2:9">
      <c r="B7" s="7">
        <f t="shared" ref="B7:B56" si="0">B6+1</f>
        <v>3</v>
      </c>
      <c r="C7" s="6" t="s">
        <v>136</v>
      </c>
      <c r="D7" s="7">
        <v>2</v>
      </c>
      <c r="E7" s="144">
        <v>2</v>
      </c>
      <c r="F7" s="144">
        <v>0</v>
      </c>
      <c r="G7" s="144">
        <v>0</v>
      </c>
      <c r="H7" s="144">
        <v>0</v>
      </c>
      <c r="I7" s="7">
        <v>0</v>
      </c>
    </row>
    <row r="8" spans="2:9">
      <c r="B8" s="7">
        <f t="shared" si="0"/>
        <v>4</v>
      </c>
      <c r="C8" s="6" t="s">
        <v>148</v>
      </c>
      <c r="D8" s="7">
        <v>1</v>
      </c>
      <c r="E8" s="144">
        <v>1</v>
      </c>
      <c r="F8" s="144">
        <v>0</v>
      </c>
      <c r="G8" s="144">
        <v>0</v>
      </c>
      <c r="H8" s="144">
        <v>0</v>
      </c>
      <c r="I8" s="7">
        <v>0</v>
      </c>
    </row>
    <row r="9" spans="2:9">
      <c r="B9" s="7">
        <f t="shared" si="0"/>
        <v>5</v>
      </c>
      <c r="C9" s="6" t="s">
        <v>140</v>
      </c>
      <c r="D9" s="7">
        <v>2</v>
      </c>
      <c r="E9" s="144">
        <v>2</v>
      </c>
      <c r="F9" s="144">
        <v>0</v>
      </c>
      <c r="G9" s="144">
        <v>0</v>
      </c>
      <c r="H9" s="144">
        <v>0</v>
      </c>
      <c r="I9" s="7">
        <v>0</v>
      </c>
    </row>
    <row r="10" spans="2:9">
      <c r="B10" s="7">
        <f t="shared" si="0"/>
        <v>6</v>
      </c>
      <c r="C10" s="6" t="s">
        <v>146</v>
      </c>
      <c r="D10" s="7">
        <v>1</v>
      </c>
      <c r="E10" s="144">
        <v>1</v>
      </c>
      <c r="F10" s="144">
        <v>0</v>
      </c>
      <c r="G10" s="144">
        <v>0</v>
      </c>
      <c r="H10" s="144">
        <v>0</v>
      </c>
      <c r="I10" s="7">
        <v>0</v>
      </c>
    </row>
    <row r="11" spans="2:9">
      <c r="B11" s="7">
        <f t="shared" si="0"/>
        <v>7</v>
      </c>
      <c r="C11" s="6" t="s">
        <v>110</v>
      </c>
      <c r="D11" s="7">
        <v>32</v>
      </c>
      <c r="E11" s="144">
        <v>5</v>
      </c>
      <c r="F11" s="144">
        <v>0</v>
      </c>
      <c r="G11" s="144">
        <v>0</v>
      </c>
      <c r="H11" s="144">
        <v>0</v>
      </c>
      <c r="I11" s="7">
        <v>0</v>
      </c>
    </row>
    <row r="12" spans="2:9">
      <c r="B12" s="7">
        <f t="shared" si="0"/>
        <v>8</v>
      </c>
      <c r="C12" s="6" t="s">
        <v>112</v>
      </c>
      <c r="D12" s="7">
        <v>26</v>
      </c>
      <c r="E12" s="144">
        <v>26</v>
      </c>
      <c r="F12" s="144">
        <v>0</v>
      </c>
      <c r="G12" s="144">
        <v>0</v>
      </c>
      <c r="H12" s="144">
        <v>0</v>
      </c>
      <c r="I12" s="7">
        <v>3</v>
      </c>
    </row>
    <row r="13" spans="2:9">
      <c r="B13" s="7">
        <f t="shared" si="0"/>
        <v>9</v>
      </c>
      <c r="C13" s="6" t="s">
        <v>79</v>
      </c>
      <c r="D13" s="7">
        <v>2</v>
      </c>
      <c r="E13" s="144">
        <v>2</v>
      </c>
      <c r="F13" s="144">
        <v>0</v>
      </c>
      <c r="G13" s="144">
        <v>0</v>
      </c>
      <c r="H13" s="144">
        <v>0</v>
      </c>
      <c r="I13" s="7">
        <v>0</v>
      </c>
    </row>
    <row r="14" spans="2:9">
      <c r="B14" s="7">
        <f t="shared" si="0"/>
        <v>10</v>
      </c>
      <c r="C14" s="6" t="s">
        <v>126</v>
      </c>
      <c r="D14" s="7">
        <v>2</v>
      </c>
      <c r="E14" s="144">
        <v>2</v>
      </c>
      <c r="F14" s="144">
        <v>0</v>
      </c>
      <c r="G14" s="144">
        <v>0</v>
      </c>
      <c r="H14" s="144">
        <v>0</v>
      </c>
      <c r="I14" s="7">
        <v>0</v>
      </c>
    </row>
    <row r="15" spans="2:9">
      <c r="B15" s="7">
        <f t="shared" si="0"/>
        <v>11</v>
      </c>
      <c r="C15" s="6" t="s">
        <v>147</v>
      </c>
      <c r="D15" s="7">
        <v>1</v>
      </c>
      <c r="E15" s="144">
        <v>1</v>
      </c>
      <c r="F15" s="144">
        <v>0</v>
      </c>
      <c r="G15" s="144">
        <v>0</v>
      </c>
      <c r="H15" s="144">
        <v>0</v>
      </c>
      <c r="I15" s="7">
        <v>0</v>
      </c>
    </row>
    <row r="16" spans="2:9">
      <c r="B16" s="7">
        <f t="shared" si="0"/>
        <v>12</v>
      </c>
      <c r="C16" s="6" t="s">
        <v>122</v>
      </c>
      <c r="D16" s="7">
        <v>2</v>
      </c>
      <c r="E16" s="144">
        <v>2</v>
      </c>
      <c r="F16" s="144">
        <v>0</v>
      </c>
      <c r="G16" s="144">
        <v>0</v>
      </c>
      <c r="H16" s="144">
        <v>0</v>
      </c>
      <c r="I16" s="7">
        <v>0</v>
      </c>
    </row>
    <row r="17" spans="2:9">
      <c r="B17" s="7">
        <f t="shared" si="0"/>
        <v>13</v>
      </c>
      <c r="C17" s="6" t="s">
        <v>124</v>
      </c>
      <c r="D17" s="7">
        <v>1</v>
      </c>
      <c r="E17" s="144">
        <v>0</v>
      </c>
      <c r="F17" s="144">
        <v>0</v>
      </c>
      <c r="G17" s="144">
        <v>0</v>
      </c>
      <c r="H17" s="144">
        <v>0</v>
      </c>
      <c r="I17" s="7">
        <v>1</v>
      </c>
    </row>
    <row r="18" spans="2:9">
      <c r="B18" s="7">
        <f t="shared" si="0"/>
        <v>14</v>
      </c>
      <c r="C18" s="6" t="s">
        <v>478</v>
      </c>
      <c r="D18" s="7">
        <v>1</v>
      </c>
      <c r="E18" s="144">
        <v>1</v>
      </c>
      <c r="F18" s="144">
        <v>0</v>
      </c>
      <c r="G18" s="144">
        <v>0</v>
      </c>
      <c r="H18" s="144">
        <v>0</v>
      </c>
      <c r="I18" s="7">
        <v>0</v>
      </c>
    </row>
    <row r="19" spans="2:9">
      <c r="B19" s="7">
        <f t="shared" si="0"/>
        <v>15</v>
      </c>
      <c r="C19" s="6" t="s">
        <v>139</v>
      </c>
      <c r="D19" s="7">
        <v>1</v>
      </c>
      <c r="E19" s="144">
        <v>1</v>
      </c>
      <c r="F19" s="144">
        <v>0</v>
      </c>
      <c r="G19" s="144">
        <v>0</v>
      </c>
      <c r="H19" s="144">
        <v>0</v>
      </c>
      <c r="I19" s="7">
        <v>0</v>
      </c>
    </row>
    <row r="20" spans="2:9">
      <c r="B20" s="7">
        <f t="shared" si="0"/>
        <v>16</v>
      </c>
      <c r="C20" s="6" t="s">
        <v>99</v>
      </c>
      <c r="D20" s="7">
        <v>42</v>
      </c>
      <c r="E20" s="144">
        <v>48</v>
      </c>
      <c r="F20" s="144">
        <v>0</v>
      </c>
      <c r="G20" s="144">
        <v>0</v>
      </c>
      <c r="H20" s="144">
        <v>0</v>
      </c>
      <c r="I20" s="7">
        <v>0</v>
      </c>
    </row>
    <row r="21" spans="2:9">
      <c r="B21" s="7">
        <f t="shared" si="0"/>
        <v>17</v>
      </c>
      <c r="C21" s="6" t="s">
        <v>142</v>
      </c>
      <c r="D21" s="7">
        <v>62</v>
      </c>
      <c r="E21" s="144">
        <v>62</v>
      </c>
      <c r="F21" s="144">
        <v>0</v>
      </c>
      <c r="G21" s="144">
        <v>0</v>
      </c>
      <c r="H21" s="144">
        <v>0</v>
      </c>
      <c r="I21" s="7">
        <v>0</v>
      </c>
    </row>
    <row r="22" spans="2:9">
      <c r="B22" s="7">
        <f t="shared" si="0"/>
        <v>18</v>
      </c>
      <c r="C22" s="6" t="s">
        <v>120</v>
      </c>
      <c r="D22" s="7">
        <v>1</v>
      </c>
      <c r="E22" s="144">
        <v>1</v>
      </c>
      <c r="F22" s="144">
        <v>0</v>
      </c>
      <c r="G22" s="144">
        <v>0</v>
      </c>
      <c r="H22" s="144">
        <v>0</v>
      </c>
      <c r="I22" s="7">
        <v>0</v>
      </c>
    </row>
    <row r="23" spans="2:9">
      <c r="B23" s="7">
        <f t="shared" si="0"/>
        <v>19</v>
      </c>
      <c r="C23" s="6" t="s">
        <v>121</v>
      </c>
      <c r="D23" s="7">
        <v>5</v>
      </c>
      <c r="E23" s="144">
        <v>5</v>
      </c>
      <c r="F23" s="144">
        <v>0</v>
      </c>
      <c r="G23" s="144">
        <v>0</v>
      </c>
      <c r="H23" s="144">
        <v>0</v>
      </c>
      <c r="I23" s="7">
        <v>0</v>
      </c>
    </row>
    <row r="24" spans="2:9">
      <c r="B24" s="7">
        <f t="shared" si="0"/>
        <v>20</v>
      </c>
      <c r="C24" s="6" t="s">
        <v>98</v>
      </c>
      <c r="D24" s="7">
        <v>1</v>
      </c>
      <c r="E24" s="144">
        <v>1</v>
      </c>
      <c r="F24" s="144">
        <v>0</v>
      </c>
      <c r="G24" s="144">
        <v>0</v>
      </c>
      <c r="H24" s="144">
        <v>0</v>
      </c>
      <c r="I24" s="7">
        <v>0</v>
      </c>
    </row>
    <row r="25" spans="2:9">
      <c r="B25" s="7">
        <f t="shared" si="0"/>
        <v>21</v>
      </c>
      <c r="C25" s="6" t="s">
        <v>97</v>
      </c>
      <c r="D25" s="7">
        <v>8</v>
      </c>
      <c r="E25" s="144">
        <v>8</v>
      </c>
      <c r="F25" s="144">
        <v>0</v>
      </c>
      <c r="G25" s="144">
        <v>0</v>
      </c>
      <c r="H25" s="144">
        <v>0</v>
      </c>
      <c r="I25" s="7">
        <v>0</v>
      </c>
    </row>
    <row r="26" spans="2:9">
      <c r="B26" s="7">
        <f t="shared" si="0"/>
        <v>22</v>
      </c>
      <c r="C26" s="6" t="s">
        <v>102</v>
      </c>
      <c r="D26" s="7">
        <v>61</v>
      </c>
      <c r="E26" s="144">
        <v>61</v>
      </c>
      <c r="F26" s="144">
        <v>0</v>
      </c>
      <c r="G26" s="144">
        <v>0</v>
      </c>
      <c r="H26" s="144">
        <v>0</v>
      </c>
      <c r="I26" s="7">
        <v>0</v>
      </c>
    </row>
    <row r="27" spans="2:9">
      <c r="B27" s="7">
        <f t="shared" si="0"/>
        <v>23</v>
      </c>
      <c r="C27" s="6" t="s">
        <v>103</v>
      </c>
      <c r="D27" s="7">
        <v>40</v>
      </c>
      <c r="E27" s="144">
        <v>41</v>
      </c>
      <c r="F27" s="144">
        <v>0</v>
      </c>
      <c r="G27" s="144">
        <v>0</v>
      </c>
      <c r="H27" s="144">
        <v>0</v>
      </c>
      <c r="I27" s="7">
        <v>0</v>
      </c>
    </row>
    <row r="28" spans="2:9">
      <c r="B28" s="7">
        <f t="shared" si="0"/>
        <v>24</v>
      </c>
      <c r="C28" s="6" t="s">
        <v>479</v>
      </c>
      <c r="D28" s="7">
        <v>113</v>
      </c>
      <c r="E28" s="144">
        <v>120</v>
      </c>
      <c r="F28" s="144">
        <v>0</v>
      </c>
      <c r="G28" s="144">
        <v>0</v>
      </c>
      <c r="H28" s="144">
        <v>0</v>
      </c>
      <c r="I28" s="7">
        <v>7</v>
      </c>
    </row>
    <row r="29" spans="2:9">
      <c r="B29" s="7">
        <f t="shared" si="0"/>
        <v>25</v>
      </c>
      <c r="C29" s="6" t="s">
        <v>106</v>
      </c>
      <c r="D29" s="7">
        <v>8</v>
      </c>
      <c r="E29" s="144">
        <v>8</v>
      </c>
      <c r="F29" s="144">
        <v>0</v>
      </c>
      <c r="G29" s="144">
        <v>0</v>
      </c>
      <c r="H29" s="144">
        <v>0</v>
      </c>
      <c r="I29" s="7">
        <v>0</v>
      </c>
    </row>
    <row r="30" spans="2:9">
      <c r="B30" s="7">
        <f t="shared" si="0"/>
        <v>26</v>
      </c>
      <c r="C30" s="6" t="s">
        <v>133</v>
      </c>
      <c r="D30" s="7">
        <v>1</v>
      </c>
      <c r="E30" s="144">
        <v>1</v>
      </c>
      <c r="F30" s="144">
        <v>0</v>
      </c>
      <c r="G30" s="144">
        <v>0</v>
      </c>
      <c r="H30" s="144">
        <v>0</v>
      </c>
      <c r="I30" s="7">
        <v>0</v>
      </c>
    </row>
    <row r="31" spans="2:9">
      <c r="B31" s="7">
        <f t="shared" si="0"/>
        <v>27</v>
      </c>
      <c r="C31" s="6" t="s">
        <v>119</v>
      </c>
      <c r="D31" s="7">
        <v>9</v>
      </c>
      <c r="E31" s="144">
        <v>9</v>
      </c>
      <c r="F31" s="144">
        <v>0</v>
      </c>
      <c r="G31" s="144">
        <v>0</v>
      </c>
      <c r="H31" s="144">
        <v>0</v>
      </c>
      <c r="I31" s="7">
        <v>0</v>
      </c>
    </row>
    <row r="32" spans="2:9">
      <c r="B32" s="7">
        <f t="shared" si="0"/>
        <v>28</v>
      </c>
      <c r="C32" s="6" t="s">
        <v>141</v>
      </c>
      <c r="D32" s="7">
        <v>2</v>
      </c>
      <c r="E32" s="144">
        <v>0</v>
      </c>
      <c r="F32" s="144">
        <v>0</v>
      </c>
      <c r="G32" s="144">
        <v>2</v>
      </c>
      <c r="H32" s="144">
        <v>0</v>
      </c>
      <c r="I32" s="7">
        <v>0</v>
      </c>
    </row>
    <row r="33" spans="2:9">
      <c r="B33" s="7">
        <f t="shared" si="0"/>
        <v>29</v>
      </c>
      <c r="C33" s="6" t="s">
        <v>132</v>
      </c>
      <c r="D33" s="7">
        <v>1</v>
      </c>
      <c r="E33" s="144">
        <v>1</v>
      </c>
      <c r="F33" s="144">
        <v>0</v>
      </c>
      <c r="G33" s="144">
        <v>0</v>
      </c>
      <c r="H33" s="144">
        <v>0</v>
      </c>
      <c r="I33" s="7">
        <v>0</v>
      </c>
    </row>
    <row r="34" spans="2:9">
      <c r="B34" s="7">
        <f t="shared" si="0"/>
        <v>30</v>
      </c>
      <c r="C34" s="6" t="s">
        <v>128</v>
      </c>
      <c r="D34" s="7">
        <v>1</v>
      </c>
      <c r="E34" s="144">
        <v>1</v>
      </c>
      <c r="F34" s="144">
        <v>0</v>
      </c>
      <c r="G34" s="144">
        <v>0</v>
      </c>
      <c r="H34" s="144">
        <v>0</v>
      </c>
      <c r="I34" s="7">
        <v>0</v>
      </c>
    </row>
    <row r="35" spans="2:9">
      <c r="B35" s="7">
        <f t="shared" si="0"/>
        <v>31</v>
      </c>
      <c r="C35" s="6" t="s">
        <v>129</v>
      </c>
      <c r="D35" s="7">
        <v>1</v>
      </c>
      <c r="E35" s="144">
        <v>1</v>
      </c>
      <c r="F35" s="144">
        <v>0</v>
      </c>
      <c r="G35" s="144">
        <v>0</v>
      </c>
      <c r="H35" s="144">
        <v>0</v>
      </c>
      <c r="I35" s="7">
        <v>0</v>
      </c>
    </row>
    <row r="36" spans="2:9">
      <c r="B36" s="7">
        <f t="shared" si="0"/>
        <v>32</v>
      </c>
      <c r="C36" s="6" t="s">
        <v>107</v>
      </c>
      <c r="D36" s="7">
        <v>27</v>
      </c>
      <c r="E36" s="144">
        <v>30</v>
      </c>
      <c r="F36" s="144">
        <v>0</v>
      </c>
      <c r="G36" s="144">
        <v>0</v>
      </c>
      <c r="H36" s="144">
        <v>0</v>
      </c>
      <c r="I36" s="7">
        <v>0</v>
      </c>
    </row>
    <row r="37" spans="2:9">
      <c r="B37" s="7">
        <f t="shared" si="0"/>
        <v>33</v>
      </c>
      <c r="C37" s="6" t="s">
        <v>130</v>
      </c>
      <c r="D37" s="7">
        <v>5</v>
      </c>
      <c r="E37" s="144">
        <v>5</v>
      </c>
      <c r="F37" s="144">
        <v>0</v>
      </c>
      <c r="G37" s="144">
        <v>0</v>
      </c>
      <c r="H37" s="144">
        <v>0</v>
      </c>
      <c r="I37" s="7">
        <v>0</v>
      </c>
    </row>
    <row r="38" spans="2:9">
      <c r="B38" s="7">
        <f t="shared" si="0"/>
        <v>34</v>
      </c>
      <c r="C38" s="6" t="s">
        <v>100</v>
      </c>
      <c r="D38" s="7">
        <v>7</v>
      </c>
      <c r="E38" s="144">
        <v>5</v>
      </c>
      <c r="F38" s="144">
        <v>0</v>
      </c>
      <c r="G38" s="144">
        <v>0</v>
      </c>
      <c r="H38" s="144">
        <v>0</v>
      </c>
      <c r="I38" s="7">
        <v>0</v>
      </c>
    </row>
    <row r="39" spans="2:9">
      <c r="B39" s="7">
        <f t="shared" si="0"/>
        <v>35</v>
      </c>
      <c r="C39" s="6" t="s">
        <v>117</v>
      </c>
      <c r="D39" s="7">
        <v>6</v>
      </c>
      <c r="E39" s="144">
        <v>4</v>
      </c>
      <c r="F39" s="144">
        <v>0</v>
      </c>
      <c r="G39" s="144">
        <v>0</v>
      </c>
      <c r="H39" s="144">
        <v>0</v>
      </c>
      <c r="I39" s="7">
        <v>2</v>
      </c>
    </row>
    <row r="40" spans="2:9">
      <c r="B40" s="7">
        <f t="shared" si="0"/>
        <v>36</v>
      </c>
      <c r="C40" s="6" t="s">
        <v>143</v>
      </c>
      <c r="D40" s="7">
        <v>2</v>
      </c>
      <c r="E40" s="144">
        <v>2</v>
      </c>
      <c r="F40" s="144">
        <v>0</v>
      </c>
      <c r="G40" s="144">
        <v>0</v>
      </c>
      <c r="H40" s="144">
        <v>0</v>
      </c>
      <c r="I40" s="7">
        <v>0</v>
      </c>
    </row>
    <row r="41" spans="2:9">
      <c r="B41" s="7">
        <f t="shared" si="0"/>
        <v>37</v>
      </c>
      <c r="C41" s="6" t="s">
        <v>144</v>
      </c>
      <c r="D41" s="7">
        <v>1</v>
      </c>
      <c r="E41" s="144">
        <v>0</v>
      </c>
      <c r="F41" s="144">
        <v>0</v>
      </c>
      <c r="G41" s="144"/>
      <c r="H41" s="144">
        <v>0</v>
      </c>
      <c r="I41" s="7">
        <v>1</v>
      </c>
    </row>
    <row r="42" spans="2:9">
      <c r="B42" s="7">
        <f t="shared" si="0"/>
        <v>38</v>
      </c>
      <c r="C42" s="6" t="s">
        <v>101</v>
      </c>
      <c r="D42" s="7">
        <v>5</v>
      </c>
      <c r="E42" s="144">
        <v>5</v>
      </c>
      <c r="F42" s="144">
        <v>0</v>
      </c>
      <c r="G42" s="144">
        <v>0</v>
      </c>
      <c r="H42" s="144">
        <v>0</v>
      </c>
      <c r="I42" s="7">
        <v>0</v>
      </c>
    </row>
    <row r="43" spans="2:9">
      <c r="B43" s="7">
        <f t="shared" si="0"/>
        <v>39</v>
      </c>
      <c r="C43" s="6" t="s">
        <v>217</v>
      </c>
      <c r="D43" s="144">
        <v>3</v>
      </c>
      <c r="E43" s="144">
        <v>3</v>
      </c>
      <c r="F43" s="144">
        <v>0</v>
      </c>
      <c r="G43" s="144">
        <v>0</v>
      </c>
      <c r="H43" s="144">
        <v>0</v>
      </c>
      <c r="I43" s="7">
        <v>0</v>
      </c>
    </row>
    <row r="44" spans="2:9">
      <c r="B44" s="7">
        <f t="shared" si="0"/>
        <v>40</v>
      </c>
      <c r="C44" s="6" t="s">
        <v>199</v>
      </c>
      <c r="D44" s="144">
        <v>30</v>
      </c>
      <c r="E44" s="144">
        <v>30</v>
      </c>
      <c r="F44" s="144">
        <v>0</v>
      </c>
      <c r="G44" s="144">
        <v>0</v>
      </c>
      <c r="H44" s="144">
        <v>0</v>
      </c>
      <c r="I44" s="7">
        <v>0</v>
      </c>
    </row>
    <row r="45" spans="2:9">
      <c r="B45" s="7">
        <f t="shared" si="0"/>
        <v>41</v>
      </c>
      <c r="C45" s="6" t="s">
        <v>138</v>
      </c>
      <c r="D45" s="144">
        <v>1</v>
      </c>
      <c r="E45" s="144">
        <v>1</v>
      </c>
      <c r="F45" s="144">
        <v>0</v>
      </c>
      <c r="G45" s="144">
        <v>0</v>
      </c>
      <c r="H45" s="144">
        <v>0</v>
      </c>
      <c r="I45" s="7">
        <v>0</v>
      </c>
    </row>
    <row r="46" spans="2:9">
      <c r="B46" s="7">
        <f t="shared" si="0"/>
        <v>42</v>
      </c>
      <c r="C46" s="6" t="s">
        <v>115</v>
      </c>
      <c r="D46" s="144">
        <v>80</v>
      </c>
      <c r="E46" s="144">
        <v>80</v>
      </c>
      <c r="F46" s="144">
        <v>0</v>
      </c>
      <c r="G46" s="144">
        <v>0</v>
      </c>
      <c r="H46" s="144">
        <v>0</v>
      </c>
      <c r="I46" s="7">
        <v>0</v>
      </c>
    </row>
    <row r="47" spans="2:9">
      <c r="B47" s="7">
        <f t="shared" si="0"/>
        <v>43</v>
      </c>
      <c r="C47" s="6" t="s">
        <v>220</v>
      </c>
      <c r="D47" s="144">
        <v>2</v>
      </c>
      <c r="E47" s="144">
        <v>2</v>
      </c>
      <c r="F47" s="144">
        <v>0</v>
      </c>
      <c r="G47" s="144">
        <v>0</v>
      </c>
      <c r="H47" s="144">
        <v>0</v>
      </c>
      <c r="I47" s="7">
        <v>0</v>
      </c>
    </row>
    <row r="48" spans="2:9">
      <c r="B48" s="7">
        <f t="shared" si="0"/>
        <v>44</v>
      </c>
      <c r="C48" s="6" t="s">
        <v>77</v>
      </c>
      <c r="D48" s="144">
        <v>12</v>
      </c>
      <c r="E48" s="144">
        <v>12</v>
      </c>
      <c r="F48" s="144">
        <v>0</v>
      </c>
      <c r="G48" s="144">
        <v>0</v>
      </c>
      <c r="H48" s="144">
        <v>0</v>
      </c>
      <c r="I48" s="7">
        <v>0</v>
      </c>
    </row>
    <row r="49" spans="2:9">
      <c r="B49" s="7">
        <f t="shared" si="0"/>
        <v>45</v>
      </c>
      <c r="C49" s="6" t="s">
        <v>214</v>
      </c>
      <c r="D49" s="144">
        <v>3</v>
      </c>
      <c r="E49" s="144">
        <v>3</v>
      </c>
      <c r="F49" s="144">
        <v>0</v>
      </c>
      <c r="G49" s="144">
        <v>0</v>
      </c>
      <c r="H49" s="144">
        <v>0</v>
      </c>
      <c r="I49" s="7">
        <v>0</v>
      </c>
    </row>
    <row r="50" spans="2:9">
      <c r="B50" s="7">
        <f t="shared" si="0"/>
        <v>46</v>
      </c>
      <c r="C50" s="6" t="s">
        <v>481</v>
      </c>
      <c r="D50" s="144">
        <v>24</v>
      </c>
      <c r="E50" s="144">
        <v>24</v>
      </c>
      <c r="F50" s="144">
        <v>0</v>
      </c>
      <c r="G50" s="144">
        <v>0</v>
      </c>
      <c r="H50" s="144">
        <v>0</v>
      </c>
      <c r="I50" s="7">
        <v>0</v>
      </c>
    </row>
    <row r="51" spans="2:9">
      <c r="B51" s="7">
        <f t="shared" si="0"/>
        <v>47</v>
      </c>
      <c r="C51" s="6" t="s">
        <v>482</v>
      </c>
      <c r="D51" s="144">
        <v>1</v>
      </c>
      <c r="E51" s="144">
        <v>1</v>
      </c>
      <c r="F51" s="144">
        <v>0</v>
      </c>
      <c r="G51" s="144">
        <v>0</v>
      </c>
      <c r="H51" s="144">
        <v>0</v>
      </c>
      <c r="I51" s="7">
        <v>0</v>
      </c>
    </row>
    <row r="52" spans="2:9">
      <c r="B52" s="7">
        <f t="shared" si="0"/>
        <v>48</v>
      </c>
      <c r="C52" s="6" t="s">
        <v>223</v>
      </c>
      <c r="D52" s="144">
        <v>3</v>
      </c>
      <c r="E52" s="144">
        <v>3</v>
      </c>
      <c r="F52" s="144">
        <v>0</v>
      </c>
      <c r="G52" s="144">
        <v>0</v>
      </c>
      <c r="H52" s="144">
        <v>0</v>
      </c>
      <c r="I52" s="7">
        <v>0</v>
      </c>
    </row>
    <row r="53" spans="2:9">
      <c r="B53" s="7">
        <f t="shared" si="0"/>
        <v>49</v>
      </c>
      <c r="C53" s="6" t="s">
        <v>222</v>
      </c>
      <c r="D53" s="144">
        <v>2</v>
      </c>
      <c r="E53" s="144">
        <v>2</v>
      </c>
      <c r="F53" s="144">
        <v>0</v>
      </c>
      <c r="G53" s="144">
        <v>0</v>
      </c>
      <c r="H53" s="144">
        <v>0</v>
      </c>
      <c r="I53" s="7">
        <v>0</v>
      </c>
    </row>
    <row r="54" spans="2:9">
      <c r="B54" s="7">
        <f t="shared" si="0"/>
        <v>50</v>
      </c>
      <c r="C54" s="6" t="s">
        <v>128</v>
      </c>
      <c r="D54" s="144">
        <v>2</v>
      </c>
      <c r="E54" s="144">
        <v>2</v>
      </c>
      <c r="F54" s="144">
        <v>0</v>
      </c>
      <c r="G54" s="144">
        <v>0</v>
      </c>
      <c r="H54" s="144">
        <v>0</v>
      </c>
      <c r="I54" s="7">
        <v>0</v>
      </c>
    </row>
    <row r="55" spans="2:9">
      <c r="B55" s="7">
        <f t="shared" si="0"/>
        <v>51</v>
      </c>
      <c r="C55" s="6" t="s">
        <v>107</v>
      </c>
      <c r="D55" s="144">
        <v>267</v>
      </c>
      <c r="E55" s="144">
        <v>267</v>
      </c>
      <c r="F55" s="144">
        <v>0</v>
      </c>
      <c r="G55" s="144">
        <v>0</v>
      </c>
      <c r="H55" s="144">
        <v>0</v>
      </c>
      <c r="I55" s="7">
        <v>0</v>
      </c>
    </row>
    <row r="56" spans="2:9">
      <c r="B56" s="7">
        <f t="shared" si="0"/>
        <v>52</v>
      </c>
      <c r="C56" s="6" t="s">
        <v>221</v>
      </c>
      <c r="D56" s="144">
        <v>3</v>
      </c>
      <c r="E56" s="144">
        <v>3</v>
      </c>
      <c r="F56" s="144">
        <v>0</v>
      </c>
      <c r="G56" s="144">
        <v>0</v>
      </c>
      <c r="H56" s="144">
        <v>0</v>
      </c>
      <c r="I56" s="7">
        <v>0</v>
      </c>
    </row>
    <row r="57" spans="2:9">
      <c r="B57" s="255" t="s">
        <v>228</v>
      </c>
      <c r="C57" s="256"/>
      <c r="D57" s="152">
        <v>418</v>
      </c>
      <c r="E57" s="153">
        <v>379</v>
      </c>
      <c r="F57" s="153">
        <v>0</v>
      </c>
      <c r="G57" s="153">
        <v>12</v>
      </c>
      <c r="H57" s="153">
        <v>0</v>
      </c>
      <c r="I57" s="152">
        <v>14</v>
      </c>
    </row>
    <row r="58" spans="2:9" s="147" customFormat="1" ht="15.6">
      <c r="B58" s="254" t="s">
        <v>523</v>
      </c>
      <c r="C58" s="254"/>
      <c r="D58" s="254"/>
      <c r="E58" s="254"/>
      <c r="F58" s="254"/>
      <c r="G58" s="254"/>
      <c r="H58" s="254"/>
      <c r="I58" s="254"/>
    </row>
    <row r="59" spans="2:9">
      <c r="B59" s="7">
        <v>1</v>
      </c>
      <c r="C59" s="6" t="s">
        <v>172</v>
      </c>
      <c r="D59" s="7">
        <v>6</v>
      </c>
      <c r="E59" s="144">
        <v>6</v>
      </c>
      <c r="F59" s="144">
        <v>0</v>
      </c>
      <c r="G59" s="144">
        <v>0</v>
      </c>
      <c r="H59" s="144">
        <v>0</v>
      </c>
      <c r="I59" s="7">
        <v>0</v>
      </c>
    </row>
    <row r="60" spans="2:9">
      <c r="B60" s="7">
        <f>B59+1</f>
        <v>2</v>
      </c>
      <c r="C60" s="6" t="s">
        <v>65</v>
      </c>
      <c r="D60" s="7">
        <v>2</v>
      </c>
      <c r="E60" s="144">
        <v>2</v>
      </c>
      <c r="F60" s="144">
        <v>0</v>
      </c>
      <c r="G60" s="144">
        <v>0</v>
      </c>
      <c r="H60" s="144">
        <v>0</v>
      </c>
      <c r="I60" s="7">
        <v>0</v>
      </c>
    </row>
    <row r="61" spans="2:9">
      <c r="B61" s="7">
        <f t="shared" ref="B61:B97" si="1">B60+1</f>
        <v>3</v>
      </c>
      <c r="C61" s="6" t="s">
        <v>184</v>
      </c>
      <c r="D61" s="7">
        <v>6</v>
      </c>
      <c r="E61" s="144">
        <v>6</v>
      </c>
      <c r="F61" s="144">
        <v>0</v>
      </c>
      <c r="G61" s="144">
        <v>0</v>
      </c>
      <c r="H61" s="144">
        <v>0</v>
      </c>
      <c r="I61" s="7">
        <v>0</v>
      </c>
    </row>
    <row r="62" spans="2:9">
      <c r="B62" s="7">
        <f t="shared" si="1"/>
        <v>4</v>
      </c>
      <c r="C62" s="6" t="s">
        <v>185</v>
      </c>
      <c r="D62" s="7">
        <v>2</v>
      </c>
      <c r="E62" s="144">
        <v>1</v>
      </c>
      <c r="F62" s="144">
        <v>0</v>
      </c>
      <c r="G62" s="144">
        <v>0</v>
      </c>
      <c r="H62" s="144">
        <v>0</v>
      </c>
      <c r="I62" s="7">
        <v>1</v>
      </c>
    </row>
    <row r="63" spans="2:9">
      <c r="B63" s="7">
        <f t="shared" si="1"/>
        <v>5</v>
      </c>
      <c r="C63" s="6" t="s">
        <v>74</v>
      </c>
      <c r="D63" s="7">
        <v>3</v>
      </c>
      <c r="E63" s="144">
        <v>3</v>
      </c>
      <c r="F63" s="144">
        <v>0</v>
      </c>
      <c r="G63" s="144">
        <v>0</v>
      </c>
      <c r="H63" s="144">
        <v>0</v>
      </c>
      <c r="I63" s="7">
        <v>0</v>
      </c>
    </row>
    <row r="64" spans="2:9">
      <c r="B64" s="7">
        <f t="shared" si="1"/>
        <v>6</v>
      </c>
      <c r="C64" s="6" t="s">
        <v>175</v>
      </c>
      <c r="D64" s="7">
        <v>1</v>
      </c>
      <c r="E64" s="144">
        <v>1</v>
      </c>
      <c r="F64" s="144">
        <v>0</v>
      </c>
      <c r="G64" s="144">
        <v>0</v>
      </c>
      <c r="H64" s="144">
        <v>0</v>
      </c>
      <c r="I64" s="7">
        <v>0</v>
      </c>
    </row>
    <row r="65" spans="2:9">
      <c r="B65" s="7">
        <f t="shared" si="1"/>
        <v>7</v>
      </c>
      <c r="C65" s="6" t="s">
        <v>183</v>
      </c>
      <c r="D65" s="7">
        <v>2</v>
      </c>
      <c r="E65" s="144">
        <v>2</v>
      </c>
      <c r="F65" s="144">
        <v>0</v>
      </c>
      <c r="G65" s="144">
        <v>0</v>
      </c>
      <c r="H65" s="144">
        <v>0</v>
      </c>
      <c r="I65" s="7">
        <v>0</v>
      </c>
    </row>
    <row r="66" spans="2:9">
      <c r="B66" s="7">
        <f t="shared" si="1"/>
        <v>8</v>
      </c>
      <c r="C66" s="6" t="s">
        <v>72</v>
      </c>
      <c r="D66" s="7">
        <v>3</v>
      </c>
      <c r="E66" s="144">
        <v>3</v>
      </c>
      <c r="F66" s="144">
        <v>0</v>
      </c>
      <c r="G66" s="144">
        <v>0</v>
      </c>
      <c r="H66" s="144">
        <v>0</v>
      </c>
      <c r="I66" s="7">
        <v>0</v>
      </c>
    </row>
    <row r="67" spans="2:9">
      <c r="B67" s="7">
        <f t="shared" si="1"/>
        <v>9</v>
      </c>
      <c r="C67" s="6" t="s">
        <v>70</v>
      </c>
      <c r="D67" s="7">
        <v>6</v>
      </c>
      <c r="E67" s="144">
        <v>6</v>
      </c>
      <c r="F67" s="144">
        <v>0</v>
      </c>
      <c r="G67" s="144">
        <v>0</v>
      </c>
      <c r="H67" s="144">
        <v>0</v>
      </c>
      <c r="I67" s="7">
        <v>0</v>
      </c>
    </row>
    <row r="68" spans="2:9">
      <c r="B68" s="7">
        <f t="shared" si="1"/>
        <v>10</v>
      </c>
      <c r="C68" s="6" t="s">
        <v>161</v>
      </c>
      <c r="D68" s="7">
        <v>5</v>
      </c>
      <c r="E68" s="144">
        <v>5</v>
      </c>
      <c r="F68" s="144">
        <v>0</v>
      </c>
      <c r="G68" s="144">
        <v>0</v>
      </c>
      <c r="H68" s="144">
        <v>0</v>
      </c>
      <c r="I68" s="7">
        <v>0</v>
      </c>
    </row>
    <row r="69" spans="2:9">
      <c r="B69" s="7">
        <f t="shared" si="1"/>
        <v>11</v>
      </c>
      <c r="C69" s="6" t="s">
        <v>73</v>
      </c>
      <c r="D69" s="7">
        <v>3</v>
      </c>
      <c r="E69" s="144">
        <v>3</v>
      </c>
      <c r="F69" s="144">
        <v>0</v>
      </c>
      <c r="G69" s="144">
        <v>0</v>
      </c>
      <c r="H69" s="144">
        <v>0</v>
      </c>
      <c r="I69" s="7">
        <v>0</v>
      </c>
    </row>
    <row r="70" spans="2:9">
      <c r="B70" s="7">
        <f t="shared" si="1"/>
        <v>12</v>
      </c>
      <c r="C70" s="6" t="s">
        <v>147</v>
      </c>
      <c r="D70" s="7">
        <v>1</v>
      </c>
      <c r="E70" s="144">
        <v>1</v>
      </c>
      <c r="F70" s="144">
        <v>0</v>
      </c>
      <c r="G70" s="144">
        <v>0</v>
      </c>
      <c r="H70" s="144">
        <v>0</v>
      </c>
      <c r="I70" s="7">
        <v>0</v>
      </c>
    </row>
    <row r="71" spans="2:9">
      <c r="B71" s="7">
        <f t="shared" si="1"/>
        <v>13</v>
      </c>
      <c r="C71" s="6" t="s">
        <v>139</v>
      </c>
      <c r="D71" s="7">
        <v>1</v>
      </c>
      <c r="E71" s="144">
        <v>1</v>
      </c>
      <c r="F71" s="144">
        <v>0</v>
      </c>
      <c r="G71" s="144">
        <v>0</v>
      </c>
      <c r="H71" s="144">
        <v>0</v>
      </c>
      <c r="I71" s="7">
        <v>0</v>
      </c>
    </row>
    <row r="72" spans="2:9">
      <c r="B72" s="7">
        <f t="shared" si="1"/>
        <v>14</v>
      </c>
      <c r="C72" s="6" t="s">
        <v>180</v>
      </c>
      <c r="D72" s="7">
        <v>3</v>
      </c>
      <c r="E72" s="144">
        <v>3</v>
      </c>
      <c r="F72" s="144">
        <v>0</v>
      </c>
      <c r="G72" s="144">
        <v>0</v>
      </c>
      <c r="H72" s="144">
        <v>0</v>
      </c>
      <c r="I72" s="7">
        <v>0</v>
      </c>
    </row>
    <row r="73" spans="2:9">
      <c r="B73" s="7">
        <f t="shared" si="1"/>
        <v>15</v>
      </c>
      <c r="C73" s="6" t="s">
        <v>99</v>
      </c>
      <c r="D73" s="7">
        <v>30</v>
      </c>
      <c r="E73" s="144">
        <v>33</v>
      </c>
      <c r="F73" s="144">
        <v>0</v>
      </c>
      <c r="G73" s="144">
        <v>0</v>
      </c>
      <c r="H73" s="144">
        <v>0</v>
      </c>
      <c r="I73" s="7">
        <v>0</v>
      </c>
    </row>
    <row r="74" spans="2:9">
      <c r="B74" s="7">
        <f t="shared" si="1"/>
        <v>16</v>
      </c>
      <c r="C74" s="6" t="s">
        <v>76</v>
      </c>
      <c r="D74" s="7">
        <v>4</v>
      </c>
      <c r="E74" s="144">
        <v>4</v>
      </c>
      <c r="F74" s="144">
        <v>0</v>
      </c>
      <c r="G74" s="144">
        <v>0</v>
      </c>
      <c r="H74" s="144">
        <v>0</v>
      </c>
      <c r="I74" s="7">
        <v>0</v>
      </c>
    </row>
    <row r="75" spans="2:9">
      <c r="B75" s="7">
        <f t="shared" si="1"/>
        <v>17</v>
      </c>
      <c r="C75" s="6" t="s">
        <v>188</v>
      </c>
      <c r="D75" s="7">
        <v>1</v>
      </c>
      <c r="E75" s="144">
        <v>1</v>
      </c>
      <c r="F75" s="144">
        <v>0</v>
      </c>
      <c r="G75" s="144">
        <v>0</v>
      </c>
      <c r="H75" s="144">
        <v>0</v>
      </c>
      <c r="I75" s="7">
        <v>0</v>
      </c>
    </row>
    <row r="76" spans="2:9">
      <c r="B76" s="7">
        <f t="shared" si="1"/>
        <v>18</v>
      </c>
      <c r="C76" s="6" t="s">
        <v>75</v>
      </c>
      <c r="D76" s="7">
        <v>5</v>
      </c>
      <c r="E76" s="144">
        <v>5</v>
      </c>
      <c r="F76" s="144">
        <v>0</v>
      </c>
      <c r="G76" s="144">
        <v>0</v>
      </c>
      <c r="H76" s="144">
        <v>0</v>
      </c>
      <c r="I76" s="7">
        <v>0</v>
      </c>
    </row>
    <row r="77" spans="2:9">
      <c r="B77" s="7">
        <f t="shared" si="1"/>
        <v>19</v>
      </c>
      <c r="C77" s="6" t="s">
        <v>176</v>
      </c>
      <c r="D77" s="7">
        <v>3</v>
      </c>
      <c r="E77" s="144">
        <v>3</v>
      </c>
      <c r="F77" s="144">
        <v>0</v>
      </c>
      <c r="G77" s="144">
        <v>0</v>
      </c>
      <c r="H77" s="144">
        <v>0</v>
      </c>
      <c r="I77" s="7">
        <v>0</v>
      </c>
    </row>
    <row r="78" spans="2:9">
      <c r="B78" s="7">
        <f t="shared" si="1"/>
        <v>20</v>
      </c>
      <c r="C78" s="6" t="s">
        <v>174</v>
      </c>
      <c r="D78" s="7">
        <v>1</v>
      </c>
      <c r="E78" s="144">
        <v>1</v>
      </c>
      <c r="F78" s="144">
        <v>0</v>
      </c>
      <c r="G78" s="144">
        <v>0</v>
      </c>
      <c r="H78" s="144">
        <v>0</v>
      </c>
      <c r="I78" s="7">
        <v>0</v>
      </c>
    </row>
    <row r="79" spans="2:9">
      <c r="B79" s="7">
        <f t="shared" si="1"/>
        <v>21</v>
      </c>
      <c r="C79" s="6" t="s">
        <v>170</v>
      </c>
      <c r="D79" s="7">
        <v>1</v>
      </c>
      <c r="E79" s="144">
        <v>1</v>
      </c>
      <c r="F79" s="144">
        <v>0</v>
      </c>
      <c r="G79" s="144">
        <v>0</v>
      </c>
      <c r="H79" s="144">
        <v>0</v>
      </c>
      <c r="I79" s="7">
        <v>0</v>
      </c>
    </row>
    <row r="80" spans="2:9">
      <c r="B80" s="7">
        <f t="shared" si="1"/>
        <v>22</v>
      </c>
      <c r="C80" s="6" t="s">
        <v>193</v>
      </c>
      <c r="D80" s="7">
        <v>1</v>
      </c>
      <c r="E80" s="144">
        <v>1</v>
      </c>
      <c r="F80" s="144">
        <v>0</v>
      </c>
      <c r="G80" s="144">
        <v>0</v>
      </c>
      <c r="H80" s="144">
        <v>0</v>
      </c>
      <c r="I80" s="7">
        <v>0</v>
      </c>
    </row>
    <row r="81" spans="2:9">
      <c r="B81" s="7">
        <f t="shared" si="1"/>
        <v>23</v>
      </c>
      <c r="C81" s="6" t="s">
        <v>186</v>
      </c>
      <c r="D81" s="7">
        <v>1</v>
      </c>
      <c r="E81" s="144">
        <v>0</v>
      </c>
      <c r="F81" s="144">
        <v>0</v>
      </c>
      <c r="G81" s="144">
        <v>0</v>
      </c>
      <c r="H81" s="144">
        <v>0</v>
      </c>
      <c r="I81" s="7">
        <v>0</v>
      </c>
    </row>
    <row r="82" spans="2:9">
      <c r="B82" s="7">
        <f t="shared" si="1"/>
        <v>24</v>
      </c>
      <c r="C82" s="6" t="s">
        <v>179</v>
      </c>
      <c r="D82" s="7">
        <v>3</v>
      </c>
      <c r="E82" s="144">
        <v>3</v>
      </c>
      <c r="F82" s="144">
        <v>0</v>
      </c>
      <c r="G82" s="144">
        <v>0</v>
      </c>
      <c r="H82" s="144">
        <v>0</v>
      </c>
      <c r="I82" s="7">
        <v>0</v>
      </c>
    </row>
    <row r="83" spans="2:9">
      <c r="B83" s="7">
        <f t="shared" si="1"/>
        <v>25</v>
      </c>
      <c r="C83" s="6" t="s">
        <v>165</v>
      </c>
      <c r="D83" s="7">
        <v>4</v>
      </c>
      <c r="E83" s="144">
        <v>4</v>
      </c>
      <c r="F83" s="144">
        <v>0</v>
      </c>
      <c r="G83" s="144">
        <v>0</v>
      </c>
      <c r="H83" s="144">
        <v>0</v>
      </c>
      <c r="I83" s="7">
        <v>0</v>
      </c>
    </row>
    <row r="84" spans="2:9">
      <c r="B84" s="7">
        <f t="shared" si="1"/>
        <v>26</v>
      </c>
      <c r="C84" s="6" t="s">
        <v>168</v>
      </c>
      <c r="D84" s="7">
        <v>1</v>
      </c>
      <c r="E84" s="144">
        <v>1</v>
      </c>
      <c r="F84" s="144">
        <v>0</v>
      </c>
      <c r="G84" s="144">
        <v>0</v>
      </c>
      <c r="H84" s="144">
        <v>0</v>
      </c>
      <c r="I84" s="7">
        <v>0</v>
      </c>
    </row>
    <row r="85" spans="2:9">
      <c r="B85" s="7">
        <f t="shared" si="1"/>
        <v>27</v>
      </c>
      <c r="C85" s="6" t="s">
        <v>181</v>
      </c>
      <c r="D85" s="7">
        <v>3</v>
      </c>
      <c r="E85" s="144">
        <v>3</v>
      </c>
      <c r="F85" s="144">
        <v>0</v>
      </c>
      <c r="G85" s="144">
        <v>0</v>
      </c>
      <c r="H85" s="144">
        <v>0</v>
      </c>
      <c r="I85" s="7">
        <v>0</v>
      </c>
    </row>
    <row r="86" spans="2:9">
      <c r="B86" s="7">
        <f t="shared" si="1"/>
        <v>28</v>
      </c>
      <c r="C86" s="6" t="s">
        <v>64</v>
      </c>
      <c r="D86" s="7">
        <v>95</v>
      </c>
      <c r="E86" s="144">
        <v>49</v>
      </c>
      <c r="F86" s="144">
        <v>0</v>
      </c>
      <c r="G86" s="144">
        <v>0</v>
      </c>
      <c r="H86" s="144">
        <v>0</v>
      </c>
      <c r="I86" s="7">
        <v>0</v>
      </c>
    </row>
    <row r="87" spans="2:9">
      <c r="B87" s="7">
        <f t="shared" si="1"/>
        <v>29</v>
      </c>
      <c r="C87" s="6" t="s">
        <v>162</v>
      </c>
      <c r="D87" s="7">
        <v>20</v>
      </c>
      <c r="E87" s="144">
        <v>20</v>
      </c>
      <c r="F87" s="144">
        <v>0</v>
      </c>
      <c r="G87" s="144">
        <v>0</v>
      </c>
      <c r="H87" s="144">
        <v>0</v>
      </c>
      <c r="I87" s="7">
        <v>0</v>
      </c>
    </row>
    <row r="88" spans="2:9">
      <c r="B88" s="7">
        <f t="shared" si="1"/>
        <v>30</v>
      </c>
      <c r="C88" s="6" t="s">
        <v>61</v>
      </c>
      <c r="D88" s="7">
        <v>4</v>
      </c>
      <c r="E88" s="144">
        <v>3</v>
      </c>
      <c r="F88" s="144">
        <v>0</v>
      </c>
      <c r="G88" s="144">
        <v>0</v>
      </c>
      <c r="H88" s="144">
        <v>0</v>
      </c>
      <c r="I88" s="7">
        <v>1</v>
      </c>
    </row>
    <row r="89" spans="2:9">
      <c r="B89" s="7">
        <f t="shared" si="1"/>
        <v>31</v>
      </c>
      <c r="C89" s="6" t="s">
        <v>195</v>
      </c>
      <c r="D89" s="7">
        <v>1</v>
      </c>
      <c r="E89" s="144">
        <v>0</v>
      </c>
      <c r="F89" s="144">
        <v>0</v>
      </c>
      <c r="G89" s="144">
        <v>0</v>
      </c>
      <c r="H89" s="144">
        <v>0</v>
      </c>
      <c r="I89" s="7">
        <v>0</v>
      </c>
    </row>
    <row r="90" spans="2:9">
      <c r="B90" s="7">
        <f t="shared" si="1"/>
        <v>32</v>
      </c>
      <c r="C90" s="6" t="s">
        <v>178</v>
      </c>
      <c r="D90" s="7">
        <v>2</v>
      </c>
      <c r="E90" s="144">
        <v>2</v>
      </c>
      <c r="F90" s="144">
        <v>0</v>
      </c>
      <c r="G90" s="144">
        <v>0</v>
      </c>
      <c r="H90" s="144">
        <v>0</v>
      </c>
      <c r="I90" s="7">
        <v>0</v>
      </c>
    </row>
    <row r="91" spans="2:9">
      <c r="B91" s="7">
        <f t="shared" si="1"/>
        <v>33</v>
      </c>
      <c r="C91" s="6" t="s">
        <v>194</v>
      </c>
      <c r="D91" s="7">
        <v>1</v>
      </c>
      <c r="E91" s="144">
        <v>1</v>
      </c>
      <c r="F91" s="144">
        <v>0</v>
      </c>
      <c r="G91" s="144">
        <v>0</v>
      </c>
      <c r="H91" s="144">
        <v>0</v>
      </c>
      <c r="I91" s="7">
        <v>0</v>
      </c>
    </row>
    <row r="92" spans="2:9">
      <c r="B92" s="7">
        <f t="shared" si="1"/>
        <v>34</v>
      </c>
      <c r="C92" s="6" t="s">
        <v>169</v>
      </c>
      <c r="D92" s="7">
        <v>1</v>
      </c>
      <c r="E92" s="144">
        <v>1</v>
      </c>
      <c r="F92" s="144">
        <v>0</v>
      </c>
      <c r="G92" s="144">
        <v>0</v>
      </c>
      <c r="H92" s="144">
        <v>0</v>
      </c>
      <c r="I92" s="7">
        <v>0</v>
      </c>
    </row>
    <row r="93" spans="2:9">
      <c r="B93" s="7">
        <f t="shared" si="1"/>
        <v>35</v>
      </c>
      <c r="C93" s="6" t="s">
        <v>166</v>
      </c>
      <c r="D93" s="7">
        <v>4</v>
      </c>
      <c r="E93" s="144">
        <v>4</v>
      </c>
      <c r="F93" s="144">
        <v>0</v>
      </c>
      <c r="G93" s="144">
        <v>0</v>
      </c>
      <c r="H93" s="144">
        <v>0</v>
      </c>
      <c r="I93" s="7">
        <v>0</v>
      </c>
    </row>
    <row r="94" spans="2:9">
      <c r="B94" s="7">
        <f t="shared" si="1"/>
        <v>36</v>
      </c>
      <c r="C94" s="6" t="s">
        <v>167</v>
      </c>
      <c r="D94" s="7">
        <v>1</v>
      </c>
      <c r="E94" s="144">
        <v>1</v>
      </c>
      <c r="F94" s="144">
        <v>0</v>
      </c>
      <c r="G94" s="144">
        <v>0</v>
      </c>
      <c r="H94" s="144">
        <v>0</v>
      </c>
      <c r="I94" s="7">
        <v>0</v>
      </c>
    </row>
    <row r="95" spans="2:9">
      <c r="B95" s="7">
        <f t="shared" si="1"/>
        <v>37</v>
      </c>
      <c r="C95" s="6" t="s">
        <v>173</v>
      </c>
      <c r="D95" s="7">
        <v>4</v>
      </c>
      <c r="E95" s="144">
        <v>3</v>
      </c>
      <c r="F95" s="144">
        <v>0</v>
      </c>
      <c r="G95" s="144">
        <v>0</v>
      </c>
      <c r="H95" s="144">
        <v>0</v>
      </c>
      <c r="I95" s="7">
        <v>0</v>
      </c>
    </row>
    <row r="96" spans="2:9">
      <c r="B96" s="7">
        <f t="shared" si="1"/>
        <v>38</v>
      </c>
      <c r="C96" s="6" t="s">
        <v>171</v>
      </c>
      <c r="D96" s="7">
        <v>1</v>
      </c>
      <c r="E96" s="144">
        <v>1</v>
      </c>
      <c r="F96" s="144">
        <v>0</v>
      </c>
      <c r="G96" s="144">
        <v>0</v>
      </c>
      <c r="H96" s="144">
        <v>0</v>
      </c>
      <c r="I96" s="7">
        <v>0</v>
      </c>
    </row>
    <row r="97" spans="2:9">
      <c r="B97" s="7">
        <f t="shared" si="1"/>
        <v>39</v>
      </c>
      <c r="C97" s="6" t="s">
        <v>187</v>
      </c>
      <c r="D97" s="7">
        <v>2</v>
      </c>
      <c r="E97" s="144">
        <v>2</v>
      </c>
      <c r="F97" s="144">
        <v>0</v>
      </c>
      <c r="G97" s="144">
        <v>0</v>
      </c>
      <c r="H97" s="144">
        <v>0</v>
      </c>
      <c r="I97" s="7">
        <v>0</v>
      </c>
    </row>
    <row r="98" spans="2:9">
      <c r="B98" s="257" t="s">
        <v>228</v>
      </c>
      <c r="C98" s="257"/>
      <c r="D98" s="154">
        <v>238</v>
      </c>
      <c r="E98" s="121">
        <v>190</v>
      </c>
      <c r="F98" s="121">
        <v>0</v>
      </c>
      <c r="G98" s="121">
        <v>0</v>
      </c>
      <c r="H98" s="121">
        <v>0</v>
      </c>
      <c r="I98" s="154">
        <v>2</v>
      </c>
    </row>
    <row r="99" spans="2:9" s="147" customFormat="1" ht="15.6">
      <c r="B99" s="254" t="s">
        <v>524</v>
      </c>
      <c r="C99" s="254"/>
      <c r="D99" s="254"/>
      <c r="E99" s="254"/>
      <c r="F99" s="254"/>
      <c r="G99" s="254"/>
      <c r="H99" s="254"/>
      <c r="I99" s="254"/>
    </row>
    <row r="100" spans="2:9">
      <c r="B100" s="7">
        <v>1</v>
      </c>
      <c r="C100" s="6" t="s">
        <v>65</v>
      </c>
      <c r="D100" s="7">
        <v>91</v>
      </c>
      <c r="E100" s="144">
        <v>91</v>
      </c>
      <c r="F100" s="144">
        <v>0</v>
      </c>
      <c r="G100" s="144">
        <v>0</v>
      </c>
      <c r="H100" s="144">
        <v>0</v>
      </c>
      <c r="I100" s="7">
        <v>0</v>
      </c>
    </row>
    <row r="101" spans="2:9">
      <c r="B101" s="7">
        <f>B100+1</f>
        <v>2</v>
      </c>
      <c r="C101" s="6" t="s">
        <v>74</v>
      </c>
      <c r="D101" s="7">
        <v>45</v>
      </c>
      <c r="E101" s="144">
        <v>45</v>
      </c>
      <c r="F101" s="144">
        <v>0</v>
      </c>
      <c r="G101" s="144">
        <v>0</v>
      </c>
      <c r="H101" s="144">
        <v>0</v>
      </c>
      <c r="I101" s="7">
        <v>0</v>
      </c>
    </row>
    <row r="102" spans="2:9">
      <c r="B102" s="7">
        <f t="shared" ref="B102:B113" si="2">B101+1</f>
        <v>3</v>
      </c>
      <c r="C102" s="6" t="s">
        <v>54</v>
      </c>
      <c r="D102" s="7">
        <v>88</v>
      </c>
      <c r="E102" s="144">
        <v>88</v>
      </c>
      <c r="F102" s="144">
        <v>0</v>
      </c>
      <c r="G102" s="144">
        <v>0</v>
      </c>
      <c r="H102" s="144">
        <v>0</v>
      </c>
      <c r="I102" s="7">
        <v>0</v>
      </c>
    </row>
    <row r="103" spans="2:9">
      <c r="B103" s="7">
        <f t="shared" si="2"/>
        <v>4</v>
      </c>
      <c r="C103" s="6" t="s">
        <v>72</v>
      </c>
      <c r="D103" s="7">
        <v>23</v>
      </c>
      <c r="E103" s="144">
        <v>23</v>
      </c>
      <c r="F103" s="144">
        <v>0</v>
      </c>
      <c r="G103" s="144">
        <v>0</v>
      </c>
      <c r="H103" s="144">
        <v>0</v>
      </c>
      <c r="I103" s="7">
        <v>0</v>
      </c>
    </row>
    <row r="104" spans="2:9">
      <c r="B104" s="7">
        <f t="shared" si="2"/>
        <v>5</v>
      </c>
      <c r="C104" s="6" t="s">
        <v>70</v>
      </c>
      <c r="D104" s="7">
        <v>48</v>
      </c>
      <c r="E104" s="144">
        <v>47</v>
      </c>
      <c r="F104" s="144">
        <v>0</v>
      </c>
      <c r="G104" s="144">
        <v>0</v>
      </c>
      <c r="H104" s="144">
        <v>0</v>
      </c>
      <c r="I104" s="7">
        <v>0</v>
      </c>
    </row>
    <row r="105" spans="2:9">
      <c r="B105" s="7">
        <f t="shared" si="2"/>
        <v>6</v>
      </c>
      <c r="C105" s="6" t="s">
        <v>59</v>
      </c>
      <c r="D105" s="7">
        <v>91</v>
      </c>
      <c r="E105" s="144">
        <v>88</v>
      </c>
      <c r="F105" s="144">
        <v>0</v>
      </c>
      <c r="G105" s="144">
        <v>0</v>
      </c>
      <c r="H105" s="144">
        <v>0</v>
      </c>
      <c r="I105" s="7">
        <v>0</v>
      </c>
    </row>
    <row r="106" spans="2:9">
      <c r="B106" s="7">
        <f t="shared" si="2"/>
        <v>7</v>
      </c>
      <c r="C106" s="6" t="s">
        <v>73</v>
      </c>
      <c r="D106" s="7">
        <v>7</v>
      </c>
      <c r="E106" s="144">
        <v>5</v>
      </c>
      <c r="F106" s="144">
        <v>0</v>
      </c>
      <c r="G106" s="144">
        <v>0</v>
      </c>
      <c r="H106" s="144">
        <v>0</v>
      </c>
      <c r="I106" s="7">
        <v>0</v>
      </c>
    </row>
    <row r="107" spans="2:9">
      <c r="B107" s="7">
        <f t="shared" si="2"/>
        <v>8</v>
      </c>
      <c r="C107" s="6" t="s">
        <v>79</v>
      </c>
      <c r="D107" s="7">
        <v>32</v>
      </c>
      <c r="E107" s="144">
        <v>32</v>
      </c>
      <c r="F107" s="144">
        <v>0</v>
      </c>
      <c r="G107" s="144">
        <v>0</v>
      </c>
      <c r="H107" s="144">
        <v>1</v>
      </c>
      <c r="I107" s="7">
        <v>1</v>
      </c>
    </row>
    <row r="108" spans="2:9">
      <c r="B108" s="7">
        <f t="shared" si="2"/>
        <v>9</v>
      </c>
      <c r="C108" s="6" t="s">
        <v>69</v>
      </c>
      <c r="D108" s="7">
        <v>11</v>
      </c>
      <c r="E108" s="144">
        <v>10</v>
      </c>
      <c r="F108" s="144">
        <v>0</v>
      </c>
      <c r="G108" s="144">
        <v>0</v>
      </c>
      <c r="H108" s="144">
        <v>0</v>
      </c>
      <c r="I108" s="7">
        <v>0</v>
      </c>
    </row>
    <row r="109" spans="2:9">
      <c r="B109" s="7">
        <f t="shared" si="2"/>
        <v>10</v>
      </c>
      <c r="C109" s="6" t="s">
        <v>76</v>
      </c>
      <c r="D109" s="7">
        <v>57</v>
      </c>
      <c r="E109" s="144">
        <v>55</v>
      </c>
      <c r="F109" s="144">
        <v>0</v>
      </c>
      <c r="G109" s="144">
        <v>0</v>
      </c>
      <c r="H109" s="144">
        <v>2</v>
      </c>
      <c r="I109" s="7">
        <v>1</v>
      </c>
    </row>
    <row r="110" spans="2:9">
      <c r="B110" s="7">
        <f t="shared" si="2"/>
        <v>11</v>
      </c>
      <c r="C110" s="6" t="s">
        <v>75</v>
      </c>
      <c r="D110" s="7">
        <v>45</v>
      </c>
      <c r="E110" s="144">
        <v>46</v>
      </c>
      <c r="F110" s="144">
        <v>0</v>
      </c>
      <c r="G110" s="144">
        <v>0</v>
      </c>
      <c r="H110" s="144">
        <v>0</v>
      </c>
      <c r="I110" s="7">
        <v>1</v>
      </c>
    </row>
    <row r="111" spans="2:9">
      <c r="B111" s="7">
        <f t="shared" si="2"/>
        <v>12</v>
      </c>
      <c r="C111" s="6" t="s">
        <v>68</v>
      </c>
      <c r="D111" s="7">
        <v>46</v>
      </c>
      <c r="E111" s="144">
        <v>44</v>
      </c>
      <c r="F111" s="144">
        <v>0</v>
      </c>
      <c r="G111" s="144">
        <v>0</v>
      </c>
      <c r="H111" s="144">
        <v>0</v>
      </c>
      <c r="I111" s="7">
        <v>2</v>
      </c>
    </row>
    <row r="112" spans="2:9">
      <c r="B112" s="7">
        <f t="shared" si="2"/>
        <v>13</v>
      </c>
      <c r="C112" s="6" t="s">
        <v>64</v>
      </c>
      <c r="D112" s="7">
        <v>40</v>
      </c>
      <c r="E112" s="144">
        <v>88</v>
      </c>
      <c r="F112" s="144">
        <v>0</v>
      </c>
      <c r="G112" s="144">
        <v>0</v>
      </c>
      <c r="H112" s="144">
        <v>0</v>
      </c>
      <c r="I112" s="7">
        <v>0</v>
      </c>
    </row>
    <row r="113" spans="2:9">
      <c r="B113" s="7">
        <f t="shared" si="2"/>
        <v>14</v>
      </c>
      <c r="C113" s="6" t="s">
        <v>61</v>
      </c>
      <c r="D113" s="7">
        <v>40</v>
      </c>
      <c r="E113" s="144">
        <v>88</v>
      </c>
      <c r="F113" s="144">
        <v>0</v>
      </c>
      <c r="G113" s="144">
        <v>0</v>
      </c>
      <c r="H113" s="144">
        <v>0</v>
      </c>
      <c r="I113" s="7">
        <v>0</v>
      </c>
    </row>
    <row r="114" spans="2:9">
      <c r="B114" s="255" t="s">
        <v>228</v>
      </c>
      <c r="C114" s="256"/>
      <c r="D114" s="154">
        <v>664</v>
      </c>
      <c r="E114" s="121">
        <v>750</v>
      </c>
      <c r="F114" s="121">
        <v>0</v>
      </c>
      <c r="G114" s="121">
        <v>0</v>
      </c>
      <c r="H114" s="121">
        <v>3</v>
      </c>
      <c r="I114" s="154">
        <v>5</v>
      </c>
    </row>
    <row r="115" spans="2:9" s="147" customFormat="1" ht="15.6">
      <c r="B115" s="254" t="s">
        <v>525</v>
      </c>
      <c r="C115" s="254"/>
      <c r="D115" s="254"/>
      <c r="E115" s="254"/>
      <c r="F115" s="254"/>
      <c r="G115" s="254"/>
      <c r="H115" s="254"/>
      <c r="I115" s="254"/>
    </row>
    <row r="116" spans="2:9">
      <c r="B116" s="7">
        <v>1</v>
      </c>
      <c r="C116" s="6" t="s">
        <v>155</v>
      </c>
      <c r="D116" s="7">
        <v>4</v>
      </c>
      <c r="E116" s="144">
        <v>2</v>
      </c>
      <c r="F116" s="144">
        <v>0</v>
      </c>
      <c r="G116" s="144">
        <v>0</v>
      </c>
      <c r="H116" s="144">
        <v>1</v>
      </c>
      <c r="I116" s="7">
        <v>2</v>
      </c>
    </row>
    <row r="117" spans="2:9">
      <c r="B117" s="7">
        <f>B116+1</f>
        <v>2</v>
      </c>
      <c r="C117" s="6" t="s">
        <v>156</v>
      </c>
      <c r="D117" s="7">
        <v>15</v>
      </c>
      <c r="E117" s="144">
        <v>15</v>
      </c>
      <c r="F117" s="144">
        <v>0</v>
      </c>
      <c r="G117" s="144">
        <v>0</v>
      </c>
      <c r="H117" s="144">
        <v>0</v>
      </c>
      <c r="I117" s="7">
        <v>0</v>
      </c>
    </row>
    <row r="118" spans="2:9">
      <c r="B118" s="7">
        <f t="shared" ref="B118:B122" si="3">B117+1</f>
        <v>3</v>
      </c>
      <c r="C118" s="6" t="s">
        <v>157</v>
      </c>
      <c r="D118" s="7">
        <v>4</v>
      </c>
      <c r="E118" s="144">
        <v>4</v>
      </c>
      <c r="F118" s="144">
        <v>0</v>
      </c>
      <c r="G118" s="144">
        <v>0</v>
      </c>
      <c r="H118" s="144">
        <v>0</v>
      </c>
      <c r="I118" s="7">
        <v>0</v>
      </c>
    </row>
    <row r="119" spans="2:9">
      <c r="B119" s="7">
        <f t="shared" si="3"/>
        <v>4</v>
      </c>
      <c r="C119" s="6" t="s">
        <v>152</v>
      </c>
      <c r="D119" s="7">
        <v>1</v>
      </c>
      <c r="E119" s="144">
        <v>1</v>
      </c>
      <c r="F119" s="144">
        <v>0</v>
      </c>
      <c r="G119" s="144">
        <v>0</v>
      </c>
      <c r="H119" s="144">
        <v>0</v>
      </c>
      <c r="I119" s="7">
        <v>0</v>
      </c>
    </row>
    <row r="120" spans="2:9">
      <c r="B120" s="7">
        <f t="shared" si="3"/>
        <v>5</v>
      </c>
      <c r="C120" s="6" t="s">
        <v>64</v>
      </c>
      <c r="D120" s="7">
        <v>29</v>
      </c>
      <c r="E120" s="144">
        <v>0</v>
      </c>
      <c r="F120" s="144">
        <v>0</v>
      </c>
      <c r="G120" s="144">
        <v>0</v>
      </c>
      <c r="H120" s="144">
        <v>0</v>
      </c>
      <c r="I120" s="7">
        <v>0</v>
      </c>
    </row>
    <row r="121" spans="2:9">
      <c r="B121" s="7">
        <f t="shared" si="3"/>
        <v>6</v>
      </c>
      <c r="C121" s="6" t="s">
        <v>61</v>
      </c>
      <c r="D121" s="7">
        <v>37</v>
      </c>
      <c r="E121" s="144">
        <v>0</v>
      </c>
      <c r="F121" s="144">
        <v>0</v>
      </c>
      <c r="G121" s="144">
        <v>0</v>
      </c>
      <c r="H121" s="144">
        <v>0</v>
      </c>
      <c r="I121" s="7">
        <v>0</v>
      </c>
    </row>
    <row r="122" spans="2:9">
      <c r="B122" s="7">
        <f t="shared" si="3"/>
        <v>7</v>
      </c>
      <c r="C122" s="6" t="s">
        <v>158</v>
      </c>
      <c r="D122" s="7">
        <v>2</v>
      </c>
      <c r="E122" s="144">
        <v>2</v>
      </c>
      <c r="F122" s="144">
        <v>0</v>
      </c>
      <c r="G122" s="144">
        <v>0</v>
      </c>
      <c r="H122" s="144">
        <v>0</v>
      </c>
      <c r="I122" s="7">
        <v>0</v>
      </c>
    </row>
    <row r="123" spans="2:9">
      <c r="B123" s="255" t="s">
        <v>228</v>
      </c>
      <c r="C123" s="256"/>
      <c r="D123" s="152">
        <v>92</v>
      </c>
      <c r="E123" s="153">
        <v>24</v>
      </c>
      <c r="F123" s="153">
        <v>0</v>
      </c>
      <c r="G123" s="153">
        <v>0</v>
      </c>
      <c r="H123" s="153">
        <v>1</v>
      </c>
      <c r="I123" s="152">
        <v>2</v>
      </c>
    </row>
    <row r="124" spans="2:9" s="147" customFormat="1" ht="15.6">
      <c r="B124" s="254" t="s">
        <v>526</v>
      </c>
      <c r="C124" s="254"/>
      <c r="D124" s="254"/>
      <c r="E124" s="254"/>
      <c r="F124" s="254"/>
      <c r="G124" s="254"/>
      <c r="H124" s="254"/>
      <c r="I124" s="254"/>
    </row>
    <row r="125" spans="2:9">
      <c r="B125" s="7">
        <v>1</v>
      </c>
      <c r="C125" s="6" t="s">
        <v>196</v>
      </c>
      <c r="D125" s="7">
        <v>6</v>
      </c>
      <c r="E125" s="144">
        <v>6</v>
      </c>
      <c r="F125" s="144">
        <v>0</v>
      </c>
      <c r="G125" s="144">
        <v>0</v>
      </c>
      <c r="H125" s="144">
        <v>0</v>
      </c>
      <c r="I125" s="7">
        <v>0</v>
      </c>
    </row>
    <row r="126" spans="2:9">
      <c r="B126" s="7">
        <f>B125+1</f>
        <v>2</v>
      </c>
      <c r="C126" s="6" t="s">
        <v>198</v>
      </c>
      <c r="D126" s="7">
        <v>10</v>
      </c>
      <c r="E126" s="144">
        <v>9</v>
      </c>
      <c r="F126" s="144">
        <v>0</v>
      </c>
      <c r="G126" s="144">
        <v>0</v>
      </c>
      <c r="H126" s="144">
        <v>0</v>
      </c>
      <c r="I126" s="7">
        <v>1</v>
      </c>
    </row>
    <row r="127" spans="2:9">
      <c r="B127" s="7">
        <f t="shared" ref="B127:B143" si="4">B126+1</f>
        <v>3</v>
      </c>
      <c r="C127" s="6" t="s">
        <v>200</v>
      </c>
      <c r="D127" s="7">
        <v>2</v>
      </c>
      <c r="E127" s="144">
        <v>1</v>
      </c>
      <c r="F127" s="144">
        <v>0</v>
      </c>
      <c r="G127" s="144">
        <v>1</v>
      </c>
      <c r="H127" s="144">
        <v>0</v>
      </c>
      <c r="I127" s="7">
        <v>0</v>
      </c>
    </row>
    <row r="128" spans="2:9">
      <c r="B128" s="7">
        <f t="shared" si="4"/>
        <v>4</v>
      </c>
      <c r="C128" s="6" t="s">
        <v>202</v>
      </c>
      <c r="D128" s="7">
        <v>2</v>
      </c>
      <c r="E128" s="144">
        <v>2</v>
      </c>
      <c r="F128" s="144">
        <v>0</v>
      </c>
      <c r="G128" s="144">
        <v>0</v>
      </c>
      <c r="H128" s="144">
        <v>0</v>
      </c>
      <c r="I128" s="7">
        <v>0</v>
      </c>
    </row>
    <row r="129" spans="2:9">
      <c r="B129" s="7">
        <f t="shared" si="4"/>
        <v>5</v>
      </c>
      <c r="C129" s="6" t="s">
        <v>110</v>
      </c>
      <c r="D129" s="7">
        <v>20</v>
      </c>
      <c r="E129" s="144">
        <v>20</v>
      </c>
      <c r="F129" s="144">
        <v>0</v>
      </c>
      <c r="G129" s="144">
        <v>0</v>
      </c>
      <c r="H129" s="144">
        <v>0</v>
      </c>
      <c r="I129" s="7">
        <v>0</v>
      </c>
    </row>
    <row r="130" spans="2:9">
      <c r="B130" s="7">
        <f t="shared" si="4"/>
        <v>6</v>
      </c>
      <c r="C130" s="6" t="s">
        <v>203</v>
      </c>
      <c r="D130" s="7">
        <v>23</v>
      </c>
      <c r="E130" s="144">
        <v>23</v>
      </c>
      <c r="F130" s="144">
        <v>0</v>
      </c>
      <c r="G130" s="144">
        <v>0</v>
      </c>
      <c r="H130" s="144">
        <v>0</v>
      </c>
      <c r="I130" s="7">
        <v>0</v>
      </c>
    </row>
    <row r="131" spans="2:9">
      <c r="B131" s="7">
        <f t="shared" si="4"/>
        <v>7</v>
      </c>
      <c r="C131" s="6" t="s">
        <v>204</v>
      </c>
      <c r="D131" s="7">
        <v>12</v>
      </c>
      <c r="E131" s="144">
        <v>12</v>
      </c>
      <c r="F131" s="144">
        <v>0</v>
      </c>
      <c r="G131" s="144">
        <v>0</v>
      </c>
      <c r="H131" s="144">
        <v>0</v>
      </c>
      <c r="I131" s="7">
        <v>0</v>
      </c>
    </row>
    <row r="132" spans="2:9">
      <c r="B132" s="7">
        <f t="shared" si="4"/>
        <v>8</v>
      </c>
      <c r="C132" s="6" t="s">
        <v>205</v>
      </c>
      <c r="D132" s="7">
        <v>1</v>
      </c>
      <c r="E132" s="144">
        <v>1</v>
      </c>
      <c r="F132" s="144">
        <v>0</v>
      </c>
      <c r="G132" s="144">
        <v>0</v>
      </c>
      <c r="H132" s="144">
        <v>0</v>
      </c>
      <c r="I132" s="7">
        <v>0</v>
      </c>
    </row>
    <row r="133" spans="2:9">
      <c r="B133" s="7">
        <f t="shared" si="4"/>
        <v>9</v>
      </c>
      <c r="C133" s="6" t="s">
        <v>206</v>
      </c>
      <c r="D133" s="7">
        <v>1</v>
      </c>
      <c r="E133" s="144">
        <v>1</v>
      </c>
      <c r="F133" s="144">
        <v>0</v>
      </c>
      <c r="G133" s="144">
        <v>0</v>
      </c>
      <c r="H133" s="144">
        <v>0</v>
      </c>
      <c r="I133" s="7">
        <v>0</v>
      </c>
    </row>
    <row r="134" spans="2:9">
      <c r="B134" s="7">
        <f t="shared" si="4"/>
        <v>10</v>
      </c>
      <c r="C134" s="6" t="s">
        <v>207</v>
      </c>
      <c r="D134" s="7">
        <v>12</v>
      </c>
      <c r="E134" s="144">
        <v>9</v>
      </c>
      <c r="F134" s="144">
        <v>0</v>
      </c>
      <c r="G134" s="144">
        <v>0</v>
      </c>
      <c r="H134" s="144">
        <v>1</v>
      </c>
      <c r="I134" s="7">
        <v>0</v>
      </c>
    </row>
    <row r="135" spans="2:9">
      <c r="B135" s="7">
        <f t="shared" si="4"/>
        <v>11</v>
      </c>
      <c r="C135" s="6" t="s">
        <v>480</v>
      </c>
      <c r="D135" s="7">
        <v>88</v>
      </c>
      <c r="E135" s="144">
        <v>0</v>
      </c>
      <c r="F135" s="144">
        <v>0</v>
      </c>
      <c r="G135" s="144">
        <v>0</v>
      </c>
      <c r="H135" s="144">
        <v>0</v>
      </c>
      <c r="I135" s="7">
        <v>0</v>
      </c>
    </row>
    <row r="136" spans="2:9">
      <c r="B136" s="7">
        <f t="shared" si="4"/>
        <v>12</v>
      </c>
      <c r="C136" s="6" t="s">
        <v>208</v>
      </c>
      <c r="D136" s="7">
        <v>0</v>
      </c>
      <c r="E136" s="144">
        <v>35</v>
      </c>
      <c r="F136" s="144">
        <v>0</v>
      </c>
      <c r="G136" s="144">
        <v>0</v>
      </c>
      <c r="H136" s="144">
        <v>0</v>
      </c>
      <c r="I136" s="7">
        <v>0</v>
      </c>
    </row>
    <row r="137" spans="2:9">
      <c r="B137" s="7">
        <f t="shared" si="4"/>
        <v>13</v>
      </c>
      <c r="C137" s="6" t="s">
        <v>209</v>
      </c>
      <c r="D137" s="7">
        <v>0</v>
      </c>
      <c r="E137" s="144">
        <v>46</v>
      </c>
      <c r="F137" s="144">
        <v>0</v>
      </c>
      <c r="G137" s="144">
        <v>0</v>
      </c>
      <c r="H137" s="144">
        <v>0</v>
      </c>
      <c r="I137" s="7">
        <v>0</v>
      </c>
    </row>
    <row r="138" spans="2:9">
      <c r="B138" s="7">
        <f t="shared" si="4"/>
        <v>14</v>
      </c>
      <c r="C138" s="6" t="s">
        <v>210</v>
      </c>
      <c r="D138" s="7">
        <v>11</v>
      </c>
      <c r="E138" s="144">
        <v>11</v>
      </c>
      <c r="F138" s="144">
        <v>0</v>
      </c>
      <c r="G138" s="144">
        <v>0</v>
      </c>
      <c r="H138" s="144">
        <v>0</v>
      </c>
      <c r="I138" s="7">
        <v>0</v>
      </c>
    </row>
    <row r="139" spans="2:9">
      <c r="B139" s="7">
        <f t="shared" si="4"/>
        <v>15</v>
      </c>
      <c r="C139" s="6" t="s">
        <v>107</v>
      </c>
      <c r="D139" s="7">
        <v>20</v>
      </c>
      <c r="E139" s="144">
        <v>33</v>
      </c>
      <c r="F139" s="144">
        <v>0</v>
      </c>
      <c r="G139" s="144">
        <v>0</v>
      </c>
      <c r="H139" s="144">
        <v>0</v>
      </c>
      <c r="I139" s="7">
        <v>0</v>
      </c>
    </row>
    <row r="140" spans="2:9">
      <c r="B140" s="7">
        <f t="shared" si="4"/>
        <v>16</v>
      </c>
      <c r="C140" s="6" t="s">
        <v>211</v>
      </c>
      <c r="D140" s="7">
        <v>20</v>
      </c>
      <c r="E140" s="144">
        <v>20</v>
      </c>
      <c r="F140" s="144">
        <v>0</v>
      </c>
      <c r="G140" s="144">
        <v>0</v>
      </c>
      <c r="H140" s="144">
        <v>0</v>
      </c>
      <c r="I140" s="7">
        <v>0</v>
      </c>
    </row>
    <row r="141" spans="2:9">
      <c r="B141" s="7">
        <f t="shared" si="4"/>
        <v>17</v>
      </c>
      <c r="C141" s="6" t="s">
        <v>173</v>
      </c>
      <c r="D141" s="7">
        <v>1</v>
      </c>
      <c r="E141" s="144">
        <v>1</v>
      </c>
      <c r="F141" s="144">
        <v>0</v>
      </c>
      <c r="G141" s="144">
        <v>0</v>
      </c>
      <c r="H141" s="144">
        <v>0</v>
      </c>
      <c r="I141" s="7">
        <v>0</v>
      </c>
    </row>
    <row r="142" spans="2:9">
      <c r="B142" s="7">
        <f t="shared" si="4"/>
        <v>18</v>
      </c>
      <c r="C142" s="6" t="s">
        <v>212</v>
      </c>
      <c r="D142" s="7">
        <v>2</v>
      </c>
      <c r="E142" s="144">
        <v>2</v>
      </c>
      <c r="F142" s="144">
        <v>0</v>
      </c>
      <c r="G142" s="144">
        <v>0</v>
      </c>
      <c r="H142" s="144">
        <v>0</v>
      </c>
      <c r="I142" s="7">
        <v>0</v>
      </c>
    </row>
    <row r="143" spans="2:9">
      <c r="B143" s="7">
        <f t="shared" si="4"/>
        <v>19</v>
      </c>
      <c r="C143" s="6" t="s">
        <v>213</v>
      </c>
      <c r="D143" s="7">
        <v>1</v>
      </c>
      <c r="E143" s="144">
        <v>1</v>
      </c>
      <c r="F143" s="144">
        <v>0</v>
      </c>
      <c r="G143" s="144">
        <v>0</v>
      </c>
      <c r="H143" s="144">
        <v>0</v>
      </c>
      <c r="I143" s="7">
        <v>0</v>
      </c>
    </row>
    <row r="144" spans="2:9">
      <c r="B144" s="255" t="s">
        <v>228</v>
      </c>
      <c r="C144" s="256"/>
      <c r="D144" s="154">
        <v>232</v>
      </c>
      <c r="E144" s="121">
        <v>233</v>
      </c>
      <c r="F144" s="121">
        <v>0</v>
      </c>
      <c r="G144" s="121">
        <v>1</v>
      </c>
      <c r="H144" s="121">
        <v>1</v>
      </c>
      <c r="I144" s="154">
        <v>1</v>
      </c>
    </row>
    <row r="145" spans="2:9" s="147" customFormat="1" ht="15.6">
      <c r="B145" s="254" t="s">
        <v>527</v>
      </c>
      <c r="C145" s="254"/>
      <c r="D145" s="254"/>
      <c r="E145" s="254"/>
      <c r="F145" s="254"/>
      <c r="G145" s="254"/>
      <c r="H145" s="254"/>
      <c r="I145" s="254"/>
    </row>
    <row r="146" spans="2:9">
      <c r="B146" s="7">
        <v>1</v>
      </c>
      <c r="C146" s="6" t="s">
        <v>93</v>
      </c>
      <c r="D146" s="7">
        <v>6</v>
      </c>
      <c r="E146" s="144">
        <v>6</v>
      </c>
      <c r="F146" s="144">
        <v>0</v>
      </c>
      <c r="G146" s="144">
        <v>0</v>
      </c>
      <c r="H146" s="144">
        <v>0</v>
      </c>
      <c r="I146" s="7">
        <v>0</v>
      </c>
    </row>
    <row r="147" spans="2:9">
      <c r="B147" s="255" t="s">
        <v>228</v>
      </c>
      <c r="C147" s="256"/>
      <c r="D147" s="154">
        <v>6</v>
      </c>
      <c r="E147" s="121">
        <v>6</v>
      </c>
      <c r="F147" s="121">
        <v>0</v>
      </c>
      <c r="G147" s="121">
        <v>0</v>
      </c>
      <c r="H147" s="121">
        <v>0</v>
      </c>
      <c r="I147" s="154">
        <v>0</v>
      </c>
    </row>
    <row r="148" spans="2:9" s="1" customFormat="1">
      <c r="B148" s="227" t="s">
        <v>468</v>
      </c>
      <c r="C148" s="228"/>
      <c r="D148" s="258" t="s">
        <v>469</v>
      </c>
      <c r="E148" s="258"/>
      <c r="F148" s="258"/>
      <c r="G148" s="259" t="s">
        <v>470</v>
      </c>
      <c r="H148" s="259"/>
      <c r="I148" s="259"/>
    </row>
    <row r="149" spans="2:9" s="1" customFormat="1">
      <c r="B149" s="116"/>
      <c r="C149" s="45"/>
      <c r="D149" s="46"/>
      <c r="E149" s="45"/>
      <c r="F149" s="45"/>
      <c r="G149" s="51"/>
      <c r="H149" s="51"/>
      <c r="I149" s="46"/>
    </row>
    <row r="150" spans="2:9" s="1" customFormat="1">
      <c r="B150" s="116"/>
      <c r="C150" s="45"/>
      <c r="D150" s="46"/>
      <c r="E150" s="45"/>
      <c r="F150" s="45"/>
      <c r="G150" s="51"/>
      <c r="H150" s="51"/>
      <c r="I150" s="46"/>
    </row>
    <row r="151" spans="2:9" s="25" customFormat="1">
      <c r="B151" s="117"/>
      <c r="C151" s="48"/>
      <c r="D151" s="48"/>
      <c r="E151" s="48"/>
      <c r="F151" s="48"/>
      <c r="G151" s="48"/>
      <c r="H151" s="48"/>
      <c r="I151" s="48"/>
    </row>
    <row r="152" spans="2:9" s="25" customFormat="1">
      <c r="B152" s="117"/>
      <c r="C152" s="48"/>
      <c r="D152" s="48"/>
      <c r="E152" s="48"/>
      <c r="F152" s="48"/>
      <c r="G152" s="48"/>
      <c r="H152" s="48"/>
      <c r="I152" s="48"/>
    </row>
    <row r="153" spans="2:9" s="1" customFormat="1">
      <c r="B153" s="116"/>
      <c r="C153" s="46"/>
      <c r="D153" s="46"/>
      <c r="E153" s="46"/>
      <c r="F153" s="46"/>
      <c r="G153" s="46"/>
      <c r="H153" s="46"/>
      <c r="I153" s="46"/>
    </row>
    <row r="154" spans="2:9" s="1" customFormat="1">
      <c r="B154" s="116"/>
      <c r="C154" s="46"/>
      <c r="D154" s="46"/>
      <c r="E154" s="46"/>
      <c r="F154" s="46"/>
      <c r="G154" s="46"/>
      <c r="H154" s="46"/>
      <c r="I154" s="46"/>
    </row>
    <row r="155" spans="2:9" s="1" customFormat="1">
      <c r="B155" s="231" t="s">
        <v>471</v>
      </c>
      <c r="C155" s="232"/>
      <c r="D155" s="233" t="s">
        <v>472</v>
      </c>
      <c r="E155" s="233"/>
      <c r="F155" s="233"/>
      <c r="G155" s="233" t="s">
        <v>528</v>
      </c>
      <c r="H155" s="233"/>
      <c r="I155" s="233"/>
    </row>
  </sheetData>
  <mergeCells count="19">
    <mergeCell ref="B155:C155"/>
    <mergeCell ref="D155:F155"/>
    <mergeCell ref="G155:I155"/>
    <mergeCell ref="B144:C144"/>
    <mergeCell ref="B145:I145"/>
    <mergeCell ref="B147:C147"/>
    <mergeCell ref="B148:C148"/>
    <mergeCell ref="D148:F148"/>
    <mergeCell ref="G148:I148"/>
    <mergeCell ref="B99:I99"/>
    <mergeCell ref="B114:C114"/>
    <mergeCell ref="B115:I115"/>
    <mergeCell ref="B123:C123"/>
    <mergeCell ref="B124:I124"/>
    <mergeCell ref="B1:I1"/>
    <mergeCell ref="B4:I4"/>
    <mergeCell ref="B57:C57"/>
    <mergeCell ref="B58:I58"/>
    <mergeCell ref="B98:C98"/>
  </mergeCells>
  <printOptions horizontalCentered="1"/>
  <pageMargins left="0" right="0" top="0.55118110236220497" bottom="0" header="0.31496062992126" footer="0.31496062992126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J315"/>
  <sheetViews>
    <sheetView workbookViewId="0">
      <pane xSplit="2" ySplit="8" topLeftCell="C129" activePane="bottomRight" state="frozen"/>
      <selection pane="topRight"/>
      <selection pane="bottomLeft"/>
      <selection pane="bottomRight" activeCell="F99" sqref="F99"/>
    </sheetView>
  </sheetViews>
  <sheetFormatPr defaultColWidth="9" defaultRowHeight="14.4"/>
  <cols>
    <col min="1" max="1" width="4" customWidth="1"/>
    <col min="2" max="2" width="30.44140625" customWidth="1"/>
    <col min="3" max="3" width="12.5546875" style="27" customWidth="1"/>
    <col min="4" max="4" width="7.5546875" customWidth="1"/>
    <col min="5" max="6" width="6.88671875" customWidth="1"/>
    <col min="7" max="8" width="9.5546875" customWidth="1"/>
    <col min="9" max="9" width="33.6640625" customWidth="1"/>
    <col min="10" max="10" width="38" style="27" customWidth="1"/>
  </cols>
  <sheetData>
    <row r="1" spans="1:10" s="1" customFormat="1" ht="14.4" customHeight="1">
      <c r="A1" s="247" t="s">
        <v>529</v>
      </c>
      <c r="B1" s="247"/>
      <c r="C1" s="247"/>
      <c r="D1" s="247"/>
      <c r="E1" s="247"/>
      <c r="F1" s="247"/>
      <c r="G1" s="247"/>
      <c r="H1" s="247"/>
      <c r="I1" s="247"/>
      <c r="J1" s="247"/>
    </row>
    <row r="2" spans="1:10" s="1" customFormat="1" ht="18.600000000000001" customHeight="1">
      <c r="A2" s="247"/>
      <c r="B2" s="247"/>
      <c r="C2" s="247"/>
      <c r="D2" s="247"/>
      <c r="E2" s="247"/>
      <c r="F2" s="247"/>
      <c r="G2" s="247"/>
      <c r="H2" s="247"/>
      <c r="I2" s="247"/>
      <c r="J2" s="247"/>
    </row>
    <row r="3" spans="1:10" s="1" customFormat="1" ht="18.600000000000001" customHeight="1">
      <c r="A3" s="247"/>
      <c r="B3" s="247"/>
      <c r="C3" s="247"/>
      <c r="D3" s="247"/>
      <c r="E3" s="247"/>
      <c r="F3" s="247"/>
      <c r="G3" s="247"/>
      <c r="H3" s="247"/>
      <c r="I3" s="247"/>
      <c r="J3" s="247"/>
    </row>
    <row r="4" spans="1:10" s="1" customFormat="1" ht="12.9" customHeight="1">
      <c r="A4" s="271"/>
      <c r="B4" s="271"/>
      <c r="C4" s="271"/>
      <c r="D4" s="271"/>
      <c r="E4" s="271"/>
      <c r="F4" s="271"/>
      <c r="G4" s="271"/>
      <c r="H4" s="271"/>
      <c r="I4" s="271"/>
      <c r="J4" s="271"/>
    </row>
    <row r="5" spans="1:10">
      <c r="A5" s="263" t="s">
        <v>32</v>
      </c>
      <c r="B5" s="263" t="s">
        <v>530</v>
      </c>
      <c r="C5" s="266" t="s">
        <v>34</v>
      </c>
      <c r="D5" s="263" t="s">
        <v>35</v>
      </c>
      <c r="E5" s="260" t="s">
        <v>531</v>
      </c>
      <c r="F5" s="261"/>
      <c r="G5" s="261"/>
      <c r="H5" s="262"/>
      <c r="I5" s="263" t="s">
        <v>50</v>
      </c>
      <c r="J5" s="263" t="s">
        <v>51</v>
      </c>
    </row>
    <row r="6" spans="1:10">
      <c r="A6" s="264"/>
      <c r="B6" s="264"/>
      <c r="C6" s="267"/>
      <c r="D6" s="264"/>
      <c r="E6" s="266" t="s">
        <v>532</v>
      </c>
      <c r="F6" s="266" t="s">
        <v>46</v>
      </c>
      <c r="G6" s="260" t="s">
        <v>533</v>
      </c>
      <c r="H6" s="262"/>
      <c r="I6" s="264"/>
      <c r="J6" s="264"/>
    </row>
    <row r="7" spans="1:10">
      <c r="A7" s="264"/>
      <c r="B7" s="264"/>
      <c r="C7" s="267"/>
      <c r="D7" s="264"/>
      <c r="E7" s="267"/>
      <c r="F7" s="267"/>
      <c r="G7" s="269" t="s">
        <v>534</v>
      </c>
      <c r="H7" s="269" t="s">
        <v>535</v>
      </c>
      <c r="I7" s="264"/>
      <c r="J7" s="264"/>
    </row>
    <row r="8" spans="1:10">
      <c r="A8" s="265"/>
      <c r="B8" s="265"/>
      <c r="C8" s="268"/>
      <c r="D8" s="265"/>
      <c r="E8" s="268"/>
      <c r="F8" s="268"/>
      <c r="G8" s="270"/>
      <c r="H8" s="270"/>
      <c r="I8" s="265"/>
      <c r="J8" s="265"/>
    </row>
    <row r="9" spans="1:10">
      <c r="A9" s="8">
        <v>1</v>
      </c>
      <c r="B9" s="6" t="s">
        <v>54</v>
      </c>
      <c r="C9" s="8">
        <v>2010</v>
      </c>
      <c r="D9" s="8" t="s">
        <v>55</v>
      </c>
      <c r="E9" s="8">
        <v>8</v>
      </c>
      <c r="F9" s="8">
        <v>8</v>
      </c>
      <c r="G9" s="8"/>
      <c r="H9" s="8"/>
      <c r="I9" s="8" t="s">
        <v>58</v>
      </c>
      <c r="J9" s="8"/>
    </row>
    <row r="10" spans="1:10">
      <c r="A10" s="8">
        <f>A9+1</f>
        <v>2</v>
      </c>
      <c r="B10" s="6" t="s">
        <v>59</v>
      </c>
      <c r="C10" s="8">
        <v>2015</v>
      </c>
      <c r="D10" s="8" t="s">
        <v>60</v>
      </c>
      <c r="E10" s="8">
        <v>8</v>
      </c>
      <c r="F10" s="8">
        <v>8</v>
      </c>
      <c r="G10" s="8"/>
      <c r="H10" s="8"/>
      <c r="I10" s="8" t="s">
        <v>58</v>
      </c>
      <c r="J10" s="8"/>
    </row>
    <row r="11" spans="1:10">
      <c r="A11" s="8">
        <f t="shared" ref="A11:A27" si="0">A10+1</f>
        <v>3</v>
      </c>
      <c r="B11" s="6" t="s">
        <v>61</v>
      </c>
      <c r="C11" s="141" t="s">
        <v>62</v>
      </c>
      <c r="D11" s="8" t="s">
        <v>63</v>
      </c>
      <c r="E11" s="8">
        <v>8</v>
      </c>
      <c r="F11" s="8">
        <v>8</v>
      </c>
      <c r="G11" s="8"/>
      <c r="H11" s="8"/>
      <c r="I11" s="8" t="s">
        <v>58</v>
      </c>
      <c r="J11" s="8"/>
    </row>
    <row r="12" spans="1:10">
      <c r="A12" s="8">
        <f t="shared" si="0"/>
        <v>4</v>
      </c>
      <c r="B12" s="6" t="s">
        <v>64</v>
      </c>
      <c r="C12" s="141" t="s">
        <v>62</v>
      </c>
      <c r="D12" s="8" t="s">
        <v>63</v>
      </c>
      <c r="E12" s="8">
        <v>8</v>
      </c>
      <c r="F12" s="8">
        <v>8</v>
      </c>
      <c r="G12" s="8"/>
      <c r="H12" s="8"/>
      <c r="I12" s="8" t="s">
        <v>58</v>
      </c>
      <c r="J12" s="8"/>
    </row>
    <row r="13" spans="1:10">
      <c r="A13" s="8">
        <f t="shared" si="0"/>
        <v>5</v>
      </c>
      <c r="B13" s="6" t="s">
        <v>65</v>
      </c>
      <c r="C13" s="8" t="s">
        <v>66</v>
      </c>
      <c r="D13" s="8" t="s">
        <v>67</v>
      </c>
      <c r="E13" s="8">
        <v>8</v>
      </c>
      <c r="F13" s="8">
        <v>8</v>
      </c>
      <c r="G13" s="8"/>
      <c r="H13" s="8"/>
      <c r="I13" s="8" t="s">
        <v>58</v>
      </c>
      <c r="J13" s="8"/>
    </row>
    <row r="14" spans="1:10">
      <c r="A14" s="8">
        <f t="shared" si="0"/>
        <v>6</v>
      </c>
      <c r="B14" s="6" t="s">
        <v>68</v>
      </c>
      <c r="C14" s="8">
        <v>2010</v>
      </c>
      <c r="D14" s="8" t="s">
        <v>55</v>
      </c>
      <c r="E14" s="8">
        <v>4</v>
      </c>
      <c r="F14" s="8">
        <v>4</v>
      </c>
      <c r="G14" s="8"/>
      <c r="H14" s="8"/>
      <c r="I14" s="8" t="s">
        <v>58</v>
      </c>
      <c r="J14" s="8"/>
    </row>
    <row r="15" spans="1:10">
      <c r="A15" s="8">
        <f t="shared" si="0"/>
        <v>7</v>
      </c>
      <c r="B15" s="6" t="s">
        <v>536</v>
      </c>
      <c r="C15" s="8">
        <v>2015</v>
      </c>
      <c r="D15" s="8" t="s">
        <v>55</v>
      </c>
      <c r="E15" s="8">
        <v>4</v>
      </c>
      <c r="F15" s="8">
        <v>4</v>
      </c>
      <c r="G15" s="8"/>
      <c r="H15" s="8"/>
      <c r="I15" s="8" t="s">
        <v>58</v>
      </c>
      <c r="J15" s="8"/>
    </row>
    <row r="16" spans="1:10">
      <c r="A16" s="8">
        <f t="shared" si="0"/>
        <v>8</v>
      </c>
      <c r="B16" s="6" t="s">
        <v>70</v>
      </c>
      <c r="C16" s="8">
        <v>2010</v>
      </c>
      <c r="D16" s="8" t="s">
        <v>71</v>
      </c>
      <c r="E16" s="8">
        <v>4</v>
      </c>
      <c r="F16" s="8">
        <v>4</v>
      </c>
      <c r="G16" s="8"/>
      <c r="H16" s="8"/>
      <c r="I16" s="8" t="s">
        <v>58</v>
      </c>
      <c r="J16" s="8"/>
    </row>
    <row r="17" spans="1:10">
      <c r="A17" s="8">
        <f t="shared" si="0"/>
        <v>9</v>
      </c>
      <c r="B17" s="6" t="s">
        <v>72</v>
      </c>
      <c r="C17" s="8">
        <v>2010</v>
      </c>
      <c r="D17" s="8" t="s">
        <v>67</v>
      </c>
      <c r="E17" s="8">
        <v>2</v>
      </c>
      <c r="F17" s="8">
        <v>2</v>
      </c>
      <c r="G17" s="8"/>
      <c r="H17" s="8"/>
      <c r="I17" s="8" t="s">
        <v>58</v>
      </c>
      <c r="J17" s="8"/>
    </row>
    <row r="18" spans="1:10">
      <c r="A18" s="8">
        <f t="shared" si="0"/>
        <v>10</v>
      </c>
      <c r="B18" s="6" t="s">
        <v>73</v>
      </c>
      <c r="C18" s="8">
        <v>2010</v>
      </c>
      <c r="D18" s="8" t="s">
        <v>63</v>
      </c>
      <c r="E18" s="8">
        <v>1</v>
      </c>
      <c r="F18" s="8">
        <v>1</v>
      </c>
      <c r="G18" s="8"/>
      <c r="H18" s="8"/>
      <c r="I18" s="8" t="s">
        <v>58</v>
      </c>
      <c r="J18" s="8"/>
    </row>
    <row r="19" spans="1:10">
      <c r="A19" s="8">
        <f t="shared" si="0"/>
        <v>11</v>
      </c>
      <c r="B19" s="6" t="s">
        <v>74</v>
      </c>
      <c r="C19" s="8">
        <v>2018</v>
      </c>
      <c r="D19" s="8" t="s">
        <v>60</v>
      </c>
      <c r="E19" s="8">
        <v>4</v>
      </c>
      <c r="F19" s="8">
        <v>4</v>
      </c>
      <c r="G19" s="8"/>
      <c r="H19" s="8"/>
      <c r="I19" s="8" t="s">
        <v>58</v>
      </c>
      <c r="J19" s="8"/>
    </row>
    <row r="20" spans="1:10">
      <c r="A20" s="8">
        <f t="shared" si="0"/>
        <v>12</v>
      </c>
      <c r="B20" s="6" t="s">
        <v>75</v>
      </c>
      <c r="C20" s="8">
        <v>2010</v>
      </c>
      <c r="D20" s="8" t="s">
        <v>60</v>
      </c>
      <c r="E20" s="8">
        <v>4</v>
      </c>
      <c r="F20" s="8">
        <v>4</v>
      </c>
      <c r="G20" s="8"/>
      <c r="H20" s="8"/>
      <c r="I20" s="8" t="s">
        <v>58</v>
      </c>
      <c r="J20" s="8"/>
    </row>
    <row r="21" spans="1:10">
      <c r="A21" s="8">
        <f t="shared" si="0"/>
        <v>13</v>
      </c>
      <c r="B21" s="6" t="s">
        <v>76</v>
      </c>
      <c r="C21" s="8">
        <v>2010</v>
      </c>
      <c r="D21" s="8" t="s">
        <v>60</v>
      </c>
      <c r="E21" s="8">
        <v>5</v>
      </c>
      <c r="F21" s="8">
        <v>5</v>
      </c>
      <c r="G21" s="8"/>
      <c r="H21" s="8"/>
      <c r="I21" s="8" t="s">
        <v>58</v>
      </c>
      <c r="J21" s="8"/>
    </row>
    <row r="22" spans="1:10">
      <c r="A22" s="8"/>
      <c r="B22" s="6" t="s">
        <v>77</v>
      </c>
      <c r="C22" s="8">
        <v>2025</v>
      </c>
      <c r="D22" s="8" t="s">
        <v>60</v>
      </c>
      <c r="E22" s="8">
        <v>1</v>
      </c>
      <c r="F22" s="8">
        <v>1</v>
      </c>
      <c r="G22" s="8"/>
      <c r="H22" s="8"/>
      <c r="I22" s="8" t="s">
        <v>58</v>
      </c>
      <c r="J22" s="8"/>
    </row>
    <row r="23" spans="1:10">
      <c r="A23" s="8">
        <f>A21+1</f>
        <v>14</v>
      </c>
      <c r="B23" s="6" t="s">
        <v>54</v>
      </c>
      <c r="C23" s="8">
        <v>2010</v>
      </c>
      <c r="D23" s="8" t="s">
        <v>55</v>
      </c>
      <c r="E23" s="8">
        <v>8</v>
      </c>
      <c r="F23" s="8">
        <v>8</v>
      </c>
      <c r="G23" s="8"/>
      <c r="H23" s="8"/>
      <c r="I23" s="8" t="s">
        <v>78</v>
      </c>
      <c r="J23" s="8"/>
    </row>
    <row r="24" spans="1:10">
      <c r="A24" s="8">
        <f t="shared" si="0"/>
        <v>15</v>
      </c>
      <c r="B24" s="6" t="s">
        <v>59</v>
      </c>
      <c r="C24" s="8">
        <v>2015</v>
      </c>
      <c r="D24" s="8" t="s">
        <v>60</v>
      </c>
      <c r="E24" s="8">
        <v>8</v>
      </c>
      <c r="F24" s="8">
        <v>8</v>
      </c>
      <c r="G24" s="8"/>
      <c r="H24" s="8"/>
      <c r="I24" s="8" t="s">
        <v>78</v>
      </c>
      <c r="J24" s="8"/>
    </row>
    <row r="25" spans="1:10">
      <c r="A25" s="8">
        <f t="shared" si="0"/>
        <v>16</v>
      </c>
      <c r="B25" s="6" t="s">
        <v>61</v>
      </c>
      <c r="C25" s="141" t="s">
        <v>62</v>
      </c>
      <c r="D25" s="8" t="s">
        <v>63</v>
      </c>
      <c r="E25" s="8">
        <v>8</v>
      </c>
      <c r="F25" s="8">
        <v>8</v>
      </c>
      <c r="G25" s="8"/>
      <c r="H25" s="8"/>
      <c r="I25" s="8" t="s">
        <v>78</v>
      </c>
      <c r="J25" s="8"/>
    </row>
    <row r="26" spans="1:10">
      <c r="A26" s="8">
        <f t="shared" si="0"/>
        <v>17</v>
      </c>
      <c r="B26" s="6" t="s">
        <v>64</v>
      </c>
      <c r="C26" s="141" t="s">
        <v>62</v>
      </c>
      <c r="D26" s="8" t="s">
        <v>63</v>
      </c>
      <c r="E26" s="8">
        <v>8</v>
      </c>
      <c r="F26" s="8">
        <v>8</v>
      </c>
      <c r="G26" s="8"/>
      <c r="H26" s="8"/>
      <c r="I26" s="8" t="s">
        <v>78</v>
      </c>
      <c r="J26" s="8"/>
    </row>
    <row r="27" spans="1:10">
      <c r="A27" s="8">
        <f t="shared" si="0"/>
        <v>18</v>
      </c>
      <c r="B27" s="6" t="s">
        <v>65</v>
      </c>
      <c r="C27" s="8" t="s">
        <v>66</v>
      </c>
      <c r="D27" s="8" t="s">
        <v>67</v>
      </c>
      <c r="E27" s="8">
        <v>8</v>
      </c>
      <c r="F27" s="8">
        <v>8</v>
      </c>
      <c r="G27" s="8"/>
      <c r="H27" s="8"/>
      <c r="I27" s="8" t="s">
        <v>78</v>
      </c>
      <c r="J27" s="8"/>
    </row>
    <row r="28" spans="1:10">
      <c r="A28" s="8">
        <f t="shared" ref="A28:A44" si="1">A27+1</f>
        <v>19</v>
      </c>
      <c r="B28" s="6" t="s">
        <v>68</v>
      </c>
      <c r="C28" s="8">
        <v>2010</v>
      </c>
      <c r="D28" s="8" t="s">
        <v>55</v>
      </c>
      <c r="E28" s="8">
        <v>4</v>
      </c>
      <c r="F28" s="8">
        <v>4</v>
      </c>
      <c r="G28" s="8"/>
      <c r="H28" s="8"/>
      <c r="I28" s="8" t="s">
        <v>78</v>
      </c>
      <c r="J28" s="8"/>
    </row>
    <row r="29" spans="1:10">
      <c r="A29" s="8">
        <f t="shared" si="1"/>
        <v>20</v>
      </c>
      <c r="B29" s="6" t="s">
        <v>537</v>
      </c>
      <c r="C29" s="8">
        <v>2015</v>
      </c>
      <c r="D29" s="8" t="s">
        <v>55</v>
      </c>
      <c r="E29" s="8">
        <v>4</v>
      </c>
      <c r="F29" s="8">
        <v>4</v>
      </c>
      <c r="G29" s="8"/>
      <c r="H29" s="8">
        <v>1</v>
      </c>
      <c r="I29" s="8" t="s">
        <v>78</v>
      </c>
      <c r="J29" s="142" t="s">
        <v>538</v>
      </c>
    </row>
    <row r="30" spans="1:10">
      <c r="A30" s="8">
        <f t="shared" si="1"/>
        <v>21</v>
      </c>
      <c r="B30" s="6" t="s">
        <v>70</v>
      </c>
      <c r="C30" s="8">
        <v>2010</v>
      </c>
      <c r="D30" s="8" t="s">
        <v>71</v>
      </c>
      <c r="E30" s="8">
        <v>4</v>
      </c>
      <c r="F30" s="8">
        <v>4</v>
      </c>
      <c r="G30" s="8"/>
      <c r="H30" s="8"/>
      <c r="I30" s="8" t="s">
        <v>78</v>
      </c>
      <c r="J30" s="8"/>
    </row>
    <row r="31" spans="1:10">
      <c r="A31" s="8">
        <f t="shared" si="1"/>
        <v>22</v>
      </c>
      <c r="B31" s="6" t="s">
        <v>72</v>
      </c>
      <c r="C31" s="8">
        <v>2010</v>
      </c>
      <c r="D31" s="8" t="s">
        <v>67</v>
      </c>
      <c r="E31" s="8">
        <v>2</v>
      </c>
      <c r="F31" s="8">
        <v>2</v>
      </c>
      <c r="G31" s="8"/>
      <c r="H31" s="8"/>
      <c r="I31" s="8" t="s">
        <v>78</v>
      </c>
      <c r="J31" s="8"/>
    </row>
    <row r="32" spans="1:10">
      <c r="A32" s="8">
        <f t="shared" si="1"/>
        <v>23</v>
      </c>
      <c r="B32" s="6" t="s">
        <v>73</v>
      </c>
      <c r="C32" s="8">
        <v>2010</v>
      </c>
      <c r="D32" s="8" t="s">
        <v>63</v>
      </c>
      <c r="E32" s="8">
        <v>1</v>
      </c>
      <c r="F32" s="8">
        <v>1</v>
      </c>
      <c r="G32" s="8"/>
      <c r="H32" s="8"/>
      <c r="I32" s="8" t="s">
        <v>78</v>
      </c>
      <c r="J32" s="8"/>
    </row>
    <row r="33" spans="1:10">
      <c r="A33" s="8">
        <f t="shared" si="1"/>
        <v>24</v>
      </c>
      <c r="B33" s="6" t="s">
        <v>74</v>
      </c>
      <c r="C33" s="8">
        <v>2018</v>
      </c>
      <c r="D33" s="8" t="s">
        <v>60</v>
      </c>
      <c r="E33" s="8">
        <v>4</v>
      </c>
      <c r="F33" s="8">
        <v>4</v>
      </c>
      <c r="G33" s="8"/>
      <c r="H33" s="8"/>
      <c r="I33" s="8" t="s">
        <v>78</v>
      </c>
      <c r="J33" s="8"/>
    </row>
    <row r="34" spans="1:10">
      <c r="A34" s="8">
        <f t="shared" si="1"/>
        <v>25</v>
      </c>
      <c r="B34" s="6" t="s">
        <v>75</v>
      </c>
      <c r="C34" s="8">
        <v>2010</v>
      </c>
      <c r="D34" s="8" t="s">
        <v>60</v>
      </c>
      <c r="E34" s="8">
        <v>4</v>
      </c>
      <c r="F34" s="8">
        <v>4</v>
      </c>
      <c r="G34" s="8"/>
      <c r="H34" s="8"/>
      <c r="I34" s="8" t="s">
        <v>78</v>
      </c>
      <c r="J34" s="8"/>
    </row>
    <row r="35" spans="1:10">
      <c r="A35" s="8">
        <f t="shared" si="1"/>
        <v>26</v>
      </c>
      <c r="B35" s="6" t="s">
        <v>76</v>
      </c>
      <c r="C35" s="8">
        <v>2010</v>
      </c>
      <c r="D35" s="8" t="s">
        <v>60</v>
      </c>
      <c r="E35" s="8">
        <v>5</v>
      </c>
      <c r="F35" s="8">
        <v>5</v>
      </c>
      <c r="G35" s="8"/>
      <c r="H35" s="8"/>
      <c r="I35" s="8" t="s">
        <v>78</v>
      </c>
      <c r="J35" s="8"/>
    </row>
    <row r="36" spans="1:10">
      <c r="A36" s="8"/>
      <c r="B36" s="6" t="s">
        <v>77</v>
      </c>
      <c r="C36" s="8">
        <v>2025</v>
      </c>
      <c r="D36" s="8" t="s">
        <v>60</v>
      </c>
      <c r="E36" s="8">
        <v>1</v>
      </c>
      <c r="F36" s="8">
        <v>1</v>
      </c>
      <c r="G36" s="8"/>
      <c r="H36" s="8"/>
      <c r="I36" s="8" t="s">
        <v>78</v>
      </c>
      <c r="J36" s="8"/>
    </row>
    <row r="37" spans="1:10">
      <c r="A37" s="8">
        <f>A35+1</f>
        <v>27</v>
      </c>
      <c r="B37" s="6" t="s">
        <v>54</v>
      </c>
      <c r="C37" s="8">
        <v>2010</v>
      </c>
      <c r="D37" s="8" t="s">
        <v>55</v>
      </c>
      <c r="E37" s="8">
        <v>8</v>
      </c>
      <c r="F37" s="8">
        <v>8</v>
      </c>
      <c r="G37" s="8"/>
      <c r="H37" s="8"/>
      <c r="I37" s="8" t="s">
        <v>81</v>
      </c>
      <c r="J37" s="8"/>
    </row>
    <row r="38" spans="1:10">
      <c r="A38" s="8">
        <f t="shared" si="1"/>
        <v>28</v>
      </c>
      <c r="B38" s="6" t="s">
        <v>59</v>
      </c>
      <c r="C38" s="8">
        <v>2015</v>
      </c>
      <c r="D38" s="8" t="s">
        <v>60</v>
      </c>
      <c r="E38" s="8">
        <v>8</v>
      </c>
      <c r="F38" s="8">
        <v>8</v>
      </c>
      <c r="G38" s="8"/>
      <c r="H38" s="8"/>
      <c r="I38" s="8" t="s">
        <v>81</v>
      </c>
      <c r="J38" s="8"/>
    </row>
    <row r="39" spans="1:10">
      <c r="A39" s="8">
        <f t="shared" si="1"/>
        <v>29</v>
      </c>
      <c r="B39" s="6" t="s">
        <v>61</v>
      </c>
      <c r="C39" s="141" t="s">
        <v>62</v>
      </c>
      <c r="D39" s="8" t="s">
        <v>63</v>
      </c>
      <c r="E39" s="8">
        <v>8</v>
      </c>
      <c r="F39" s="8">
        <v>8</v>
      </c>
      <c r="G39" s="8"/>
      <c r="H39" s="8"/>
      <c r="I39" s="8" t="s">
        <v>81</v>
      </c>
      <c r="J39" s="8"/>
    </row>
    <row r="40" spans="1:10">
      <c r="A40" s="8">
        <f t="shared" si="1"/>
        <v>30</v>
      </c>
      <c r="B40" s="6" t="s">
        <v>64</v>
      </c>
      <c r="C40" s="141" t="s">
        <v>62</v>
      </c>
      <c r="D40" s="8" t="s">
        <v>63</v>
      </c>
      <c r="E40" s="8">
        <v>8</v>
      </c>
      <c r="F40" s="8">
        <v>8</v>
      </c>
      <c r="G40" s="8"/>
      <c r="H40" s="8"/>
      <c r="I40" s="8" t="s">
        <v>81</v>
      </c>
      <c r="J40" s="8"/>
    </row>
    <row r="41" spans="1:10">
      <c r="A41" s="8">
        <f t="shared" si="1"/>
        <v>31</v>
      </c>
      <c r="B41" s="6" t="s">
        <v>65</v>
      </c>
      <c r="C41" s="8" t="s">
        <v>66</v>
      </c>
      <c r="D41" s="8" t="s">
        <v>67</v>
      </c>
      <c r="E41" s="8">
        <v>8</v>
      </c>
      <c r="F41" s="8">
        <v>8</v>
      </c>
      <c r="G41" s="8"/>
      <c r="H41" s="8"/>
      <c r="I41" s="8" t="s">
        <v>81</v>
      </c>
      <c r="J41" s="8"/>
    </row>
    <row r="42" spans="1:10">
      <c r="A42" s="8">
        <f t="shared" si="1"/>
        <v>32</v>
      </c>
      <c r="B42" s="6" t="s">
        <v>68</v>
      </c>
      <c r="C42" s="8">
        <v>2010</v>
      </c>
      <c r="D42" s="8" t="s">
        <v>55</v>
      </c>
      <c r="E42" s="8">
        <v>4</v>
      </c>
      <c r="F42" s="8">
        <v>4</v>
      </c>
      <c r="G42" s="8"/>
      <c r="H42" s="8"/>
      <c r="I42" s="8" t="s">
        <v>81</v>
      </c>
      <c r="J42" s="8"/>
    </row>
    <row r="43" spans="1:10">
      <c r="A43" s="8">
        <f t="shared" si="1"/>
        <v>33</v>
      </c>
      <c r="B43" s="6" t="s">
        <v>537</v>
      </c>
      <c r="C43" s="8">
        <v>2015</v>
      </c>
      <c r="D43" s="8" t="s">
        <v>55</v>
      </c>
      <c r="E43" s="8">
        <v>4</v>
      </c>
      <c r="F43" s="8">
        <v>4</v>
      </c>
      <c r="G43" s="8"/>
      <c r="H43" s="8"/>
      <c r="I43" s="8" t="s">
        <v>81</v>
      </c>
      <c r="J43" s="8"/>
    </row>
    <row r="44" spans="1:10">
      <c r="A44" s="8">
        <f t="shared" si="1"/>
        <v>34</v>
      </c>
      <c r="B44" s="6" t="s">
        <v>70</v>
      </c>
      <c r="C44" s="8">
        <v>2010</v>
      </c>
      <c r="D44" s="8" t="s">
        <v>71</v>
      </c>
      <c r="E44" s="8">
        <v>4</v>
      </c>
      <c r="F44" s="8">
        <v>4</v>
      </c>
      <c r="G44" s="8"/>
      <c r="H44" s="8"/>
      <c r="I44" s="8" t="s">
        <v>81</v>
      </c>
      <c r="J44" s="8"/>
    </row>
    <row r="45" spans="1:10">
      <c r="A45" s="8">
        <f t="shared" ref="A45:A61" si="2">A44+1</f>
        <v>35</v>
      </c>
      <c r="B45" s="6" t="s">
        <v>72</v>
      </c>
      <c r="C45" s="8">
        <v>2010</v>
      </c>
      <c r="D45" s="8" t="s">
        <v>67</v>
      </c>
      <c r="E45" s="8">
        <v>2</v>
      </c>
      <c r="F45" s="8">
        <v>2</v>
      </c>
      <c r="G45" s="8"/>
      <c r="H45" s="8"/>
      <c r="I45" s="8" t="s">
        <v>81</v>
      </c>
      <c r="J45" s="8"/>
    </row>
    <row r="46" spans="1:10">
      <c r="A46" s="8">
        <f t="shared" si="2"/>
        <v>36</v>
      </c>
      <c r="B46" s="6" t="s">
        <v>73</v>
      </c>
      <c r="C46" s="8">
        <v>2010</v>
      </c>
      <c r="D46" s="8" t="s">
        <v>63</v>
      </c>
      <c r="E46" s="8">
        <v>1</v>
      </c>
      <c r="F46" s="8">
        <v>0</v>
      </c>
      <c r="G46" s="8"/>
      <c r="H46" s="8"/>
      <c r="I46" s="8" t="s">
        <v>81</v>
      </c>
      <c r="J46" s="8"/>
    </row>
    <row r="47" spans="1:10">
      <c r="A47" s="8">
        <f t="shared" si="2"/>
        <v>37</v>
      </c>
      <c r="B47" s="6" t="s">
        <v>74</v>
      </c>
      <c r="C47" s="8">
        <v>2018</v>
      </c>
      <c r="D47" s="8" t="s">
        <v>60</v>
      </c>
      <c r="E47" s="8">
        <v>4</v>
      </c>
      <c r="F47" s="8">
        <v>4</v>
      </c>
      <c r="G47" s="8"/>
      <c r="H47" s="8"/>
      <c r="I47" s="8" t="s">
        <v>81</v>
      </c>
      <c r="J47" s="8"/>
    </row>
    <row r="48" spans="1:10">
      <c r="A48" s="8">
        <f t="shared" si="2"/>
        <v>38</v>
      </c>
      <c r="B48" s="6" t="s">
        <v>75</v>
      </c>
      <c r="C48" s="8">
        <v>2010</v>
      </c>
      <c r="D48" s="8" t="s">
        <v>60</v>
      </c>
      <c r="E48" s="8">
        <v>4</v>
      </c>
      <c r="F48" s="8">
        <v>4</v>
      </c>
      <c r="G48" s="8"/>
      <c r="H48" s="8"/>
      <c r="I48" s="8" t="s">
        <v>81</v>
      </c>
      <c r="J48" s="8"/>
    </row>
    <row r="49" spans="1:10">
      <c r="A49" s="8">
        <f t="shared" si="2"/>
        <v>39</v>
      </c>
      <c r="B49" s="6" t="s">
        <v>76</v>
      </c>
      <c r="C49" s="8">
        <v>2010</v>
      </c>
      <c r="D49" s="8" t="s">
        <v>60</v>
      </c>
      <c r="E49" s="8">
        <v>5</v>
      </c>
      <c r="F49" s="8">
        <v>5</v>
      </c>
      <c r="G49" s="8"/>
      <c r="H49" s="8"/>
      <c r="I49" s="8" t="s">
        <v>81</v>
      </c>
      <c r="J49" s="8"/>
    </row>
    <row r="50" spans="1:10">
      <c r="A50" s="8"/>
      <c r="B50" s="6" t="s">
        <v>77</v>
      </c>
      <c r="C50" s="8">
        <v>2025</v>
      </c>
      <c r="D50" s="8" t="s">
        <v>60</v>
      </c>
      <c r="E50" s="8">
        <v>1</v>
      </c>
      <c r="F50" s="8">
        <v>1</v>
      </c>
      <c r="G50" s="8"/>
      <c r="H50" s="8"/>
      <c r="I50" s="8" t="s">
        <v>81</v>
      </c>
      <c r="J50" s="8"/>
    </row>
    <row r="51" spans="1:10">
      <c r="A51" s="8">
        <f>A49+1</f>
        <v>40</v>
      </c>
      <c r="B51" s="6" t="s">
        <v>54</v>
      </c>
      <c r="C51" s="8">
        <v>2010</v>
      </c>
      <c r="D51" s="8" t="s">
        <v>55</v>
      </c>
      <c r="E51" s="8">
        <v>8</v>
      </c>
      <c r="F51" s="8">
        <v>8</v>
      </c>
      <c r="G51" s="8"/>
      <c r="H51" s="8"/>
      <c r="I51" s="8" t="s">
        <v>82</v>
      </c>
      <c r="J51" s="8"/>
    </row>
    <row r="52" spans="1:10">
      <c r="A52" s="8">
        <f t="shared" si="2"/>
        <v>41</v>
      </c>
      <c r="B52" s="6" t="s">
        <v>59</v>
      </c>
      <c r="C52" s="8">
        <v>2015</v>
      </c>
      <c r="D52" s="8" t="s">
        <v>60</v>
      </c>
      <c r="E52" s="8">
        <v>8</v>
      </c>
      <c r="F52" s="8">
        <v>8</v>
      </c>
      <c r="G52" s="8"/>
      <c r="H52" s="8"/>
      <c r="I52" s="8" t="s">
        <v>82</v>
      </c>
      <c r="J52" s="8"/>
    </row>
    <row r="53" spans="1:10">
      <c r="A53" s="8">
        <f t="shared" si="2"/>
        <v>42</v>
      </c>
      <c r="B53" s="6" t="s">
        <v>61</v>
      </c>
      <c r="C53" s="141" t="s">
        <v>62</v>
      </c>
      <c r="D53" s="8" t="s">
        <v>63</v>
      </c>
      <c r="E53" s="8">
        <v>8</v>
      </c>
      <c r="F53" s="8">
        <v>8</v>
      </c>
      <c r="G53" s="8"/>
      <c r="H53" s="8"/>
      <c r="I53" s="8" t="s">
        <v>82</v>
      </c>
      <c r="J53" s="8"/>
    </row>
    <row r="54" spans="1:10">
      <c r="A54" s="8">
        <f t="shared" si="2"/>
        <v>43</v>
      </c>
      <c r="B54" s="6" t="s">
        <v>64</v>
      </c>
      <c r="C54" s="141" t="s">
        <v>62</v>
      </c>
      <c r="D54" s="8" t="s">
        <v>63</v>
      </c>
      <c r="E54" s="8">
        <v>8</v>
      </c>
      <c r="F54" s="8">
        <v>8</v>
      </c>
      <c r="G54" s="8"/>
      <c r="H54" s="8"/>
      <c r="I54" s="8" t="s">
        <v>82</v>
      </c>
      <c r="J54" s="8"/>
    </row>
    <row r="55" spans="1:10">
      <c r="A55" s="8">
        <f t="shared" si="2"/>
        <v>44</v>
      </c>
      <c r="B55" s="6" t="s">
        <v>65</v>
      </c>
      <c r="C55" s="8" t="s">
        <v>66</v>
      </c>
      <c r="D55" s="8" t="s">
        <v>67</v>
      </c>
      <c r="E55" s="8">
        <v>8</v>
      </c>
      <c r="F55" s="8">
        <v>8</v>
      </c>
      <c r="G55" s="8"/>
      <c r="H55" s="8"/>
      <c r="I55" s="8" t="s">
        <v>82</v>
      </c>
      <c r="J55" s="8"/>
    </row>
    <row r="56" spans="1:10">
      <c r="A56" s="8">
        <f t="shared" si="2"/>
        <v>45</v>
      </c>
      <c r="B56" s="6" t="s">
        <v>68</v>
      </c>
      <c r="C56" s="8">
        <v>2010</v>
      </c>
      <c r="D56" s="8" t="s">
        <v>55</v>
      </c>
      <c r="E56" s="8">
        <v>4</v>
      </c>
      <c r="F56" s="8">
        <v>4</v>
      </c>
      <c r="G56" s="8"/>
      <c r="H56" s="8"/>
      <c r="I56" s="8" t="s">
        <v>82</v>
      </c>
      <c r="J56" s="8"/>
    </row>
    <row r="57" spans="1:10">
      <c r="A57" s="8">
        <f t="shared" si="2"/>
        <v>46</v>
      </c>
      <c r="B57" s="6" t="s">
        <v>537</v>
      </c>
      <c r="C57" s="8">
        <v>2015</v>
      </c>
      <c r="D57" s="8" t="s">
        <v>55</v>
      </c>
      <c r="E57" s="8">
        <v>4</v>
      </c>
      <c r="F57" s="8">
        <v>4</v>
      </c>
      <c r="G57" s="8"/>
      <c r="H57" s="8"/>
      <c r="I57" s="8" t="s">
        <v>82</v>
      </c>
      <c r="J57" s="8"/>
    </row>
    <row r="58" spans="1:10">
      <c r="A58" s="8">
        <f t="shared" si="2"/>
        <v>47</v>
      </c>
      <c r="B58" s="6" t="s">
        <v>70</v>
      </c>
      <c r="C58" s="8">
        <v>2010</v>
      </c>
      <c r="D58" s="8" t="s">
        <v>71</v>
      </c>
      <c r="E58" s="8">
        <v>4</v>
      </c>
      <c r="F58" s="8">
        <v>4</v>
      </c>
      <c r="G58" s="8"/>
      <c r="H58" s="8"/>
      <c r="I58" s="8" t="s">
        <v>82</v>
      </c>
      <c r="J58" s="8"/>
    </row>
    <row r="59" spans="1:10">
      <c r="A59" s="8">
        <f t="shared" si="2"/>
        <v>48</v>
      </c>
      <c r="B59" s="6" t="s">
        <v>72</v>
      </c>
      <c r="C59" s="8">
        <v>2010</v>
      </c>
      <c r="D59" s="8" t="s">
        <v>67</v>
      </c>
      <c r="E59" s="8">
        <v>2</v>
      </c>
      <c r="F59" s="8">
        <v>2</v>
      </c>
      <c r="G59" s="8"/>
      <c r="H59" s="8"/>
      <c r="I59" s="8" t="s">
        <v>82</v>
      </c>
      <c r="J59" s="8"/>
    </row>
    <row r="60" spans="1:10">
      <c r="A60" s="8">
        <f t="shared" si="2"/>
        <v>49</v>
      </c>
      <c r="B60" s="6" t="s">
        <v>73</v>
      </c>
      <c r="C60" s="8">
        <v>2010</v>
      </c>
      <c r="D60" s="8" t="s">
        <v>63</v>
      </c>
      <c r="E60" s="8" t="s">
        <v>56</v>
      </c>
      <c r="F60" s="8" t="s">
        <v>56</v>
      </c>
      <c r="G60" s="8"/>
      <c r="H60" s="8"/>
      <c r="I60" s="8" t="s">
        <v>82</v>
      </c>
      <c r="J60" s="8"/>
    </row>
    <row r="61" spans="1:10">
      <c r="A61" s="8">
        <f t="shared" si="2"/>
        <v>50</v>
      </c>
      <c r="B61" s="6" t="s">
        <v>74</v>
      </c>
      <c r="C61" s="8">
        <v>2018</v>
      </c>
      <c r="D61" s="8" t="s">
        <v>60</v>
      </c>
      <c r="E61" s="8">
        <v>4</v>
      </c>
      <c r="F61" s="8">
        <v>4</v>
      </c>
      <c r="G61" s="8"/>
      <c r="H61" s="8"/>
      <c r="I61" s="8" t="s">
        <v>82</v>
      </c>
      <c r="J61" s="8"/>
    </row>
    <row r="62" spans="1:10">
      <c r="A62" s="8">
        <f t="shared" ref="A62:A77" si="3">A61+1</f>
        <v>51</v>
      </c>
      <c r="B62" s="6" t="s">
        <v>75</v>
      </c>
      <c r="C62" s="8">
        <v>2010</v>
      </c>
      <c r="D62" s="8" t="s">
        <v>60</v>
      </c>
      <c r="E62" s="8">
        <v>4</v>
      </c>
      <c r="F62" s="8">
        <v>4</v>
      </c>
      <c r="G62" s="8"/>
      <c r="H62" s="8"/>
      <c r="I62" s="8" t="s">
        <v>82</v>
      </c>
      <c r="J62" s="8"/>
    </row>
    <row r="63" spans="1:10">
      <c r="A63" s="8">
        <f t="shared" si="3"/>
        <v>52</v>
      </c>
      <c r="B63" s="6" t="s">
        <v>76</v>
      </c>
      <c r="C63" s="8">
        <v>2010</v>
      </c>
      <c r="D63" s="8" t="s">
        <v>60</v>
      </c>
      <c r="E63" s="8">
        <v>5</v>
      </c>
      <c r="F63" s="8">
        <v>5</v>
      </c>
      <c r="G63" s="8"/>
      <c r="H63" s="8"/>
      <c r="I63" s="8" t="s">
        <v>82</v>
      </c>
      <c r="J63" s="8"/>
    </row>
    <row r="64" spans="1:10">
      <c r="A64" s="8">
        <f t="shared" si="3"/>
        <v>53</v>
      </c>
      <c r="B64" s="6" t="s">
        <v>54</v>
      </c>
      <c r="C64" s="8">
        <v>2010</v>
      </c>
      <c r="D64" s="8" t="s">
        <v>55</v>
      </c>
      <c r="E64" s="8">
        <v>8</v>
      </c>
      <c r="F64" s="8">
        <v>8</v>
      </c>
      <c r="G64" s="8"/>
      <c r="H64" s="8"/>
      <c r="I64" s="8" t="s">
        <v>83</v>
      </c>
      <c r="J64" s="8"/>
    </row>
    <row r="65" spans="1:10">
      <c r="A65" s="8">
        <f t="shared" si="3"/>
        <v>54</v>
      </c>
      <c r="B65" s="6" t="s">
        <v>59</v>
      </c>
      <c r="C65" s="8">
        <v>2015</v>
      </c>
      <c r="D65" s="8" t="s">
        <v>60</v>
      </c>
      <c r="E65" s="8">
        <v>8</v>
      </c>
      <c r="F65" s="8">
        <v>8</v>
      </c>
      <c r="G65" s="8"/>
      <c r="H65" s="8"/>
      <c r="I65" s="8" t="s">
        <v>83</v>
      </c>
      <c r="J65" s="8"/>
    </row>
    <row r="66" spans="1:10">
      <c r="A66" s="8">
        <f t="shared" si="3"/>
        <v>55</v>
      </c>
      <c r="B66" s="6" t="s">
        <v>61</v>
      </c>
      <c r="C66" s="141" t="s">
        <v>62</v>
      </c>
      <c r="D66" s="8" t="s">
        <v>63</v>
      </c>
      <c r="E66" s="8">
        <v>2</v>
      </c>
      <c r="F66" s="8">
        <v>2</v>
      </c>
      <c r="G66" s="8"/>
      <c r="H66" s="8"/>
      <c r="I66" s="8" t="s">
        <v>83</v>
      </c>
      <c r="J66" s="8"/>
    </row>
    <row r="67" spans="1:10">
      <c r="A67" s="8">
        <f t="shared" si="3"/>
        <v>56</v>
      </c>
      <c r="B67" s="6" t="s">
        <v>64</v>
      </c>
      <c r="C67" s="141" t="s">
        <v>62</v>
      </c>
      <c r="D67" s="8" t="s">
        <v>63</v>
      </c>
      <c r="E67" s="8">
        <v>2</v>
      </c>
      <c r="F67" s="8">
        <v>2</v>
      </c>
      <c r="G67" s="8"/>
      <c r="H67" s="8"/>
      <c r="I67" s="8" t="s">
        <v>83</v>
      </c>
      <c r="J67" s="8"/>
    </row>
    <row r="68" spans="1:10">
      <c r="A68" s="8">
        <f t="shared" si="3"/>
        <v>57</v>
      </c>
      <c r="B68" s="6" t="s">
        <v>65</v>
      </c>
      <c r="C68" s="8" t="s">
        <v>66</v>
      </c>
      <c r="D68" s="8" t="s">
        <v>67</v>
      </c>
      <c r="E68" s="8">
        <v>8</v>
      </c>
      <c r="F68" s="8">
        <v>8</v>
      </c>
      <c r="G68" s="8"/>
      <c r="H68" s="8"/>
      <c r="I68" s="8" t="s">
        <v>83</v>
      </c>
      <c r="J68" s="8"/>
    </row>
    <row r="69" spans="1:10">
      <c r="A69" s="8">
        <f t="shared" si="3"/>
        <v>58</v>
      </c>
      <c r="B69" s="6" t="s">
        <v>68</v>
      </c>
      <c r="C69" s="8">
        <v>2010</v>
      </c>
      <c r="D69" s="8" t="s">
        <v>55</v>
      </c>
      <c r="E69" s="8">
        <v>4</v>
      </c>
      <c r="F69" s="8">
        <v>4</v>
      </c>
      <c r="G69" s="8"/>
      <c r="H69" s="8"/>
      <c r="I69" s="8" t="s">
        <v>83</v>
      </c>
      <c r="J69" s="8" t="s">
        <v>539</v>
      </c>
    </row>
    <row r="70" spans="1:10">
      <c r="A70" s="8">
        <f t="shared" si="3"/>
        <v>59</v>
      </c>
      <c r="B70" s="6" t="s">
        <v>536</v>
      </c>
      <c r="C70" s="8">
        <v>2015</v>
      </c>
      <c r="D70" s="8" t="s">
        <v>55</v>
      </c>
      <c r="E70" s="8">
        <v>4</v>
      </c>
      <c r="F70" s="8">
        <v>4</v>
      </c>
      <c r="G70" s="8"/>
      <c r="H70" s="8"/>
      <c r="I70" s="8" t="s">
        <v>83</v>
      </c>
      <c r="J70" s="8"/>
    </row>
    <row r="71" spans="1:10">
      <c r="A71" s="8">
        <f t="shared" si="3"/>
        <v>60</v>
      </c>
      <c r="B71" s="6" t="s">
        <v>70</v>
      </c>
      <c r="C71" s="8">
        <v>2010</v>
      </c>
      <c r="D71" s="8" t="s">
        <v>71</v>
      </c>
      <c r="E71" s="8">
        <v>4</v>
      </c>
      <c r="F71" s="8">
        <v>4</v>
      </c>
      <c r="G71" s="8"/>
      <c r="H71" s="8"/>
      <c r="I71" s="8" t="s">
        <v>83</v>
      </c>
      <c r="J71" s="8"/>
    </row>
    <row r="72" spans="1:10">
      <c r="A72" s="8">
        <f t="shared" si="3"/>
        <v>61</v>
      </c>
      <c r="B72" s="6" t="s">
        <v>72</v>
      </c>
      <c r="C72" s="8">
        <v>2010</v>
      </c>
      <c r="D72" s="8" t="s">
        <v>67</v>
      </c>
      <c r="E72" s="8">
        <v>2</v>
      </c>
      <c r="F72" s="8">
        <v>2</v>
      </c>
      <c r="G72" s="8"/>
      <c r="H72" s="8"/>
      <c r="I72" s="8" t="s">
        <v>83</v>
      </c>
      <c r="J72" s="8"/>
    </row>
    <row r="73" spans="1:10">
      <c r="A73" s="8">
        <f t="shared" si="3"/>
        <v>62</v>
      </c>
      <c r="B73" s="6" t="s">
        <v>73</v>
      </c>
      <c r="C73" s="8">
        <v>2010</v>
      </c>
      <c r="D73" s="8" t="s">
        <v>63</v>
      </c>
      <c r="E73" s="8" t="s">
        <v>56</v>
      </c>
      <c r="F73" s="8" t="s">
        <v>56</v>
      </c>
      <c r="G73" s="8"/>
      <c r="H73" s="8"/>
      <c r="I73" s="8" t="s">
        <v>83</v>
      </c>
      <c r="J73" s="8"/>
    </row>
    <row r="74" spans="1:10">
      <c r="A74" s="8">
        <f t="shared" si="3"/>
        <v>63</v>
      </c>
      <c r="B74" s="6" t="s">
        <v>74</v>
      </c>
      <c r="C74" s="8">
        <v>2018</v>
      </c>
      <c r="D74" s="8" t="s">
        <v>60</v>
      </c>
      <c r="E74" s="8">
        <v>4</v>
      </c>
      <c r="F74" s="8">
        <v>4</v>
      </c>
      <c r="G74" s="8"/>
      <c r="H74" s="8"/>
      <c r="I74" s="8" t="s">
        <v>83</v>
      </c>
      <c r="J74" s="8"/>
    </row>
    <row r="75" spans="1:10">
      <c r="A75" s="8">
        <f t="shared" si="3"/>
        <v>64</v>
      </c>
      <c r="B75" s="6" t="s">
        <v>75</v>
      </c>
      <c r="C75" s="8">
        <v>2010</v>
      </c>
      <c r="D75" s="8" t="s">
        <v>60</v>
      </c>
      <c r="E75" s="8">
        <v>4</v>
      </c>
      <c r="F75" s="8">
        <v>4</v>
      </c>
      <c r="G75" s="8"/>
      <c r="H75" s="8"/>
      <c r="I75" s="8" t="s">
        <v>83</v>
      </c>
      <c r="J75" s="8"/>
    </row>
    <row r="76" spans="1:10">
      <c r="A76" s="8">
        <f t="shared" si="3"/>
        <v>65</v>
      </c>
      <c r="B76" s="6" t="s">
        <v>76</v>
      </c>
      <c r="C76" s="8">
        <v>2010</v>
      </c>
      <c r="D76" s="8" t="s">
        <v>60</v>
      </c>
      <c r="E76" s="8">
        <v>5</v>
      </c>
      <c r="F76" s="8">
        <v>5</v>
      </c>
      <c r="G76" s="8"/>
      <c r="H76" s="8">
        <v>1</v>
      </c>
      <c r="I76" s="8" t="s">
        <v>83</v>
      </c>
      <c r="J76" s="8" t="s">
        <v>540</v>
      </c>
    </row>
    <row r="77" spans="1:10">
      <c r="A77" s="8">
        <f t="shared" si="3"/>
        <v>66</v>
      </c>
      <c r="B77" s="6" t="s">
        <v>54</v>
      </c>
      <c r="C77" s="8">
        <v>2010</v>
      </c>
      <c r="D77" s="8" t="s">
        <v>55</v>
      </c>
      <c r="E77" s="8">
        <v>8</v>
      </c>
      <c r="F77" s="8">
        <v>8</v>
      </c>
      <c r="G77" s="8"/>
      <c r="H77" s="8"/>
      <c r="I77" s="8" t="s">
        <v>85</v>
      </c>
      <c r="J77" s="8"/>
    </row>
    <row r="78" spans="1:10">
      <c r="A78" s="8">
        <f t="shared" ref="A78:A93" si="4">A77+1</f>
        <v>67</v>
      </c>
      <c r="B78" s="6" t="s">
        <v>59</v>
      </c>
      <c r="C78" s="8">
        <v>2015</v>
      </c>
      <c r="D78" s="8" t="s">
        <v>60</v>
      </c>
      <c r="E78" s="8">
        <v>8</v>
      </c>
      <c r="F78" s="8">
        <v>8</v>
      </c>
      <c r="G78" s="8"/>
      <c r="H78" s="8"/>
      <c r="I78" s="8" t="s">
        <v>85</v>
      </c>
      <c r="J78" s="8"/>
    </row>
    <row r="79" spans="1:10">
      <c r="A79" s="8">
        <f t="shared" si="4"/>
        <v>68</v>
      </c>
      <c r="B79" s="6" t="s">
        <v>61</v>
      </c>
      <c r="C79" s="141" t="s">
        <v>62</v>
      </c>
      <c r="D79" s="8" t="s">
        <v>63</v>
      </c>
      <c r="E79" s="8">
        <v>6</v>
      </c>
      <c r="F79" s="8">
        <v>6</v>
      </c>
      <c r="G79" s="8"/>
      <c r="H79" s="8"/>
      <c r="I79" s="8" t="s">
        <v>85</v>
      </c>
      <c r="J79" s="8"/>
    </row>
    <row r="80" spans="1:10">
      <c r="A80" s="8">
        <f t="shared" si="4"/>
        <v>69</v>
      </c>
      <c r="B80" s="6" t="s">
        <v>64</v>
      </c>
      <c r="C80" s="141" t="s">
        <v>62</v>
      </c>
      <c r="D80" s="8" t="s">
        <v>63</v>
      </c>
      <c r="E80" s="8">
        <v>6</v>
      </c>
      <c r="F80" s="8">
        <v>6</v>
      </c>
      <c r="G80" s="8"/>
      <c r="H80" s="8"/>
      <c r="I80" s="8" t="s">
        <v>85</v>
      </c>
      <c r="J80" s="8"/>
    </row>
    <row r="81" spans="1:10">
      <c r="A81" s="8">
        <f t="shared" si="4"/>
        <v>70</v>
      </c>
      <c r="B81" s="6" t="s">
        <v>65</v>
      </c>
      <c r="C81" s="8" t="s">
        <v>66</v>
      </c>
      <c r="D81" s="8" t="s">
        <v>67</v>
      </c>
      <c r="E81" s="8">
        <v>8</v>
      </c>
      <c r="F81" s="8">
        <v>8</v>
      </c>
      <c r="G81" s="8"/>
      <c r="H81" s="8"/>
      <c r="I81" s="8" t="s">
        <v>85</v>
      </c>
      <c r="J81" s="8"/>
    </row>
    <row r="82" spans="1:10">
      <c r="A82" s="8">
        <f t="shared" si="4"/>
        <v>71</v>
      </c>
      <c r="B82" s="6" t="s">
        <v>68</v>
      </c>
      <c r="C82" s="8">
        <v>2010</v>
      </c>
      <c r="D82" s="8" t="s">
        <v>55</v>
      </c>
      <c r="E82" s="8">
        <v>4</v>
      </c>
      <c r="F82" s="8">
        <v>4</v>
      </c>
      <c r="G82" s="8"/>
      <c r="H82" s="8"/>
      <c r="I82" s="8" t="s">
        <v>85</v>
      </c>
      <c r="J82" s="8"/>
    </row>
    <row r="83" spans="1:10">
      <c r="A83" s="8">
        <f t="shared" si="4"/>
        <v>72</v>
      </c>
      <c r="B83" s="6" t="s">
        <v>79</v>
      </c>
      <c r="C83" s="8">
        <v>2015</v>
      </c>
      <c r="D83" s="8" t="s">
        <v>55</v>
      </c>
      <c r="E83" s="8">
        <v>4</v>
      </c>
      <c r="F83" s="8">
        <v>4</v>
      </c>
      <c r="G83" s="8"/>
      <c r="H83" s="8"/>
      <c r="I83" s="8" t="s">
        <v>85</v>
      </c>
      <c r="J83" s="8"/>
    </row>
    <row r="84" spans="1:10">
      <c r="A84" s="8">
        <f t="shared" si="4"/>
        <v>73</v>
      </c>
      <c r="B84" s="6" t="s">
        <v>70</v>
      </c>
      <c r="C84" s="8">
        <v>2010</v>
      </c>
      <c r="D84" s="8" t="s">
        <v>71</v>
      </c>
      <c r="E84" s="8">
        <v>4</v>
      </c>
      <c r="F84" s="8">
        <v>4</v>
      </c>
      <c r="G84" s="8"/>
      <c r="H84" s="8"/>
      <c r="I84" s="8" t="s">
        <v>85</v>
      </c>
      <c r="J84" s="8"/>
    </row>
    <row r="85" spans="1:10">
      <c r="A85" s="8">
        <f t="shared" si="4"/>
        <v>74</v>
      </c>
      <c r="B85" s="6" t="s">
        <v>72</v>
      </c>
      <c r="C85" s="8">
        <v>2010</v>
      </c>
      <c r="D85" s="8" t="s">
        <v>67</v>
      </c>
      <c r="E85" s="8">
        <v>2</v>
      </c>
      <c r="F85" s="8">
        <v>2</v>
      </c>
      <c r="G85" s="8"/>
      <c r="H85" s="8"/>
      <c r="I85" s="8" t="s">
        <v>85</v>
      </c>
      <c r="J85" s="8"/>
    </row>
    <row r="86" spans="1:10">
      <c r="A86" s="8">
        <f t="shared" si="4"/>
        <v>75</v>
      </c>
      <c r="B86" s="6" t="s">
        <v>73</v>
      </c>
      <c r="C86" s="8">
        <v>2010</v>
      </c>
      <c r="D86" s="8" t="s">
        <v>63</v>
      </c>
      <c r="E86" s="8" t="s">
        <v>56</v>
      </c>
      <c r="F86" s="8">
        <v>2</v>
      </c>
      <c r="G86" s="8"/>
      <c r="H86" s="8"/>
      <c r="I86" s="8" t="s">
        <v>85</v>
      </c>
      <c r="J86" s="8"/>
    </row>
    <row r="87" spans="1:10">
      <c r="A87" s="8">
        <f t="shared" si="4"/>
        <v>76</v>
      </c>
      <c r="B87" s="6" t="s">
        <v>74</v>
      </c>
      <c r="C87" s="8">
        <v>2018</v>
      </c>
      <c r="D87" s="8" t="s">
        <v>60</v>
      </c>
      <c r="E87" s="8">
        <v>4</v>
      </c>
      <c r="F87" s="8">
        <v>4</v>
      </c>
      <c r="G87" s="8"/>
      <c r="H87" s="8"/>
      <c r="I87" s="8" t="s">
        <v>85</v>
      </c>
      <c r="J87" s="8"/>
    </row>
    <row r="88" spans="1:10">
      <c r="A88" s="8">
        <f t="shared" si="4"/>
        <v>77</v>
      </c>
      <c r="B88" s="6" t="s">
        <v>75</v>
      </c>
      <c r="C88" s="8">
        <v>2010</v>
      </c>
      <c r="D88" s="8" t="s">
        <v>60</v>
      </c>
      <c r="E88" s="8">
        <v>4</v>
      </c>
      <c r="F88" s="8">
        <v>4</v>
      </c>
      <c r="G88" s="8"/>
      <c r="H88" s="8"/>
      <c r="I88" s="8" t="s">
        <v>85</v>
      </c>
      <c r="J88" s="8"/>
    </row>
    <row r="89" spans="1:10">
      <c r="A89" s="8">
        <f t="shared" si="4"/>
        <v>78</v>
      </c>
      <c r="B89" s="6" t="s">
        <v>76</v>
      </c>
      <c r="C89" s="8">
        <v>2010</v>
      </c>
      <c r="D89" s="8" t="s">
        <v>60</v>
      </c>
      <c r="E89" s="8">
        <v>5</v>
      </c>
      <c r="F89" s="8">
        <v>5</v>
      </c>
      <c r="G89" s="8"/>
      <c r="H89" s="8"/>
      <c r="I89" s="8" t="s">
        <v>85</v>
      </c>
      <c r="J89" s="8"/>
    </row>
    <row r="90" spans="1:10">
      <c r="A90" s="8">
        <f t="shared" si="4"/>
        <v>79</v>
      </c>
      <c r="B90" s="6" t="s">
        <v>54</v>
      </c>
      <c r="C90" s="8">
        <v>2010</v>
      </c>
      <c r="D90" s="8" t="s">
        <v>55</v>
      </c>
      <c r="E90" s="8">
        <v>8</v>
      </c>
      <c r="F90" s="8">
        <v>8</v>
      </c>
      <c r="G90" s="8"/>
      <c r="H90" s="8"/>
      <c r="I90" s="8" t="s">
        <v>86</v>
      </c>
      <c r="J90" s="8"/>
    </row>
    <row r="91" spans="1:10">
      <c r="A91" s="8">
        <f t="shared" si="4"/>
        <v>80</v>
      </c>
      <c r="B91" s="6" t="s">
        <v>59</v>
      </c>
      <c r="C91" s="8">
        <v>2015</v>
      </c>
      <c r="D91" s="8" t="s">
        <v>60</v>
      </c>
      <c r="E91" s="8">
        <v>8</v>
      </c>
      <c r="F91" s="8">
        <v>8</v>
      </c>
      <c r="G91" s="8"/>
      <c r="H91" s="8"/>
      <c r="I91" s="8" t="s">
        <v>86</v>
      </c>
      <c r="J91" s="8"/>
    </row>
    <row r="92" spans="1:10">
      <c r="A92" s="8">
        <f t="shared" si="4"/>
        <v>81</v>
      </c>
      <c r="B92" s="6" t="s">
        <v>61</v>
      </c>
      <c r="C92" s="141" t="s">
        <v>62</v>
      </c>
      <c r="D92" s="8" t="s">
        <v>63</v>
      </c>
      <c r="E92" s="8">
        <v>8</v>
      </c>
      <c r="F92" s="8">
        <v>8</v>
      </c>
      <c r="G92" s="8"/>
      <c r="H92" s="8"/>
      <c r="I92" s="8" t="s">
        <v>86</v>
      </c>
      <c r="J92" s="8"/>
    </row>
    <row r="93" spans="1:10">
      <c r="A93" s="8">
        <f t="shared" si="4"/>
        <v>82</v>
      </c>
      <c r="B93" s="6" t="s">
        <v>64</v>
      </c>
      <c r="C93" s="141" t="s">
        <v>62</v>
      </c>
      <c r="D93" s="8" t="s">
        <v>63</v>
      </c>
      <c r="E93" s="8">
        <v>8</v>
      </c>
      <c r="F93" s="8">
        <v>8</v>
      </c>
      <c r="G93" s="8"/>
      <c r="H93" s="8"/>
      <c r="I93" s="8" t="s">
        <v>86</v>
      </c>
      <c r="J93" s="8"/>
    </row>
    <row r="94" spans="1:10">
      <c r="A94" s="8">
        <f t="shared" ref="A94:A110" si="5">A93+1</f>
        <v>83</v>
      </c>
      <c r="B94" s="6" t="s">
        <v>65</v>
      </c>
      <c r="C94" s="8" t="s">
        <v>66</v>
      </c>
      <c r="D94" s="8" t="s">
        <v>67</v>
      </c>
      <c r="E94" s="8">
        <v>8</v>
      </c>
      <c r="F94" s="8">
        <v>8</v>
      </c>
      <c r="G94" s="8"/>
      <c r="H94" s="8"/>
      <c r="I94" s="8" t="s">
        <v>86</v>
      </c>
      <c r="J94" s="8"/>
    </row>
    <row r="95" spans="1:10">
      <c r="A95" s="8">
        <f t="shared" si="5"/>
        <v>84</v>
      </c>
      <c r="B95" s="6" t="s">
        <v>68</v>
      </c>
      <c r="C95" s="8">
        <v>2010</v>
      </c>
      <c r="D95" s="8" t="s">
        <v>55</v>
      </c>
      <c r="E95" s="8">
        <v>4</v>
      </c>
      <c r="F95" s="8">
        <v>4</v>
      </c>
      <c r="G95" s="8"/>
      <c r="H95" s="8"/>
      <c r="I95" s="8" t="s">
        <v>86</v>
      </c>
      <c r="J95" s="8" t="s">
        <v>539</v>
      </c>
    </row>
    <row r="96" spans="1:10">
      <c r="A96" s="8">
        <f t="shared" si="5"/>
        <v>85</v>
      </c>
      <c r="B96" s="6" t="s">
        <v>536</v>
      </c>
      <c r="C96" s="8">
        <v>2015</v>
      </c>
      <c r="D96" s="8" t="s">
        <v>55</v>
      </c>
      <c r="E96" s="8">
        <v>3</v>
      </c>
      <c r="F96" s="8">
        <v>4</v>
      </c>
      <c r="G96" s="8"/>
      <c r="H96" s="8"/>
      <c r="I96" s="8" t="s">
        <v>86</v>
      </c>
      <c r="J96" s="8"/>
    </row>
    <row r="97" spans="1:10">
      <c r="A97" s="8">
        <f t="shared" si="5"/>
        <v>86</v>
      </c>
      <c r="B97" s="6" t="s">
        <v>70</v>
      </c>
      <c r="C97" s="8">
        <v>2010</v>
      </c>
      <c r="D97" s="8" t="s">
        <v>71</v>
      </c>
      <c r="E97" s="8">
        <v>4</v>
      </c>
      <c r="F97" s="8">
        <v>4</v>
      </c>
      <c r="G97" s="8"/>
      <c r="H97" s="8"/>
      <c r="I97" s="8" t="s">
        <v>86</v>
      </c>
      <c r="J97" s="8"/>
    </row>
    <row r="98" spans="1:10">
      <c r="A98" s="8">
        <f t="shared" si="5"/>
        <v>87</v>
      </c>
      <c r="B98" s="6" t="s">
        <v>72</v>
      </c>
      <c r="C98" s="8">
        <v>2010</v>
      </c>
      <c r="D98" s="8" t="s">
        <v>67</v>
      </c>
      <c r="E98" s="8">
        <v>2</v>
      </c>
      <c r="F98" s="8">
        <v>2</v>
      </c>
      <c r="G98" s="8"/>
      <c r="H98" s="8"/>
      <c r="I98" s="8" t="s">
        <v>86</v>
      </c>
      <c r="J98" s="8"/>
    </row>
    <row r="99" spans="1:10">
      <c r="A99" s="8">
        <f t="shared" si="5"/>
        <v>88</v>
      </c>
      <c r="B99" s="6" t="s">
        <v>73</v>
      </c>
      <c r="C99" s="8">
        <v>2010</v>
      </c>
      <c r="D99" s="8" t="s">
        <v>63</v>
      </c>
      <c r="E99" s="8" t="s">
        <v>56</v>
      </c>
      <c r="F99" s="8">
        <v>2</v>
      </c>
      <c r="G99" s="8"/>
      <c r="H99" s="8"/>
      <c r="I99" s="8" t="s">
        <v>86</v>
      </c>
      <c r="J99" s="8"/>
    </row>
    <row r="100" spans="1:10">
      <c r="A100" s="8">
        <f t="shared" si="5"/>
        <v>89</v>
      </c>
      <c r="B100" s="6" t="s">
        <v>74</v>
      </c>
      <c r="C100" s="8">
        <v>2018</v>
      </c>
      <c r="D100" s="8" t="s">
        <v>60</v>
      </c>
      <c r="E100" s="8">
        <v>4</v>
      </c>
      <c r="F100" s="8">
        <v>4</v>
      </c>
      <c r="G100" s="8"/>
      <c r="H100" s="8"/>
      <c r="I100" s="8" t="s">
        <v>86</v>
      </c>
      <c r="J100" s="8"/>
    </row>
    <row r="101" spans="1:10">
      <c r="A101" s="8">
        <f t="shared" si="5"/>
        <v>90</v>
      </c>
      <c r="B101" s="6" t="s">
        <v>75</v>
      </c>
      <c r="C101" s="8">
        <v>2010</v>
      </c>
      <c r="D101" s="8" t="s">
        <v>60</v>
      </c>
      <c r="E101" s="8">
        <v>4</v>
      </c>
      <c r="F101" s="8">
        <v>4</v>
      </c>
      <c r="G101" s="8"/>
      <c r="H101" s="8"/>
      <c r="I101" s="8" t="s">
        <v>86</v>
      </c>
      <c r="J101" s="8"/>
    </row>
    <row r="102" spans="1:10">
      <c r="A102" s="8">
        <f t="shared" si="5"/>
        <v>91</v>
      </c>
      <c r="B102" s="6" t="s">
        <v>76</v>
      </c>
      <c r="C102" s="8">
        <v>2010</v>
      </c>
      <c r="D102" s="8" t="s">
        <v>60</v>
      </c>
      <c r="E102" s="8">
        <v>5</v>
      </c>
      <c r="F102" s="8">
        <v>5</v>
      </c>
      <c r="G102" s="8"/>
      <c r="H102" s="8"/>
      <c r="I102" s="8" t="s">
        <v>86</v>
      </c>
      <c r="J102" s="8"/>
    </row>
    <row r="103" spans="1:10">
      <c r="A103" s="8"/>
      <c r="B103" s="6" t="s">
        <v>77</v>
      </c>
      <c r="C103" s="8">
        <v>2025</v>
      </c>
      <c r="D103" s="8" t="s">
        <v>60</v>
      </c>
      <c r="E103" s="8">
        <v>1</v>
      </c>
      <c r="F103" s="8">
        <v>1</v>
      </c>
      <c r="G103" s="8"/>
      <c r="H103" s="8"/>
      <c r="I103" s="8" t="s">
        <v>86</v>
      </c>
      <c r="J103" s="8"/>
    </row>
    <row r="104" spans="1:10">
      <c r="A104" s="8">
        <f>A102+1</f>
        <v>92</v>
      </c>
      <c r="B104" s="6" t="s">
        <v>54</v>
      </c>
      <c r="C104" s="8">
        <v>2010</v>
      </c>
      <c r="D104" s="8" t="s">
        <v>55</v>
      </c>
      <c r="E104" s="8" t="s">
        <v>56</v>
      </c>
      <c r="F104" s="8" t="s">
        <v>56</v>
      </c>
      <c r="G104" s="8"/>
      <c r="H104" s="8"/>
      <c r="I104" s="8" t="s">
        <v>541</v>
      </c>
      <c r="J104" s="8"/>
    </row>
    <row r="105" spans="1:10">
      <c r="A105" s="8">
        <f t="shared" si="5"/>
        <v>93</v>
      </c>
      <c r="B105" s="6" t="s">
        <v>59</v>
      </c>
      <c r="C105" s="8">
        <v>2015</v>
      </c>
      <c r="D105" s="8" t="s">
        <v>60</v>
      </c>
      <c r="E105" s="8">
        <v>3</v>
      </c>
      <c r="F105" s="8">
        <v>3</v>
      </c>
      <c r="G105" s="8"/>
      <c r="H105" s="8"/>
      <c r="I105" s="8" t="s">
        <v>541</v>
      </c>
      <c r="J105" s="8"/>
    </row>
    <row r="106" spans="1:10">
      <c r="A106" s="8">
        <f t="shared" si="5"/>
        <v>94</v>
      </c>
      <c r="B106" s="6" t="s">
        <v>61</v>
      </c>
      <c r="C106" s="141" t="s">
        <v>62</v>
      </c>
      <c r="D106" s="8" t="s">
        <v>63</v>
      </c>
      <c r="E106" s="8" t="s">
        <v>56</v>
      </c>
      <c r="F106" s="8" t="s">
        <v>56</v>
      </c>
      <c r="G106" s="8"/>
      <c r="H106" s="8"/>
      <c r="I106" s="8" t="s">
        <v>541</v>
      </c>
      <c r="J106" s="8"/>
    </row>
    <row r="107" spans="1:10">
      <c r="A107" s="8">
        <f t="shared" si="5"/>
        <v>95</v>
      </c>
      <c r="B107" s="6" t="s">
        <v>64</v>
      </c>
      <c r="C107" s="141" t="s">
        <v>62</v>
      </c>
      <c r="D107" s="8" t="s">
        <v>63</v>
      </c>
      <c r="E107" s="8" t="s">
        <v>56</v>
      </c>
      <c r="F107" s="8" t="s">
        <v>56</v>
      </c>
      <c r="G107" s="8"/>
      <c r="H107" s="8"/>
      <c r="I107" s="8" t="s">
        <v>541</v>
      </c>
      <c r="J107" s="8"/>
    </row>
    <row r="108" spans="1:10">
      <c r="A108" s="8">
        <f t="shared" si="5"/>
        <v>96</v>
      </c>
      <c r="B108" s="6" t="s">
        <v>65</v>
      </c>
      <c r="C108" s="8" t="s">
        <v>66</v>
      </c>
      <c r="D108" s="8" t="s">
        <v>67</v>
      </c>
      <c r="E108" s="8">
        <v>3</v>
      </c>
      <c r="F108" s="8">
        <v>3</v>
      </c>
      <c r="G108" s="8"/>
      <c r="H108" s="8"/>
      <c r="I108" s="8" t="s">
        <v>541</v>
      </c>
      <c r="J108" s="8"/>
    </row>
    <row r="109" spans="1:10">
      <c r="A109" s="8">
        <f t="shared" si="5"/>
        <v>97</v>
      </c>
      <c r="B109" s="6" t="s">
        <v>68</v>
      </c>
      <c r="C109" s="8">
        <v>2010</v>
      </c>
      <c r="D109" s="8" t="s">
        <v>55</v>
      </c>
      <c r="E109" s="8">
        <v>2</v>
      </c>
      <c r="F109" s="8">
        <v>2</v>
      </c>
      <c r="G109" s="8"/>
      <c r="H109" s="8"/>
      <c r="I109" s="8" t="s">
        <v>541</v>
      </c>
      <c r="J109" s="8"/>
    </row>
    <row r="110" spans="1:10">
      <c r="A110" s="8">
        <f t="shared" si="5"/>
        <v>98</v>
      </c>
      <c r="B110" s="6" t="s">
        <v>536</v>
      </c>
      <c r="C110" s="8">
        <v>2015</v>
      </c>
      <c r="D110" s="8" t="s">
        <v>55</v>
      </c>
      <c r="E110" s="8" t="s">
        <v>56</v>
      </c>
      <c r="F110" s="8" t="s">
        <v>56</v>
      </c>
      <c r="G110" s="8"/>
      <c r="H110" s="8"/>
      <c r="I110" s="8" t="s">
        <v>541</v>
      </c>
      <c r="J110" s="8"/>
    </row>
    <row r="111" spans="1:10">
      <c r="A111" s="8">
        <f t="shared" ref="A111:A126" si="6">A110+1</f>
        <v>99</v>
      </c>
      <c r="B111" s="6" t="s">
        <v>70</v>
      </c>
      <c r="C111" s="8">
        <v>2010</v>
      </c>
      <c r="D111" s="8" t="s">
        <v>71</v>
      </c>
      <c r="E111" s="8">
        <v>4</v>
      </c>
      <c r="F111" s="8">
        <v>4</v>
      </c>
      <c r="G111" s="8"/>
      <c r="H111" s="8"/>
      <c r="I111" s="8" t="s">
        <v>541</v>
      </c>
      <c r="J111" s="8"/>
    </row>
    <row r="112" spans="1:10">
      <c r="A112" s="8">
        <f t="shared" si="6"/>
        <v>100</v>
      </c>
      <c r="B112" s="6" t="s">
        <v>72</v>
      </c>
      <c r="C112" s="8">
        <v>2010</v>
      </c>
      <c r="D112" s="8" t="s">
        <v>67</v>
      </c>
      <c r="E112" s="8">
        <v>1</v>
      </c>
      <c r="F112" s="8">
        <v>1</v>
      </c>
      <c r="G112" s="8"/>
      <c r="H112" s="8"/>
      <c r="I112" s="8" t="s">
        <v>541</v>
      </c>
      <c r="J112" s="8"/>
    </row>
    <row r="113" spans="1:10">
      <c r="A113" s="8">
        <f t="shared" si="6"/>
        <v>101</v>
      </c>
      <c r="B113" s="6" t="s">
        <v>73</v>
      </c>
      <c r="C113" s="8">
        <v>2010</v>
      </c>
      <c r="D113" s="8" t="s">
        <v>63</v>
      </c>
      <c r="E113" s="8" t="s">
        <v>56</v>
      </c>
      <c r="F113" s="8" t="s">
        <v>56</v>
      </c>
      <c r="G113" s="8"/>
      <c r="H113" s="8"/>
      <c r="I113" s="8" t="s">
        <v>541</v>
      </c>
      <c r="J113" s="8"/>
    </row>
    <row r="114" spans="1:10">
      <c r="A114" s="8">
        <f t="shared" si="6"/>
        <v>102</v>
      </c>
      <c r="B114" s="6" t="s">
        <v>74</v>
      </c>
      <c r="C114" s="8">
        <v>2018</v>
      </c>
      <c r="D114" s="8" t="s">
        <v>60</v>
      </c>
      <c r="E114" s="8">
        <v>1</v>
      </c>
      <c r="F114" s="8">
        <v>1</v>
      </c>
      <c r="G114" s="8"/>
      <c r="H114" s="8"/>
      <c r="I114" s="8" t="s">
        <v>541</v>
      </c>
      <c r="J114" s="8"/>
    </row>
    <row r="115" spans="1:10">
      <c r="A115" s="8">
        <f t="shared" si="6"/>
        <v>103</v>
      </c>
      <c r="B115" s="6" t="s">
        <v>75</v>
      </c>
      <c r="C115" s="8">
        <v>2010</v>
      </c>
      <c r="D115" s="8" t="s">
        <v>60</v>
      </c>
      <c r="E115" s="8">
        <v>3</v>
      </c>
      <c r="F115" s="8">
        <v>1</v>
      </c>
      <c r="G115" s="8"/>
      <c r="H115" s="8"/>
      <c r="I115" s="8" t="s">
        <v>541</v>
      </c>
      <c r="J115" s="8"/>
    </row>
    <row r="116" spans="1:10">
      <c r="A116" s="8">
        <f t="shared" si="6"/>
        <v>104</v>
      </c>
      <c r="B116" s="6" t="s">
        <v>76</v>
      </c>
      <c r="C116" s="8">
        <v>2010</v>
      </c>
      <c r="D116" s="8" t="s">
        <v>60</v>
      </c>
      <c r="E116" s="8">
        <v>3</v>
      </c>
      <c r="F116" s="8">
        <v>2</v>
      </c>
      <c r="G116" s="8"/>
      <c r="H116" s="8"/>
      <c r="I116" s="8" t="s">
        <v>541</v>
      </c>
      <c r="J116" s="8"/>
    </row>
    <row r="117" spans="1:10">
      <c r="A117" s="8">
        <f t="shared" si="6"/>
        <v>105</v>
      </c>
      <c r="B117" s="6" t="s">
        <v>54</v>
      </c>
      <c r="C117" s="8">
        <v>2010</v>
      </c>
      <c r="D117" s="8" t="s">
        <v>55</v>
      </c>
      <c r="E117" s="8">
        <v>8</v>
      </c>
      <c r="F117" s="8">
        <v>8</v>
      </c>
      <c r="G117" s="8"/>
      <c r="H117" s="8"/>
      <c r="I117" s="8" t="s">
        <v>87</v>
      </c>
      <c r="J117" s="8"/>
    </row>
    <row r="118" spans="1:10">
      <c r="A118" s="8">
        <f t="shared" si="6"/>
        <v>106</v>
      </c>
      <c r="B118" s="6" t="s">
        <v>59</v>
      </c>
      <c r="C118" s="8">
        <v>2015</v>
      </c>
      <c r="D118" s="8" t="s">
        <v>60</v>
      </c>
      <c r="E118" s="8">
        <v>8</v>
      </c>
      <c r="F118" s="8">
        <v>8</v>
      </c>
      <c r="G118" s="8"/>
      <c r="H118" s="8"/>
      <c r="I118" s="8" t="s">
        <v>87</v>
      </c>
      <c r="J118" s="8"/>
    </row>
    <row r="119" spans="1:10">
      <c r="A119" s="8">
        <f t="shared" si="6"/>
        <v>107</v>
      </c>
      <c r="B119" s="6" t="s">
        <v>61</v>
      </c>
      <c r="C119" s="141" t="s">
        <v>62</v>
      </c>
      <c r="D119" s="8" t="s">
        <v>63</v>
      </c>
      <c r="E119" s="8">
        <v>8</v>
      </c>
      <c r="F119" s="8">
        <v>8</v>
      </c>
      <c r="G119" s="8"/>
      <c r="H119" s="8"/>
      <c r="I119" s="8" t="s">
        <v>87</v>
      </c>
      <c r="J119" s="8"/>
    </row>
    <row r="120" spans="1:10">
      <c r="A120" s="8">
        <f t="shared" si="6"/>
        <v>108</v>
      </c>
      <c r="B120" s="6" t="s">
        <v>64</v>
      </c>
      <c r="C120" s="141" t="s">
        <v>62</v>
      </c>
      <c r="D120" s="8" t="s">
        <v>63</v>
      </c>
      <c r="E120" s="8">
        <v>8</v>
      </c>
      <c r="F120" s="8">
        <v>8</v>
      </c>
      <c r="G120" s="8"/>
      <c r="H120" s="8"/>
      <c r="I120" s="8" t="s">
        <v>87</v>
      </c>
      <c r="J120" s="8"/>
    </row>
    <row r="121" spans="1:10">
      <c r="A121" s="8">
        <f t="shared" si="6"/>
        <v>109</v>
      </c>
      <c r="B121" s="6" t="s">
        <v>65</v>
      </c>
      <c r="C121" s="8" t="s">
        <v>66</v>
      </c>
      <c r="D121" s="8" t="s">
        <v>67</v>
      </c>
      <c r="E121" s="8">
        <v>8</v>
      </c>
      <c r="F121" s="8">
        <v>8</v>
      </c>
      <c r="G121" s="8"/>
      <c r="H121" s="8"/>
      <c r="I121" s="8" t="s">
        <v>87</v>
      </c>
      <c r="J121" s="8"/>
    </row>
    <row r="122" spans="1:10">
      <c r="A122" s="8">
        <f t="shared" si="6"/>
        <v>110</v>
      </c>
      <c r="B122" s="6" t="s">
        <v>68</v>
      </c>
      <c r="C122" s="8">
        <v>2010</v>
      </c>
      <c r="D122" s="8" t="s">
        <v>55</v>
      </c>
      <c r="E122" s="8">
        <v>4</v>
      </c>
      <c r="F122" s="8">
        <v>4</v>
      </c>
      <c r="G122" s="8"/>
      <c r="H122" s="8"/>
      <c r="I122" s="8" t="s">
        <v>87</v>
      </c>
      <c r="J122" s="8"/>
    </row>
    <row r="123" spans="1:10">
      <c r="A123" s="8">
        <f t="shared" si="6"/>
        <v>111</v>
      </c>
      <c r="B123" s="6" t="s">
        <v>537</v>
      </c>
      <c r="C123" s="8">
        <v>2015</v>
      </c>
      <c r="D123" s="8" t="s">
        <v>55</v>
      </c>
      <c r="E123" s="8">
        <v>4</v>
      </c>
      <c r="F123" s="8">
        <v>4</v>
      </c>
      <c r="G123" s="8"/>
      <c r="H123" s="8"/>
      <c r="I123" s="8" t="s">
        <v>87</v>
      </c>
      <c r="J123" s="8"/>
    </row>
    <row r="124" spans="1:10">
      <c r="A124" s="8">
        <f t="shared" si="6"/>
        <v>112</v>
      </c>
      <c r="B124" s="6" t="s">
        <v>70</v>
      </c>
      <c r="C124" s="8">
        <v>2010</v>
      </c>
      <c r="D124" s="8" t="s">
        <v>71</v>
      </c>
      <c r="E124" s="8">
        <v>4</v>
      </c>
      <c r="F124" s="8">
        <v>4</v>
      </c>
      <c r="G124" s="8"/>
      <c r="H124" s="8"/>
      <c r="I124" s="8" t="s">
        <v>87</v>
      </c>
      <c r="J124" s="8"/>
    </row>
    <row r="125" spans="1:10">
      <c r="A125" s="8">
        <f t="shared" si="6"/>
        <v>113</v>
      </c>
      <c r="B125" s="6" t="s">
        <v>72</v>
      </c>
      <c r="C125" s="8">
        <v>2010</v>
      </c>
      <c r="D125" s="8" t="s">
        <v>67</v>
      </c>
      <c r="E125" s="8">
        <v>2</v>
      </c>
      <c r="F125" s="8">
        <v>2</v>
      </c>
      <c r="G125" s="8"/>
      <c r="H125" s="8"/>
      <c r="I125" s="8" t="s">
        <v>87</v>
      </c>
      <c r="J125" s="8"/>
    </row>
    <row r="126" spans="1:10">
      <c r="A126" s="8">
        <f t="shared" si="6"/>
        <v>114</v>
      </c>
      <c r="B126" s="6" t="s">
        <v>73</v>
      </c>
      <c r="C126" s="8">
        <v>2010</v>
      </c>
      <c r="D126" s="8" t="s">
        <v>63</v>
      </c>
      <c r="E126" s="8">
        <v>1</v>
      </c>
      <c r="F126" s="8">
        <v>1</v>
      </c>
      <c r="G126" s="8"/>
      <c r="H126" s="8"/>
      <c r="I126" s="8" t="s">
        <v>87</v>
      </c>
      <c r="J126" s="8"/>
    </row>
    <row r="127" spans="1:10">
      <c r="A127" s="8">
        <f t="shared" ref="A127:A143" si="7">A126+1</f>
        <v>115</v>
      </c>
      <c r="B127" s="6" t="s">
        <v>74</v>
      </c>
      <c r="C127" s="8">
        <v>2018</v>
      </c>
      <c r="D127" s="8" t="s">
        <v>60</v>
      </c>
      <c r="E127" s="8">
        <v>4</v>
      </c>
      <c r="F127" s="8">
        <v>4</v>
      </c>
      <c r="G127" s="8"/>
      <c r="H127" s="8"/>
      <c r="I127" s="8" t="s">
        <v>87</v>
      </c>
      <c r="J127" s="8"/>
    </row>
    <row r="128" spans="1:10">
      <c r="A128" s="8">
        <f t="shared" si="7"/>
        <v>116</v>
      </c>
      <c r="B128" s="6" t="s">
        <v>75</v>
      </c>
      <c r="C128" s="8">
        <v>2010</v>
      </c>
      <c r="D128" s="8" t="s">
        <v>60</v>
      </c>
      <c r="E128" s="8">
        <v>4</v>
      </c>
      <c r="F128" s="8">
        <v>4</v>
      </c>
      <c r="G128" s="8"/>
      <c r="H128" s="8"/>
      <c r="I128" s="8" t="s">
        <v>87</v>
      </c>
      <c r="J128" s="8"/>
    </row>
    <row r="129" spans="1:10">
      <c r="A129" s="8">
        <f t="shared" si="7"/>
        <v>117</v>
      </c>
      <c r="B129" s="6" t="s">
        <v>76</v>
      </c>
      <c r="C129" s="8">
        <v>2010</v>
      </c>
      <c r="D129" s="8" t="s">
        <v>60</v>
      </c>
      <c r="E129" s="8">
        <v>5</v>
      </c>
      <c r="F129" s="8">
        <v>5</v>
      </c>
      <c r="G129" s="8"/>
      <c r="H129" s="8"/>
      <c r="I129" s="8" t="s">
        <v>87</v>
      </c>
      <c r="J129" s="8"/>
    </row>
    <row r="130" spans="1:10">
      <c r="A130" s="8">
        <f t="shared" si="7"/>
        <v>118</v>
      </c>
      <c r="B130" s="6" t="s">
        <v>77</v>
      </c>
      <c r="C130" s="8">
        <v>2025</v>
      </c>
      <c r="D130" s="8" t="s">
        <v>60</v>
      </c>
      <c r="E130" s="8">
        <v>1</v>
      </c>
      <c r="F130" s="8">
        <v>1</v>
      </c>
      <c r="G130" s="8"/>
      <c r="H130" s="8"/>
      <c r="I130" s="8" t="s">
        <v>87</v>
      </c>
      <c r="J130" s="8"/>
    </row>
    <row r="131" spans="1:10">
      <c r="A131" s="8">
        <f>A129+1</f>
        <v>118</v>
      </c>
      <c r="B131" s="6" t="s">
        <v>54</v>
      </c>
      <c r="C131" s="8">
        <v>2010</v>
      </c>
      <c r="D131" s="8" t="s">
        <v>55</v>
      </c>
      <c r="E131" s="8">
        <v>8</v>
      </c>
      <c r="F131" s="8">
        <v>7</v>
      </c>
      <c r="G131" s="8">
        <v>1</v>
      </c>
      <c r="H131" s="8"/>
      <c r="I131" s="8" t="s">
        <v>89</v>
      </c>
      <c r="J131" s="8" t="s">
        <v>542</v>
      </c>
    </row>
    <row r="132" spans="1:10">
      <c r="A132" s="8">
        <f t="shared" si="7"/>
        <v>119</v>
      </c>
      <c r="B132" s="6" t="s">
        <v>59</v>
      </c>
      <c r="C132" s="8">
        <v>2015</v>
      </c>
      <c r="D132" s="8" t="s">
        <v>60</v>
      </c>
      <c r="E132" s="8">
        <v>8</v>
      </c>
      <c r="F132" s="8">
        <v>8</v>
      </c>
      <c r="G132" s="8"/>
      <c r="H132" s="8"/>
      <c r="I132" s="8" t="s">
        <v>89</v>
      </c>
      <c r="J132" s="8"/>
    </row>
    <row r="133" spans="1:10">
      <c r="A133" s="8">
        <f t="shared" si="7"/>
        <v>120</v>
      </c>
      <c r="B133" s="6" t="s">
        <v>61</v>
      </c>
      <c r="C133" s="141" t="s">
        <v>62</v>
      </c>
      <c r="D133" s="8" t="s">
        <v>63</v>
      </c>
      <c r="E133" s="8">
        <v>8</v>
      </c>
      <c r="F133" s="8">
        <v>8</v>
      </c>
      <c r="G133" s="8"/>
      <c r="H133" s="8"/>
      <c r="I133" s="8" t="s">
        <v>89</v>
      </c>
      <c r="J133" s="8"/>
    </row>
    <row r="134" spans="1:10">
      <c r="A134" s="8">
        <f t="shared" si="7"/>
        <v>121</v>
      </c>
      <c r="B134" s="6" t="s">
        <v>64</v>
      </c>
      <c r="C134" s="141" t="s">
        <v>62</v>
      </c>
      <c r="D134" s="8" t="s">
        <v>63</v>
      </c>
      <c r="E134" s="8">
        <v>8</v>
      </c>
      <c r="F134" s="8">
        <v>8</v>
      </c>
      <c r="G134" s="8"/>
      <c r="H134" s="8"/>
      <c r="I134" s="8" t="s">
        <v>89</v>
      </c>
      <c r="J134" s="8"/>
    </row>
    <row r="135" spans="1:10">
      <c r="A135" s="8">
        <f t="shared" si="7"/>
        <v>122</v>
      </c>
      <c r="B135" s="6" t="s">
        <v>65</v>
      </c>
      <c r="C135" s="8" t="s">
        <v>66</v>
      </c>
      <c r="D135" s="8" t="s">
        <v>67</v>
      </c>
      <c r="E135" s="8">
        <v>8</v>
      </c>
      <c r="F135" s="8">
        <v>8</v>
      </c>
      <c r="G135" s="8"/>
      <c r="H135" s="8"/>
      <c r="I135" s="8" t="s">
        <v>89</v>
      </c>
      <c r="J135" s="8"/>
    </row>
    <row r="136" spans="1:10">
      <c r="A136" s="8">
        <f t="shared" si="7"/>
        <v>123</v>
      </c>
      <c r="B136" s="6" t="s">
        <v>68</v>
      </c>
      <c r="C136" s="8">
        <v>2010</v>
      </c>
      <c r="D136" s="8" t="s">
        <v>55</v>
      </c>
      <c r="E136" s="8">
        <v>4</v>
      </c>
      <c r="F136" s="8">
        <v>4</v>
      </c>
      <c r="G136" s="8"/>
      <c r="H136" s="8"/>
      <c r="I136" s="8" t="s">
        <v>89</v>
      </c>
      <c r="J136" s="8"/>
    </row>
    <row r="137" spans="1:10">
      <c r="A137" s="8">
        <f t="shared" si="7"/>
        <v>124</v>
      </c>
      <c r="B137" s="6" t="s">
        <v>537</v>
      </c>
      <c r="C137" s="8">
        <v>2015</v>
      </c>
      <c r="D137" s="8" t="s">
        <v>55</v>
      </c>
      <c r="E137" s="8">
        <v>4</v>
      </c>
      <c r="F137" s="8">
        <v>4</v>
      </c>
      <c r="G137" s="8"/>
      <c r="H137" s="8"/>
      <c r="I137" s="8" t="s">
        <v>89</v>
      </c>
      <c r="J137" s="8"/>
    </row>
    <row r="138" spans="1:10">
      <c r="A138" s="8">
        <f t="shared" si="7"/>
        <v>125</v>
      </c>
      <c r="B138" s="6" t="s">
        <v>70</v>
      </c>
      <c r="C138" s="8">
        <v>2010</v>
      </c>
      <c r="D138" s="8" t="s">
        <v>71</v>
      </c>
      <c r="E138" s="8">
        <v>4</v>
      </c>
      <c r="F138" s="8">
        <v>4</v>
      </c>
      <c r="G138" s="8"/>
      <c r="H138" s="8"/>
      <c r="I138" s="8" t="s">
        <v>89</v>
      </c>
      <c r="J138" s="8"/>
    </row>
    <row r="139" spans="1:10">
      <c r="A139" s="8">
        <f t="shared" si="7"/>
        <v>126</v>
      </c>
      <c r="B139" s="6" t="s">
        <v>72</v>
      </c>
      <c r="C139" s="8">
        <v>2010</v>
      </c>
      <c r="D139" s="8" t="s">
        <v>67</v>
      </c>
      <c r="E139" s="8">
        <v>2</v>
      </c>
      <c r="F139" s="8">
        <v>2</v>
      </c>
      <c r="G139" s="8"/>
      <c r="H139" s="8"/>
      <c r="I139" s="8" t="s">
        <v>89</v>
      </c>
      <c r="J139" s="8"/>
    </row>
    <row r="140" spans="1:10">
      <c r="A140" s="8">
        <f t="shared" si="7"/>
        <v>127</v>
      </c>
      <c r="B140" s="6" t="s">
        <v>73</v>
      </c>
      <c r="C140" s="8">
        <v>2010</v>
      </c>
      <c r="D140" s="8" t="s">
        <v>63</v>
      </c>
      <c r="E140" s="8">
        <v>1</v>
      </c>
      <c r="F140" s="8">
        <v>1</v>
      </c>
      <c r="G140" s="8"/>
      <c r="H140" s="8"/>
      <c r="I140" s="8" t="s">
        <v>89</v>
      </c>
      <c r="J140" s="8"/>
    </row>
    <row r="141" spans="1:10">
      <c r="A141" s="8">
        <f t="shared" si="7"/>
        <v>128</v>
      </c>
      <c r="B141" s="6" t="s">
        <v>74</v>
      </c>
      <c r="C141" s="8">
        <v>2018</v>
      </c>
      <c r="D141" s="8" t="s">
        <v>60</v>
      </c>
      <c r="E141" s="8">
        <v>4</v>
      </c>
      <c r="F141" s="8">
        <v>4</v>
      </c>
      <c r="G141" s="8"/>
      <c r="H141" s="8"/>
      <c r="I141" s="8" t="s">
        <v>89</v>
      </c>
      <c r="J141" s="8"/>
    </row>
    <row r="142" spans="1:10">
      <c r="A142" s="8">
        <f t="shared" si="7"/>
        <v>129</v>
      </c>
      <c r="B142" s="6" t="s">
        <v>75</v>
      </c>
      <c r="C142" s="8">
        <v>2010</v>
      </c>
      <c r="D142" s="8" t="s">
        <v>60</v>
      </c>
      <c r="E142" s="8">
        <v>4</v>
      </c>
      <c r="F142" s="8">
        <v>4</v>
      </c>
      <c r="G142" s="8"/>
      <c r="H142" s="8"/>
      <c r="I142" s="8" t="s">
        <v>89</v>
      </c>
      <c r="J142" s="8"/>
    </row>
    <row r="143" spans="1:10">
      <c r="A143" s="8">
        <f t="shared" si="7"/>
        <v>130</v>
      </c>
      <c r="B143" s="6" t="s">
        <v>76</v>
      </c>
      <c r="C143" s="8">
        <v>2010</v>
      </c>
      <c r="D143" s="8" t="s">
        <v>60</v>
      </c>
      <c r="E143" s="8">
        <v>5</v>
      </c>
      <c r="F143" s="8">
        <v>5</v>
      </c>
      <c r="G143" s="8"/>
      <c r="H143" s="8"/>
      <c r="I143" s="8" t="s">
        <v>89</v>
      </c>
      <c r="J143" s="8"/>
    </row>
    <row r="144" spans="1:10">
      <c r="A144" s="8"/>
      <c r="B144" s="6" t="s">
        <v>77</v>
      </c>
      <c r="C144" s="8">
        <v>2025</v>
      </c>
      <c r="D144" s="8" t="s">
        <v>60</v>
      </c>
      <c r="E144" s="8">
        <v>1</v>
      </c>
      <c r="F144" s="8">
        <v>1</v>
      </c>
      <c r="G144" s="8"/>
      <c r="H144" s="8"/>
      <c r="I144" s="8" t="s">
        <v>89</v>
      </c>
      <c r="J144" s="8"/>
    </row>
    <row r="145" spans="1:10">
      <c r="A145" s="8">
        <f>A143+1</f>
        <v>131</v>
      </c>
      <c r="B145" s="6" t="s">
        <v>54</v>
      </c>
      <c r="C145" s="8">
        <v>2010</v>
      </c>
      <c r="D145" s="8" t="s">
        <v>55</v>
      </c>
      <c r="E145" s="8">
        <v>8</v>
      </c>
      <c r="F145" s="8">
        <v>8</v>
      </c>
      <c r="G145" s="8"/>
      <c r="H145" s="8"/>
      <c r="I145" s="8" t="s">
        <v>91</v>
      </c>
      <c r="J145" s="8"/>
    </row>
    <row r="146" spans="1:10">
      <c r="A146" s="8">
        <f t="shared" ref="A146:A161" si="8">A145+1</f>
        <v>132</v>
      </c>
      <c r="B146" s="6" t="s">
        <v>59</v>
      </c>
      <c r="C146" s="8">
        <v>2015</v>
      </c>
      <c r="D146" s="8" t="s">
        <v>60</v>
      </c>
      <c r="E146" s="8">
        <v>8</v>
      </c>
      <c r="F146" s="8">
        <v>8</v>
      </c>
      <c r="G146" s="8"/>
      <c r="H146" s="8"/>
      <c r="I146" s="8" t="s">
        <v>91</v>
      </c>
      <c r="J146" s="8"/>
    </row>
    <row r="147" spans="1:10">
      <c r="A147" s="8">
        <f t="shared" si="8"/>
        <v>133</v>
      </c>
      <c r="B147" s="6" t="s">
        <v>61</v>
      </c>
      <c r="C147" s="141" t="s">
        <v>62</v>
      </c>
      <c r="D147" s="8" t="s">
        <v>63</v>
      </c>
      <c r="E147" s="8">
        <v>8</v>
      </c>
      <c r="F147" s="8">
        <v>8</v>
      </c>
      <c r="G147" s="8"/>
      <c r="H147" s="8"/>
      <c r="I147" s="8" t="s">
        <v>91</v>
      </c>
      <c r="J147" s="8"/>
    </row>
    <row r="148" spans="1:10">
      <c r="A148" s="8">
        <f t="shared" si="8"/>
        <v>134</v>
      </c>
      <c r="B148" s="6" t="s">
        <v>64</v>
      </c>
      <c r="C148" s="141" t="s">
        <v>62</v>
      </c>
      <c r="D148" s="8" t="s">
        <v>63</v>
      </c>
      <c r="E148" s="8">
        <v>8</v>
      </c>
      <c r="F148" s="8">
        <v>8</v>
      </c>
      <c r="G148" s="8"/>
      <c r="H148" s="8"/>
      <c r="I148" s="8" t="s">
        <v>91</v>
      </c>
      <c r="J148" s="8"/>
    </row>
    <row r="149" spans="1:10">
      <c r="A149" s="8">
        <f t="shared" si="8"/>
        <v>135</v>
      </c>
      <c r="B149" s="6" t="s">
        <v>65</v>
      </c>
      <c r="C149" s="8" t="s">
        <v>66</v>
      </c>
      <c r="D149" s="8" t="s">
        <v>67</v>
      </c>
      <c r="E149" s="8">
        <v>8</v>
      </c>
      <c r="F149" s="8">
        <v>8</v>
      </c>
      <c r="G149" s="8"/>
      <c r="H149" s="8"/>
      <c r="I149" s="8" t="s">
        <v>91</v>
      </c>
      <c r="J149" s="8"/>
    </row>
    <row r="150" spans="1:10">
      <c r="A150" s="8">
        <f t="shared" si="8"/>
        <v>136</v>
      </c>
      <c r="B150" s="6" t="s">
        <v>68</v>
      </c>
      <c r="C150" s="8">
        <v>2010</v>
      </c>
      <c r="D150" s="8" t="s">
        <v>55</v>
      </c>
      <c r="E150" s="8">
        <v>4</v>
      </c>
      <c r="F150" s="8">
        <v>4</v>
      </c>
      <c r="G150" s="8"/>
      <c r="H150" s="8"/>
      <c r="I150" s="8" t="s">
        <v>91</v>
      </c>
      <c r="J150" s="8"/>
    </row>
    <row r="151" spans="1:10">
      <c r="A151" s="8">
        <f t="shared" si="8"/>
        <v>137</v>
      </c>
      <c r="B151" s="6" t="s">
        <v>537</v>
      </c>
      <c r="C151" s="8">
        <v>2015</v>
      </c>
      <c r="D151" s="8" t="s">
        <v>55</v>
      </c>
      <c r="E151" s="8">
        <v>4</v>
      </c>
      <c r="F151" s="8">
        <v>4</v>
      </c>
      <c r="G151" s="8"/>
      <c r="H151" s="8"/>
      <c r="I151" s="8" t="s">
        <v>91</v>
      </c>
      <c r="J151" s="8"/>
    </row>
    <row r="152" spans="1:10">
      <c r="A152" s="8">
        <f t="shared" si="8"/>
        <v>138</v>
      </c>
      <c r="B152" s="6" t="s">
        <v>70</v>
      </c>
      <c r="C152" s="8">
        <v>2010</v>
      </c>
      <c r="D152" s="8" t="s">
        <v>71</v>
      </c>
      <c r="E152" s="8">
        <v>4</v>
      </c>
      <c r="F152" s="8">
        <v>4</v>
      </c>
      <c r="G152" s="8"/>
      <c r="H152" s="8"/>
      <c r="I152" s="8" t="s">
        <v>91</v>
      </c>
      <c r="J152" s="8"/>
    </row>
    <row r="153" spans="1:10">
      <c r="A153" s="8">
        <f t="shared" si="8"/>
        <v>139</v>
      </c>
      <c r="B153" s="6" t="s">
        <v>72</v>
      </c>
      <c r="C153" s="8">
        <v>2010</v>
      </c>
      <c r="D153" s="8" t="s">
        <v>67</v>
      </c>
      <c r="E153" s="8">
        <v>2</v>
      </c>
      <c r="F153" s="8">
        <v>2</v>
      </c>
      <c r="G153" s="8"/>
      <c r="H153" s="8"/>
      <c r="I153" s="8" t="s">
        <v>91</v>
      </c>
      <c r="J153" s="8"/>
    </row>
    <row r="154" spans="1:10">
      <c r="A154" s="8">
        <f t="shared" si="8"/>
        <v>140</v>
      </c>
      <c r="B154" s="6" t="s">
        <v>73</v>
      </c>
      <c r="C154" s="8">
        <v>2010</v>
      </c>
      <c r="D154" s="8" t="s">
        <v>63</v>
      </c>
      <c r="E154" s="8">
        <v>1</v>
      </c>
      <c r="F154" s="8">
        <v>0</v>
      </c>
      <c r="G154" s="8"/>
      <c r="H154" s="8"/>
      <c r="I154" s="8" t="s">
        <v>91</v>
      </c>
      <c r="J154" s="8"/>
    </row>
    <row r="155" spans="1:10">
      <c r="A155" s="8">
        <f t="shared" si="8"/>
        <v>141</v>
      </c>
      <c r="B155" s="6" t="s">
        <v>74</v>
      </c>
      <c r="C155" s="8">
        <v>2018</v>
      </c>
      <c r="D155" s="8" t="s">
        <v>60</v>
      </c>
      <c r="E155" s="8">
        <v>4</v>
      </c>
      <c r="F155" s="8">
        <v>4</v>
      </c>
      <c r="G155" s="8"/>
      <c r="H155" s="8"/>
      <c r="I155" s="8" t="s">
        <v>91</v>
      </c>
      <c r="J155" s="8"/>
    </row>
    <row r="156" spans="1:10">
      <c r="A156" s="8">
        <f t="shared" si="8"/>
        <v>142</v>
      </c>
      <c r="B156" s="6" t="s">
        <v>75</v>
      </c>
      <c r="C156" s="8">
        <v>2010</v>
      </c>
      <c r="D156" s="8" t="s">
        <v>60</v>
      </c>
      <c r="E156" s="8">
        <v>4</v>
      </c>
      <c r="F156" s="8">
        <v>4</v>
      </c>
      <c r="G156" s="8"/>
      <c r="H156" s="8"/>
      <c r="I156" s="8" t="s">
        <v>91</v>
      </c>
      <c r="J156" s="8"/>
    </row>
    <row r="157" spans="1:10">
      <c r="A157" s="8">
        <f t="shared" si="8"/>
        <v>143</v>
      </c>
      <c r="B157" s="6" t="s">
        <v>76</v>
      </c>
      <c r="C157" s="8">
        <v>2010</v>
      </c>
      <c r="D157" s="8" t="s">
        <v>60</v>
      </c>
      <c r="E157" s="8">
        <v>5</v>
      </c>
      <c r="F157" s="8">
        <v>5</v>
      </c>
      <c r="G157" s="8"/>
      <c r="H157" s="8"/>
      <c r="I157" s="8" t="s">
        <v>91</v>
      </c>
      <c r="J157" s="8"/>
    </row>
    <row r="158" spans="1:10">
      <c r="A158" s="8">
        <f t="shared" si="8"/>
        <v>144</v>
      </c>
      <c r="B158" s="6" t="s">
        <v>77</v>
      </c>
      <c r="C158" s="8">
        <v>2025</v>
      </c>
      <c r="D158" s="8" t="s">
        <v>60</v>
      </c>
      <c r="E158" s="8">
        <v>1</v>
      </c>
      <c r="F158" s="8">
        <v>1</v>
      </c>
      <c r="G158" s="8"/>
      <c r="H158" s="8"/>
      <c r="I158" s="8" t="s">
        <v>92</v>
      </c>
      <c r="J158" s="8"/>
    </row>
    <row r="159" spans="1:10">
      <c r="A159" s="8">
        <f>A157+1</f>
        <v>144</v>
      </c>
      <c r="B159" s="6" t="s">
        <v>54</v>
      </c>
      <c r="C159" s="8">
        <v>2010</v>
      </c>
      <c r="D159" s="8" t="s">
        <v>55</v>
      </c>
      <c r="E159" s="8">
        <v>8</v>
      </c>
      <c r="F159" s="8">
        <v>8</v>
      </c>
      <c r="G159" s="8"/>
      <c r="H159" s="8"/>
      <c r="I159" s="8" t="s">
        <v>92</v>
      </c>
      <c r="J159" s="8"/>
    </row>
    <row r="160" spans="1:10">
      <c r="A160" s="8">
        <f t="shared" si="8"/>
        <v>145</v>
      </c>
      <c r="B160" s="6" t="s">
        <v>59</v>
      </c>
      <c r="C160" s="8">
        <v>2015</v>
      </c>
      <c r="D160" s="8" t="s">
        <v>60</v>
      </c>
      <c r="E160" s="8">
        <v>8</v>
      </c>
      <c r="F160" s="8">
        <v>8</v>
      </c>
      <c r="G160" s="8"/>
      <c r="H160" s="8"/>
      <c r="I160" s="8" t="s">
        <v>92</v>
      </c>
      <c r="J160" s="8"/>
    </row>
    <row r="161" spans="1:10">
      <c r="A161" s="8">
        <f t="shared" si="8"/>
        <v>146</v>
      </c>
      <c r="B161" s="6" t="s">
        <v>61</v>
      </c>
      <c r="C161" s="141" t="s">
        <v>62</v>
      </c>
      <c r="D161" s="8" t="s">
        <v>63</v>
      </c>
      <c r="E161" s="8">
        <v>8</v>
      </c>
      <c r="F161" s="8" t="s">
        <v>56</v>
      </c>
      <c r="G161" s="8"/>
      <c r="H161" s="8"/>
      <c r="I161" s="8" t="s">
        <v>92</v>
      </c>
      <c r="J161" s="8"/>
    </row>
    <row r="162" spans="1:10">
      <c r="A162" s="8">
        <f t="shared" ref="A162:A225" si="9">A161+1</f>
        <v>147</v>
      </c>
      <c r="B162" s="6" t="s">
        <v>64</v>
      </c>
      <c r="C162" s="141" t="s">
        <v>62</v>
      </c>
      <c r="D162" s="8" t="s">
        <v>63</v>
      </c>
      <c r="E162" s="8">
        <v>8</v>
      </c>
      <c r="F162" s="8" t="s">
        <v>56</v>
      </c>
      <c r="G162" s="8"/>
      <c r="H162" s="8"/>
      <c r="I162" s="8" t="s">
        <v>92</v>
      </c>
      <c r="J162" s="8"/>
    </row>
    <row r="163" spans="1:10">
      <c r="A163" s="8">
        <f t="shared" si="9"/>
        <v>148</v>
      </c>
      <c r="B163" s="6" t="s">
        <v>65</v>
      </c>
      <c r="C163" s="8" t="s">
        <v>66</v>
      </c>
      <c r="D163" s="8" t="s">
        <v>67</v>
      </c>
      <c r="E163" s="8">
        <v>8</v>
      </c>
      <c r="F163" s="8">
        <v>8</v>
      </c>
      <c r="G163" s="8"/>
      <c r="H163" s="8"/>
      <c r="I163" s="8" t="s">
        <v>92</v>
      </c>
      <c r="J163" s="8"/>
    </row>
    <row r="164" spans="1:10">
      <c r="A164" s="8">
        <f t="shared" si="9"/>
        <v>149</v>
      </c>
      <c r="B164" s="6" t="s">
        <v>68</v>
      </c>
      <c r="C164" s="8">
        <v>2010</v>
      </c>
      <c r="D164" s="8" t="s">
        <v>55</v>
      </c>
      <c r="E164" s="8">
        <v>4</v>
      </c>
      <c r="F164" s="8">
        <v>4</v>
      </c>
      <c r="G164" s="8"/>
      <c r="H164" s="8"/>
      <c r="I164" s="8" t="s">
        <v>92</v>
      </c>
      <c r="J164" s="8"/>
    </row>
    <row r="165" spans="1:10">
      <c r="A165" s="8">
        <f t="shared" si="9"/>
        <v>150</v>
      </c>
      <c r="B165" s="6" t="s">
        <v>537</v>
      </c>
      <c r="C165" s="8">
        <v>2015</v>
      </c>
      <c r="D165" s="8" t="s">
        <v>55</v>
      </c>
      <c r="E165" s="8">
        <v>4</v>
      </c>
      <c r="F165" s="8">
        <v>4</v>
      </c>
      <c r="G165" s="8"/>
      <c r="H165" s="8"/>
      <c r="I165" s="8" t="s">
        <v>92</v>
      </c>
      <c r="J165" s="8"/>
    </row>
    <row r="166" spans="1:10">
      <c r="A166" s="8">
        <f t="shared" si="9"/>
        <v>151</v>
      </c>
      <c r="B166" s="6" t="s">
        <v>70</v>
      </c>
      <c r="C166" s="8">
        <v>2010</v>
      </c>
      <c r="D166" s="8" t="s">
        <v>71</v>
      </c>
      <c r="E166" s="8">
        <v>4</v>
      </c>
      <c r="F166" s="8">
        <v>4</v>
      </c>
      <c r="G166" s="8"/>
      <c r="H166" s="8"/>
      <c r="I166" s="8" t="s">
        <v>92</v>
      </c>
      <c r="J166" s="8"/>
    </row>
    <row r="167" spans="1:10">
      <c r="A167" s="8">
        <f t="shared" si="9"/>
        <v>152</v>
      </c>
      <c r="B167" s="6" t="s">
        <v>72</v>
      </c>
      <c r="C167" s="8">
        <v>2010</v>
      </c>
      <c r="D167" s="8" t="s">
        <v>67</v>
      </c>
      <c r="E167" s="8">
        <v>2</v>
      </c>
      <c r="F167" s="8">
        <v>2</v>
      </c>
      <c r="G167" s="8"/>
      <c r="H167" s="8"/>
      <c r="I167" s="8" t="s">
        <v>92</v>
      </c>
      <c r="J167" s="8"/>
    </row>
    <row r="168" spans="1:10">
      <c r="A168" s="8">
        <f t="shared" si="9"/>
        <v>153</v>
      </c>
      <c r="B168" s="6" t="s">
        <v>73</v>
      </c>
      <c r="C168" s="8">
        <v>2010</v>
      </c>
      <c r="D168" s="8" t="s">
        <v>63</v>
      </c>
      <c r="E168" s="8">
        <v>1</v>
      </c>
      <c r="F168" s="8">
        <v>1</v>
      </c>
      <c r="G168" s="8"/>
      <c r="H168" s="8"/>
      <c r="I168" s="8" t="s">
        <v>92</v>
      </c>
      <c r="J168" s="8"/>
    </row>
    <row r="169" spans="1:10">
      <c r="A169" s="8">
        <f t="shared" si="9"/>
        <v>154</v>
      </c>
      <c r="B169" s="6" t="s">
        <v>74</v>
      </c>
      <c r="C169" s="8">
        <v>2018</v>
      </c>
      <c r="D169" s="8" t="s">
        <v>60</v>
      </c>
      <c r="E169" s="8">
        <v>4</v>
      </c>
      <c r="F169" s="8">
        <v>4</v>
      </c>
      <c r="G169" s="8"/>
      <c r="H169" s="8"/>
      <c r="I169" s="8" t="s">
        <v>92</v>
      </c>
      <c r="J169" s="8"/>
    </row>
    <row r="170" spans="1:10">
      <c r="A170" s="8">
        <f t="shared" si="9"/>
        <v>155</v>
      </c>
      <c r="B170" s="6" t="s">
        <v>75</v>
      </c>
      <c r="C170" s="8">
        <v>2010</v>
      </c>
      <c r="D170" s="8" t="s">
        <v>60</v>
      </c>
      <c r="E170" s="8">
        <v>4</v>
      </c>
      <c r="F170" s="8">
        <v>4</v>
      </c>
      <c r="G170" s="8"/>
      <c r="H170" s="8"/>
      <c r="I170" s="8" t="s">
        <v>92</v>
      </c>
      <c r="J170" s="8"/>
    </row>
    <row r="171" spans="1:10">
      <c r="A171" s="8">
        <f t="shared" si="9"/>
        <v>156</v>
      </c>
      <c r="B171" s="6" t="s">
        <v>76</v>
      </c>
      <c r="C171" s="8">
        <v>2010</v>
      </c>
      <c r="D171" s="8" t="s">
        <v>60</v>
      </c>
      <c r="E171" s="8">
        <v>5</v>
      </c>
      <c r="F171" s="8">
        <v>5</v>
      </c>
      <c r="G171" s="8"/>
      <c r="H171" s="8"/>
      <c r="I171" s="8" t="s">
        <v>92</v>
      </c>
      <c r="J171" s="8"/>
    </row>
    <row r="172" spans="1:10">
      <c r="A172" s="8">
        <f t="shared" si="9"/>
        <v>157</v>
      </c>
      <c r="B172" s="6" t="s">
        <v>77</v>
      </c>
      <c r="C172" s="8">
        <v>2025</v>
      </c>
      <c r="D172" s="8" t="s">
        <v>60</v>
      </c>
      <c r="E172" s="8">
        <v>1</v>
      </c>
      <c r="F172" s="8">
        <v>1</v>
      </c>
      <c r="G172" s="8"/>
      <c r="H172" s="8"/>
      <c r="I172" s="8" t="s">
        <v>92</v>
      </c>
      <c r="J172" s="8"/>
    </row>
    <row r="173" spans="1:10" s="67" customFormat="1">
      <c r="A173" s="8">
        <f t="shared" si="9"/>
        <v>158</v>
      </c>
      <c r="B173" s="143" t="s">
        <v>93</v>
      </c>
      <c r="C173" s="144"/>
      <c r="D173" s="144" t="s">
        <v>71</v>
      </c>
      <c r="E173" s="144">
        <v>6</v>
      </c>
      <c r="F173" s="144">
        <v>6</v>
      </c>
      <c r="G173" s="144"/>
      <c r="H173" s="144"/>
      <c r="I173" s="144" t="s">
        <v>95</v>
      </c>
      <c r="J173" s="144"/>
    </row>
    <row r="174" spans="1:10">
      <c r="A174" s="8">
        <f t="shared" si="9"/>
        <v>159</v>
      </c>
      <c r="B174" s="6" t="s">
        <v>79</v>
      </c>
      <c r="C174" s="8">
        <v>2015</v>
      </c>
      <c r="D174" s="8" t="s">
        <v>55</v>
      </c>
      <c r="E174" s="8">
        <v>2</v>
      </c>
      <c r="F174" s="8">
        <v>2</v>
      </c>
      <c r="G174" s="8"/>
      <c r="H174" s="8"/>
      <c r="I174" s="8" t="s">
        <v>96</v>
      </c>
      <c r="J174" s="8"/>
    </row>
    <row r="175" spans="1:10">
      <c r="A175" s="8">
        <f t="shared" si="9"/>
        <v>160</v>
      </c>
      <c r="B175" s="6" t="s">
        <v>97</v>
      </c>
      <c r="C175" s="8">
        <v>2010</v>
      </c>
      <c r="D175" s="8" t="s">
        <v>55</v>
      </c>
      <c r="E175" s="8">
        <v>8</v>
      </c>
      <c r="F175" s="8">
        <v>8</v>
      </c>
      <c r="G175" s="8"/>
      <c r="H175" s="8"/>
      <c r="I175" s="8" t="s">
        <v>96</v>
      </c>
      <c r="J175" s="145" t="s">
        <v>543</v>
      </c>
    </row>
    <row r="176" spans="1:10">
      <c r="A176" s="8">
        <f t="shared" si="9"/>
        <v>161</v>
      </c>
      <c r="B176" s="6" t="s">
        <v>98</v>
      </c>
      <c r="C176" s="8">
        <v>2010</v>
      </c>
      <c r="D176" s="8" t="s">
        <v>55</v>
      </c>
      <c r="E176" s="8">
        <v>1</v>
      </c>
      <c r="F176" s="8">
        <v>1</v>
      </c>
      <c r="G176" s="8"/>
      <c r="H176" s="8"/>
      <c r="I176" s="8" t="s">
        <v>96</v>
      </c>
      <c r="J176" s="8"/>
    </row>
    <row r="177" spans="1:10">
      <c r="A177" s="8">
        <f t="shared" si="9"/>
        <v>162</v>
      </c>
      <c r="B177" s="6" t="s">
        <v>99</v>
      </c>
      <c r="C177" s="8">
        <v>2010</v>
      </c>
      <c r="D177" s="8" t="s">
        <v>55</v>
      </c>
      <c r="E177" s="8">
        <v>42</v>
      </c>
      <c r="F177" s="8">
        <v>42</v>
      </c>
      <c r="G177" s="8"/>
      <c r="H177" s="8">
        <v>2</v>
      </c>
      <c r="I177" s="8" t="s">
        <v>96</v>
      </c>
      <c r="J177" s="8" t="s">
        <v>544</v>
      </c>
    </row>
    <row r="178" spans="1:10">
      <c r="A178" s="8">
        <f t="shared" si="9"/>
        <v>163</v>
      </c>
      <c r="B178" s="6" t="s">
        <v>100</v>
      </c>
      <c r="C178" s="8">
        <v>2010</v>
      </c>
      <c r="D178" s="8" t="s">
        <v>63</v>
      </c>
      <c r="E178" s="8">
        <v>7</v>
      </c>
      <c r="F178" s="8">
        <v>7</v>
      </c>
      <c r="G178" s="8"/>
      <c r="H178" s="8"/>
      <c r="I178" s="8" t="s">
        <v>96</v>
      </c>
      <c r="J178" s="8"/>
    </row>
    <row r="179" spans="1:10">
      <c r="A179" s="8">
        <f t="shared" si="9"/>
        <v>164</v>
      </c>
      <c r="B179" s="6" t="s">
        <v>101</v>
      </c>
      <c r="C179" s="8">
        <v>2010</v>
      </c>
      <c r="D179" s="8" t="s">
        <v>67</v>
      </c>
      <c r="E179" s="8">
        <v>5</v>
      </c>
      <c r="F179" s="8">
        <v>5</v>
      </c>
      <c r="G179" s="8"/>
      <c r="H179" s="8"/>
      <c r="I179" s="8" t="s">
        <v>96</v>
      </c>
      <c r="J179" s="8"/>
    </row>
    <row r="180" spans="1:10">
      <c r="A180" s="8">
        <f t="shared" si="9"/>
        <v>165</v>
      </c>
      <c r="B180" s="6" t="s">
        <v>102</v>
      </c>
      <c r="C180" s="8">
        <v>2010</v>
      </c>
      <c r="D180" s="8" t="s">
        <v>60</v>
      </c>
      <c r="E180" s="8">
        <v>61</v>
      </c>
      <c r="F180" s="8">
        <v>61</v>
      </c>
      <c r="G180" s="8"/>
      <c r="H180" s="8"/>
      <c r="I180" s="8" t="s">
        <v>96</v>
      </c>
      <c r="J180" s="8" t="s">
        <v>545</v>
      </c>
    </row>
    <row r="181" spans="1:10">
      <c r="A181" s="8">
        <f t="shared" si="9"/>
        <v>166</v>
      </c>
      <c r="B181" s="6" t="s">
        <v>103</v>
      </c>
      <c r="C181" s="8">
        <v>2010</v>
      </c>
      <c r="D181" s="8" t="s">
        <v>60</v>
      </c>
      <c r="E181" s="8">
        <v>40</v>
      </c>
      <c r="F181" s="8">
        <v>40</v>
      </c>
      <c r="G181" s="8"/>
      <c r="H181" s="8"/>
      <c r="I181" s="8" t="s">
        <v>96</v>
      </c>
      <c r="J181" s="8" t="s">
        <v>546</v>
      </c>
    </row>
    <row r="182" spans="1:10">
      <c r="A182" s="8">
        <f t="shared" si="9"/>
        <v>167</v>
      </c>
      <c r="B182" s="6" t="s">
        <v>479</v>
      </c>
      <c r="C182" s="8">
        <v>2010</v>
      </c>
      <c r="D182" s="8" t="s">
        <v>60</v>
      </c>
      <c r="E182" s="8">
        <v>37</v>
      </c>
      <c r="F182" s="8">
        <v>37</v>
      </c>
      <c r="G182" s="8"/>
      <c r="H182" s="8"/>
      <c r="I182" s="8" t="s">
        <v>96</v>
      </c>
      <c r="J182" s="8" t="s">
        <v>546</v>
      </c>
    </row>
    <row r="183" spans="1:10">
      <c r="A183" s="8">
        <f t="shared" si="9"/>
        <v>168</v>
      </c>
      <c r="B183" s="6" t="s">
        <v>106</v>
      </c>
      <c r="C183" s="8">
        <v>2010</v>
      </c>
      <c r="D183" s="8" t="s">
        <v>60</v>
      </c>
      <c r="E183" s="8">
        <v>8</v>
      </c>
      <c r="F183" s="8">
        <v>8</v>
      </c>
      <c r="G183" s="8"/>
      <c r="H183" s="8"/>
      <c r="I183" s="8" t="s">
        <v>96</v>
      </c>
      <c r="J183" s="8"/>
    </row>
    <row r="184" spans="1:10">
      <c r="A184" s="8">
        <f t="shared" si="9"/>
        <v>169</v>
      </c>
      <c r="B184" s="6" t="s">
        <v>107</v>
      </c>
      <c r="C184" s="8" t="s">
        <v>66</v>
      </c>
      <c r="D184" s="8" t="s">
        <v>60</v>
      </c>
      <c r="E184" s="8">
        <v>27</v>
      </c>
      <c r="F184" s="8">
        <v>27</v>
      </c>
      <c r="G184" s="8"/>
      <c r="H184" s="8"/>
      <c r="I184" s="8" t="s">
        <v>96</v>
      </c>
      <c r="J184" s="8"/>
    </row>
    <row r="185" spans="1:10">
      <c r="A185" s="8">
        <f t="shared" si="9"/>
        <v>170</v>
      </c>
      <c r="B185" s="6" t="s">
        <v>110</v>
      </c>
      <c r="C185" s="8" t="s">
        <v>66</v>
      </c>
      <c r="D185" s="8" t="s">
        <v>60</v>
      </c>
      <c r="E185" s="8">
        <v>32</v>
      </c>
      <c r="F185" s="8">
        <v>32</v>
      </c>
      <c r="G185" s="8"/>
      <c r="H185" s="8"/>
      <c r="I185" s="8" t="s">
        <v>96</v>
      </c>
      <c r="J185" s="8"/>
    </row>
    <row r="186" spans="1:10">
      <c r="A186" s="8">
        <f t="shared" si="9"/>
        <v>171</v>
      </c>
      <c r="B186" s="6" t="s">
        <v>112</v>
      </c>
      <c r="C186" s="8" t="s">
        <v>113</v>
      </c>
      <c r="D186" s="8" t="s">
        <v>60</v>
      </c>
      <c r="E186" s="8">
        <v>26</v>
      </c>
      <c r="F186" s="8">
        <v>26</v>
      </c>
      <c r="G186" s="8"/>
      <c r="H186" s="8"/>
      <c r="I186" s="8" t="s">
        <v>96</v>
      </c>
      <c r="J186" s="8"/>
    </row>
    <row r="187" spans="1:10">
      <c r="A187" s="8">
        <f t="shared" si="9"/>
        <v>172</v>
      </c>
      <c r="B187" s="6" t="s">
        <v>117</v>
      </c>
      <c r="C187" s="8" t="s">
        <v>118</v>
      </c>
      <c r="D187" s="8" t="s">
        <v>60</v>
      </c>
      <c r="E187" s="8">
        <v>6</v>
      </c>
      <c r="F187" s="8">
        <v>6</v>
      </c>
      <c r="G187" s="8"/>
      <c r="H187" s="8"/>
      <c r="I187" s="8" t="s">
        <v>96</v>
      </c>
      <c r="J187" s="8"/>
    </row>
    <row r="188" spans="1:10">
      <c r="A188" s="8">
        <f t="shared" si="9"/>
        <v>173</v>
      </c>
      <c r="B188" s="6" t="s">
        <v>119</v>
      </c>
      <c r="C188" s="8">
        <v>2015</v>
      </c>
      <c r="D188" s="8" t="s">
        <v>60</v>
      </c>
      <c r="E188" s="8">
        <v>9</v>
      </c>
      <c r="F188" s="8">
        <v>9</v>
      </c>
      <c r="G188" s="8"/>
      <c r="H188" s="8"/>
      <c r="I188" s="8" t="s">
        <v>96</v>
      </c>
      <c r="J188" s="8"/>
    </row>
    <row r="189" spans="1:10">
      <c r="A189" s="8">
        <f t="shared" si="9"/>
        <v>174</v>
      </c>
      <c r="B189" s="6" t="s">
        <v>120</v>
      </c>
      <c r="C189" s="8">
        <v>2010</v>
      </c>
      <c r="D189" s="8" t="s">
        <v>60</v>
      </c>
      <c r="E189" s="8">
        <v>1</v>
      </c>
      <c r="F189" s="8">
        <v>1</v>
      </c>
      <c r="G189" s="8"/>
      <c r="H189" s="8"/>
      <c r="I189" s="8" t="s">
        <v>96</v>
      </c>
      <c r="J189" s="8"/>
    </row>
    <row r="190" spans="1:10">
      <c r="A190" s="8">
        <f t="shared" si="9"/>
        <v>175</v>
      </c>
      <c r="B190" s="6" t="s">
        <v>121</v>
      </c>
      <c r="C190" s="8">
        <v>2010</v>
      </c>
      <c r="D190" s="8" t="s">
        <v>60</v>
      </c>
      <c r="E190" s="8">
        <v>5</v>
      </c>
      <c r="F190" s="8">
        <v>5</v>
      </c>
      <c r="G190" s="8"/>
      <c r="H190" s="8"/>
      <c r="I190" s="8" t="s">
        <v>96</v>
      </c>
      <c r="J190" s="8"/>
    </row>
    <row r="191" spans="1:10">
      <c r="A191" s="8">
        <f t="shared" si="9"/>
        <v>176</v>
      </c>
      <c r="B191" s="6" t="s">
        <v>122</v>
      </c>
      <c r="C191" s="8">
        <v>2010</v>
      </c>
      <c r="D191" s="8" t="s">
        <v>60</v>
      </c>
      <c r="E191" s="8">
        <v>2</v>
      </c>
      <c r="F191" s="8">
        <v>2</v>
      </c>
      <c r="G191" s="8"/>
      <c r="H191" s="8"/>
      <c r="I191" s="8" t="s">
        <v>96</v>
      </c>
      <c r="J191" s="8"/>
    </row>
    <row r="192" spans="1:10">
      <c r="A192" s="8">
        <f t="shared" si="9"/>
        <v>177</v>
      </c>
      <c r="B192" s="6" t="s">
        <v>478</v>
      </c>
      <c r="C192" s="8">
        <v>2010</v>
      </c>
      <c r="D192" s="8" t="s">
        <v>60</v>
      </c>
      <c r="E192" s="8">
        <v>1</v>
      </c>
      <c r="F192" s="8">
        <v>1</v>
      </c>
      <c r="G192" s="8"/>
      <c r="H192" s="8">
        <v>1</v>
      </c>
      <c r="I192" s="8" t="s">
        <v>96</v>
      </c>
      <c r="J192" s="8" t="s">
        <v>547</v>
      </c>
    </row>
    <row r="193" spans="1:10">
      <c r="A193" s="8">
        <f t="shared" si="9"/>
        <v>178</v>
      </c>
      <c r="B193" s="6" t="s">
        <v>124</v>
      </c>
      <c r="C193" s="8">
        <v>2010</v>
      </c>
      <c r="D193" s="8" t="s">
        <v>60</v>
      </c>
      <c r="E193" s="8">
        <v>1</v>
      </c>
      <c r="F193" s="8">
        <v>1</v>
      </c>
      <c r="G193" s="8"/>
      <c r="H193" s="8"/>
      <c r="I193" s="8" t="s">
        <v>96</v>
      </c>
      <c r="J193" s="8"/>
    </row>
    <row r="194" spans="1:10">
      <c r="A194" s="8">
        <f t="shared" si="9"/>
        <v>179</v>
      </c>
      <c r="B194" s="6" t="s">
        <v>126</v>
      </c>
      <c r="C194" s="8" t="s">
        <v>127</v>
      </c>
      <c r="D194" s="8" t="s">
        <v>55</v>
      </c>
      <c r="E194" s="8">
        <v>2</v>
      </c>
      <c r="F194" s="8">
        <v>2</v>
      </c>
      <c r="G194" s="8"/>
      <c r="H194" s="8"/>
      <c r="I194" s="8" t="s">
        <v>96</v>
      </c>
      <c r="J194" s="8"/>
    </row>
    <row r="195" spans="1:10">
      <c r="A195" s="8">
        <f t="shared" si="9"/>
        <v>180</v>
      </c>
      <c r="B195" s="6" t="s">
        <v>128</v>
      </c>
      <c r="C195" s="8">
        <v>2010</v>
      </c>
      <c r="D195" s="8" t="s">
        <v>60</v>
      </c>
      <c r="E195" s="8">
        <v>1</v>
      </c>
      <c r="F195" s="8">
        <v>1</v>
      </c>
      <c r="G195" s="8"/>
      <c r="H195" s="8"/>
      <c r="I195" s="8" t="s">
        <v>96</v>
      </c>
      <c r="J195" s="8"/>
    </row>
    <row r="196" spans="1:10">
      <c r="A196" s="8">
        <f t="shared" si="9"/>
        <v>181</v>
      </c>
      <c r="B196" s="6" t="s">
        <v>129</v>
      </c>
      <c r="C196" s="8">
        <v>2010</v>
      </c>
      <c r="D196" s="8" t="s">
        <v>60</v>
      </c>
      <c r="E196" s="8">
        <v>1</v>
      </c>
      <c r="F196" s="8">
        <v>1</v>
      </c>
      <c r="G196" s="8"/>
      <c r="H196" s="8"/>
      <c r="I196" s="8" t="s">
        <v>96</v>
      </c>
      <c r="J196" s="8"/>
    </row>
    <row r="197" spans="1:10">
      <c r="A197" s="8">
        <f t="shared" si="9"/>
        <v>182</v>
      </c>
      <c r="B197" s="6" t="s">
        <v>130</v>
      </c>
      <c r="C197" s="8">
        <v>2010</v>
      </c>
      <c r="D197" s="8" t="s">
        <v>131</v>
      </c>
      <c r="E197" s="8">
        <v>5</v>
      </c>
      <c r="F197" s="8">
        <v>5</v>
      </c>
      <c r="G197" s="8"/>
      <c r="H197" s="8"/>
      <c r="I197" s="8" t="s">
        <v>96</v>
      </c>
      <c r="J197" s="8"/>
    </row>
    <row r="198" spans="1:10">
      <c r="A198" s="8">
        <f t="shared" si="9"/>
        <v>183</v>
      </c>
      <c r="B198" s="6" t="s">
        <v>132</v>
      </c>
      <c r="C198" s="8">
        <v>2014</v>
      </c>
      <c r="D198" s="8" t="s">
        <v>55</v>
      </c>
      <c r="E198" s="8">
        <v>1</v>
      </c>
      <c r="F198" s="8">
        <v>1</v>
      </c>
      <c r="G198" s="8"/>
      <c r="H198" s="8"/>
      <c r="I198" s="8" t="s">
        <v>96</v>
      </c>
      <c r="J198" s="8"/>
    </row>
    <row r="199" spans="1:10">
      <c r="A199" s="8">
        <f t="shared" si="9"/>
        <v>184</v>
      </c>
      <c r="B199" s="6" t="s">
        <v>133</v>
      </c>
      <c r="C199" s="8">
        <v>2010</v>
      </c>
      <c r="D199" s="8" t="s">
        <v>60</v>
      </c>
      <c r="E199" s="8">
        <v>1</v>
      </c>
      <c r="F199" s="8">
        <v>1</v>
      </c>
      <c r="G199" s="8"/>
      <c r="H199" s="8"/>
      <c r="I199" s="8" t="s">
        <v>96</v>
      </c>
      <c r="J199" s="8"/>
    </row>
    <row r="200" spans="1:10">
      <c r="A200" s="8">
        <f t="shared" si="9"/>
        <v>185</v>
      </c>
      <c r="B200" s="6" t="s">
        <v>134</v>
      </c>
      <c r="C200" s="8">
        <v>2018</v>
      </c>
      <c r="D200" s="8" t="s">
        <v>60</v>
      </c>
      <c r="E200" s="8">
        <v>10</v>
      </c>
      <c r="F200" s="8">
        <v>10</v>
      </c>
      <c r="G200" s="8"/>
      <c r="H200" s="8"/>
      <c r="I200" s="8" t="s">
        <v>96</v>
      </c>
      <c r="J200" s="8"/>
    </row>
    <row r="201" spans="1:10">
      <c r="A201" s="8">
        <f t="shared" si="9"/>
        <v>186</v>
      </c>
      <c r="B201" s="6" t="s">
        <v>136</v>
      </c>
      <c r="C201" s="8">
        <v>2010</v>
      </c>
      <c r="D201" s="8" t="s">
        <v>60</v>
      </c>
      <c r="E201" s="8">
        <v>2</v>
      </c>
      <c r="F201" s="8">
        <v>2</v>
      </c>
      <c r="G201" s="8"/>
      <c r="H201" s="8"/>
      <c r="I201" s="8" t="s">
        <v>96</v>
      </c>
      <c r="J201" s="8"/>
    </row>
    <row r="202" spans="1:10">
      <c r="A202" s="8">
        <f t="shared" si="9"/>
        <v>187</v>
      </c>
      <c r="B202" s="6" t="s">
        <v>139</v>
      </c>
      <c r="C202" s="8">
        <v>2010</v>
      </c>
      <c r="D202" s="8" t="s">
        <v>55</v>
      </c>
      <c r="E202" s="8">
        <v>1</v>
      </c>
      <c r="F202" s="8">
        <v>1</v>
      </c>
      <c r="G202" s="8"/>
      <c r="H202" s="8"/>
      <c r="I202" s="8" t="s">
        <v>96</v>
      </c>
      <c r="J202" s="8"/>
    </row>
    <row r="203" spans="1:10">
      <c r="A203" s="8">
        <f t="shared" si="9"/>
        <v>188</v>
      </c>
      <c r="B203" s="6" t="s">
        <v>548</v>
      </c>
      <c r="C203" s="8">
        <v>2018</v>
      </c>
      <c r="D203" s="8" t="s">
        <v>55</v>
      </c>
      <c r="E203" s="8">
        <v>2</v>
      </c>
      <c r="F203" s="8">
        <v>2</v>
      </c>
      <c r="G203" s="8"/>
      <c r="H203" s="8"/>
      <c r="I203" s="8" t="s">
        <v>96</v>
      </c>
      <c r="J203" s="8"/>
    </row>
    <row r="204" spans="1:10">
      <c r="A204" s="8">
        <f t="shared" si="9"/>
        <v>189</v>
      </c>
      <c r="B204" s="6" t="s">
        <v>141</v>
      </c>
      <c r="C204" s="8">
        <v>2010</v>
      </c>
      <c r="D204" s="8" t="s">
        <v>60</v>
      </c>
      <c r="E204" s="8">
        <v>2</v>
      </c>
      <c r="F204" s="8">
        <v>2</v>
      </c>
      <c r="G204" s="8"/>
      <c r="H204" s="8"/>
      <c r="I204" s="8" t="s">
        <v>96</v>
      </c>
      <c r="J204" s="8"/>
    </row>
    <row r="205" spans="1:10">
      <c r="A205" s="8">
        <f t="shared" si="9"/>
        <v>190</v>
      </c>
      <c r="B205" s="6" t="s">
        <v>142</v>
      </c>
      <c r="C205" s="8" t="s">
        <v>127</v>
      </c>
      <c r="D205" s="8" t="s">
        <v>60</v>
      </c>
      <c r="E205" s="8">
        <v>62</v>
      </c>
      <c r="F205" s="8">
        <v>62</v>
      </c>
      <c r="G205" s="8"/>
      <c r="H205" s="8"/>
      <c r="I205" s="8" t="s">
        <v>96</v>
      </c>
      <c r="J205" s="8"/>
    </row>
    <row r="206" spans="1:10">
      <c r="A206" s="8">
        <f t="shared" si="9"/>
        <v>191</v>
      </c>
      <c r="B206" s="6" t="s">
        <v>143</v>
      </c>
      <c r="C206" s="8">
        <v>2010</v>
      </c>
      <c r="D206" s="8" t="s">
        <v>60</v>
      </c>
      <c r="E206" s="8">
        <v>2</v>
      </c>
      <c r="F206" s="8">
        <v>2</v>
      </c>
      <c r="G206" s="8"/>
      <c r="H206" s="8"/>
      <c r="I206" s="8" t="s">
        <v>96</v>
      </c>
      <c r="J206" s="8"/>
    </row>
    <row r="207" spans="1:10">
      <c r="A207" s="8">
        <f t="shared" si="9"/>
        <v>192</v>
      </c>
      <c r="B207" s="6" t="s">
        <v>144</v>
      </c>
      <c r="C207" s="8">
        <v>2010</v>
      </c>
      <c r="D207" s="8" t="s">
        <v>60</v>
      </c>
      <c r="E207" s="8">
        <v>1</v>
      </c>
      <c r="F207" s="8">
        <v>1</v>
      </c>
      <c r="G207" s="8"/>
      <c r="H207" s="8"/>
      <c r="I207" s="8" t="s">
        <v>96</v>
      </c>
      <c r="J207" s="8"/>
    </row>
    <row r="208" spans="1:10">
      <c r="A208" s="8">
        <f t="shared" si="9"/>
        <v>193</v>
      </c>
      <c r="B208" s="6" t="s">
        <v>171</v>
      </c>
      <c r="C208" s="8">
        <v>2015</v>
      </c>
      <c r="D208" s="8" t="s">
        <v>55</v>
      </c>
      <c r="E208" s="8">
        <v>1</v>
      </c>
      <c r="F208" s="8">
        <v>1</v>
      </c>
      <c r="G208" s="8"/>
      <c r="H208" s="8"/>
      <c r="I208" s="8" t="s">
        <v>96</v>
      </c>
      <c r="J208" s="8" t="s">
        <v>549</v>
      </c>
    </row>
    <row r="209" spans="1:10">
      <c r="A209" s="8">
        <f t="shared" si="9"/>
        <v>194</v>
      </c>
      <c r="B209" s="6" t="s">
        <v>145</v>
      </c>
      <c r="C209" s="8">
        <v>2021</v>
      </c>
      <c r="D209" s="8" t="s">
        <v>55</v>
      </c>
      <c r="E209" s="8">
        <v>1</v>
      </c>
      <c r="F209" s="8">
        <v>1</v>
      </c>
      <c r="G209" s="8"/>
      <c r="H209" s="8"/>
      <c r="I209" s="8" t="s">
        <v>96</v>
      </c>
      <c r="J209" s="8"/>
    </row>
    <row r="210" spans="1:10">
      <c r="A210" s="8">
        <f t="shared" si="9"/>
        <v>195</v>
      </c>
      <c r="B210" s="6" t="s">
        <v>146</v>
      </c>
      <c r="C210" s="8">
        <v>2021</v>
      </c>
      <c r="D210" s="8" t="s">
        <v>55</v>
      </c>
      <c r="E210" s="8">
        <v>1</v>
      </c>
      <c r="F210" s="8">
        <v>1</v>
      </c>
      <c r="G210" s="8"/>
      <c r="H210" s="8"/>
      <c r="I210" s="8" t="s">
        <v>96</v>
      </c>
      <c r="J210" s="8"/>
    </row>
    <row r="211" spans="1:10">
      <c r="A211" s="8">
        <f t="shared" si="9"/>
        <v>196</v>
      </c>
      <c r="B211" s="6" t="s">
        <v>147</v>
      </c>
      <c r="C211" s="8"/>
      <c r="D211" s="8" t="s">
        <v>60</v>
      </c>
      <c r="E211" s="8">
        <v>1</v>
      </c>
      <c r="F211" s="8">
        <v>1</v>
      </c>
      <c r="G211" s="8"/>
      <c r="H211" s="8"/>
      <c r="I211" s="8" t="s">
        <v>96</v>
      </c>
      <c r="J211" s="8"/>
    </row>
    <row r="212" spans="1:10">
      <c r="A212" s="8">
        <f t="shared" si="9"/>
        <v>197</v>
      </c>
      <c r="B212" s="6" t="s">
        <v>148</v>
      </c>
      <c r="C212" s="8">
        <v>2024</v>
      </c>
      <c r="D212" s="8" t="s">
        <v>55</v>
      </c>
      <c r="E212" s="8">
        <v>1</v>
      </c>
      <c r="F212" s="8">
        <v>1</v>
      </c>
      <c r="G212" s="8"/>
      <c r="H212" s="8"/>
      <c r="I212" s="8" t="s">
        <v>96</v>
      </c>
      <c r="J212" s="8"/>
    </row>
    <row r="213" spans="1:10">
      <c r="A213" s="8">
        <f t="shared" si="9"/>
        <v>198</v>
      </c>
      <c r="B213" s="6" t="s">
        <v>152</v>
      </c>
      <c r="C213" s="8">
        <v>2021</v>
      </c>
      <c r="D213" s="8" t="s">
        <v>55</v>
      </c>
      <c r="E213" s="8">
        <v>1</v>
      </c>
      <c r="F213" s="8">
        <v>1</v>
      </c>
      <c r="G213" s="8"/>
      <c r="H213" s="8"/>
      <c r="I213" s="8" t="s">
        <v>153</v>
      </c>
      <c r="J213" s="8"/>
    </row>
    <row r="214" spans="1:10">
      <c r="A214" s="8">
        <f t="shared" si="9"/>
        <v>199</v>
      </c>
      <c r="B214" s="6" t="s">
        <v>155</v>
      </c>
      <c r="C214" s="8">
        <v>2010</v>
      </c>
      <c r="D214" s="8" t="s">
        <v>60</v>
      </c>
      <c r="E214" s="8">
        <v>4</v>
      </c>
      <c r="F214" s="8">
        <v>4</v>
      </c>
      <c r="G214" s="8"/>
      <c r="H214" s="8">
        <v>1</v>
      </c>
      <c r="I214" s="8" t="s">
        <v>153</v>
      </c>
      <c r="J214" s="146" t="s">
        <v>550</v>
      </c>
    </row>
    <row r="215" spans="1:10">
      <c r="A215" s="8">
        <f t="shared" si="9"/>
        <v>200</v>
      </c>
      <c r="B215" s="6" t="s">
        <v>156</v>
      </c>
      <c r="C215" s="8">
        <v>2024</v>
      </c>
      <c r="D215" s="8" t="s">
        <v>60</v>
      </c>
      <c r="E215" s="8">
        <v>15</v>
      </c>
      <c r="F215" s="8">
        <v>15</v>
      </c>
      <c r="G215" s="8"/>
      <c r="H215" s="8"/>
      <c r="I215" s="8" t="s">
        <v>153</v>
      </c>
      <c r="J215" s="8"/>
    </row>
    <row r="216" spans="1:10">
      <c r="A216" s="8">
        <f t="shared" si="9"/>
        <v>201</v>
      </c>
      <c r="B216" s="6" t="s">
        <v>157</v>
      </c>
      <c r="C216" s="8">
        <v>2010</v>
      </c>
      <c r="D216" s="8" t="s">
        <v>60</v>
      </c>
      <c r="E216" s="8">
        <v>4</v>
      </c>
      <c r="F216" s="8">
        <v>4</v>
      </c>
      <c r="G216" s="8"/>
      <c r="H216" s="8"/>
      <c r="I216" s="8" t="s">
        <v>153</v>
      </c>
      <c r="J216" s="8"/>
    </row>
    <row r="217" spans="1:10">
      <c r="A217" s="8">
        <f t="shared" si="9"/>
        <v>202</v>
      </c>
      <c r="B217" s="6" t="s">
        <v>158</v>
      </c>
      <c r="C217" s="8">
        <v>2024</v>
      </c>
      <c r="D217" s="8" t="s">
        <v>55</v>
      </c>
      <c r="E217" s="8">
        <v>2</v>
      </c>
      <c r="F217" s="8">
        <v>2</v>
      </c>
      <c r="G217" s="8"/>
      <c r="H217" s="8"/>
      <c r="I217" s="8" t="s">
        <v>153</v>
      </c>
      <c r="J217" s="8"/>
    </row>
    <row r="218" spans="1:10">
      <c r="A218" s="8">
        <f t="shared" si="9"/>
        <v>203</v>
      </c>
      <c r="B218" s="6" t="s">
        <v>64</v>
      </c>
      <c r="C218" s="8">
        <v>2018</v>
      </c>
      <c r="D218" s="8" t="s">
        <v>63</v>
      </c>
      <c r="E218" s="8">
        <v>29</v>
      </c>
      <c r="F218" s="8">
        <v>29</v>
      </c>
      <c r="G218" s="8"/>
      <c r="H218" s="8"/>
      <c r="I218" s="8" t="s">
        <v>153</v>
      </c>
      <c r="J218" s="8"/>
    </row>
    <row r="219" spans="1:10">
      <c r="A219" s="8">
        <f t="shared" si="9"/>
        <v>204</v>
      </c>
      <c r="B219" s="6" t="s">
        <v>61</v>
      </c>
      <c r="C219" s="8">
        <v>2018</v>
      </c>
      <c r="D219" s="8" t="s">
        <v>63</v>
      </c>
      <c r="E219" s="8">
        <v>37</v>
      </c>
      <c r="F219" s="8">
        <v>37</v>
      </c>
      <c r="G219" s="8"/>
      <c r="H219" s="8"/>
      <c r="I219" s="8" t="s">
        <v>153</v>
      </c>
      <c r="J219" s="8"/>
    </row>
    <row r="220" spans="1:10">
      <c r="A220" s="8">
        <f t="shared" si="9"/>
        <v>205</v>
      </c>
      <c r="B220" s="6" t="s">
        <v>99</v>
      </c>
      <c r="C220" s="8">
        <v>2010</v>
      </c>
      <c r="D220" s="8" t="s">
        <v>60</v>
      </c>
      <c r="E220" s="8">
        <v>30</v>
      </c>
      <c r="F220" s="8">
        <v>30</v>
      </c>
      <c r="G220" s="8"/>
      <c r="H220" s="8"/>
      <c r="I220" s="8" t="s">
        <v>164</v>
      </c>
      <c r="J220" s="8"/>
    </row>
    <row r="221" spans="1:10">
      <c r="A221" s="8">
        <f t="shared" si="9"/>
        <v>206</v>
      </c>
      <c r="B221" s="6" t="s">
        <v>165</v>
      </c>
      <c r="C221" s="8">
        <v>2010</v>
      </c>
      <c r="D221" s="8" t="s">
        <v>60</v>
      </c>
      <c r="E221" s="8">
        <v>4</v>
      </c>
      <c r="F221" s="8">
        <v>4</v>
      </c>
      <c r="G221" s="8"/>
      <c r="H221" s="8"/>
      <c r="I221" s="8" t="s">
        <v>164</v>
      </c>
      <c r="J221" s="8"/>
    </row>
    <row r="222" spans="1:10">
      <c r="A222" s="8">
        <f t="shared" si="9"/>
        <v>207</v>
      </c>
      <c r="B222" s="6" t="s">
        <v>166</v>
      </c>
      <c r="C222" s="8">
        <v>2018</v>
      </c>
      <c r="D222" s="8" t="s">
        <v>63</v>
      </c>
      <c r="E222" s="8">
        <v>4</v>
      </c>
      <c r="F222" s="8">
        <v>4</v>
      </c>
      <c r="G222" s="8"/>
      <c r="H222" s="8"/>
      <c r="I222" s="8" t="s">
        <v>164</v>
      </c>
      <c r="J222" s="8"/>
    </row>
    <row r="223" spans="1:10">
      <c r="A223" s="8">
        <f t="shared" si="9"/>
        <v>208</v>
      </c>
      <c r="B223" s="6" t="s">
        <v>167</v>
      </c>
      <c r="C223" s="8">
        <v>2018</v>
      </c>
      <c r="D223" s="8" t="s">
        <v>63</v>
      </c>
      <c r="E223" s="8">
        <v>1</v>
      </c>
      <c r="F223" s="8">
        <v>1</v>
      </c>
      <c r="G223" s="8"/>
      <c r="H223" s="8"/>
      <c r="I223" s="8" t="s">
        <v>164</v>
      </c>
      <c r="J223" s="8"/>
    </row>
    <row r="224" spans="1:10">
      <c r="A224" s="8">
        <f t="shared" si="9"/>
        <v>209</v>
      </c>
      <c r="B224" s="6" t="s">
        <v>168</v>
      </c>
      <c r="C224" s="8">
        <v>2010</v>
      </c>
      <c r="D224" s="8" t="s">
        <v>60</v>
      </c>
      <c r="E224" s="8">
        <v>1</v>
      </c>
      <c r="F224" s="8">
        <v>1</v>
      </c>
      <c r="G224" s="8"/>
      <c r="H224" s="8"/>
      <c r="I224" s="8" t="s">
        <v>164</v>
      </c>
      <c r="J224" s="8"/>
    </row>
    <row r="225" spans="1:10">
      <c r="A225" s="8">
        <f t="shared" si="9"/>
        <v>210</v>
      </c>
      <c r="B225" s="6" t="s">
        <v>169</v>
      </c>
      <c r="C225" s="8">
        <v>2010</v>
      </c>
      <c r="D225" s="8" t="s">
        <v>71</v>
      </c>
      <c r="E225" s="8">
        <v>1</v>
      </c>
      <c r="F225" s="8">
        <v>1</v>
      </c>
      <c r="G225" s="8"/>
      <c r="H225" s="8"/>
      <c r="I225" s="8" t="s">
        <v>164</v>
      </c>
      <c r="J225" s="8" t="s">
        <v>551</v>
      </c>
    </row>
    <row r="226" spans="1:10">
      <c r="A226" s="8">
        <f t="shared" ref="A226:A289" si="10">A225+1</f>
        <v>211</v>
      </c>
      <c r="B226" s="6" t="s">
        <v>170</v>
      </c>
      <c r="C226" s="8">
        <v>2010</v>
      </c>
      <c r="D226" s="8" t="s">
        <v>71</v>
      </c>
      <c r="E226" s="8">
        <v>1</v>
      </c>
      <c r="F226" s="8">
        <v>1</v>
      </c>
      <c r="G226" s="8"/>
      <c r="H226" s="8"/>
      <c r="I226" s="8" t="s">
        <v>164</v>
      </c>
      <c r="J226" s="8"/>
    </row>
    <row r="227" spans="1:10">
      <c r="A227" s="8">
        <f t="shared" si="10"/>
        <v>212</v>
      </c>
      <c r="B227" s="6" t="s">
        <v>171</v>
      </c>
      <c r="C227" s="8"/>
      <c r="D227" s="8" t="s">
        <v>55</v>
      </c>
      <c r="E227" s="8">
        <v>1</v>
      </c>
      <c r="F227" s="8">
        <v>1</v>
      </c>
      <c r="G227" s="8"/>
      <c r="H227" s="8"/>
      <c r="I227" s="8" t="s">
        <v>164</v>
      </c>
      <c r="J227" s="8"/>
    </row>
    <row r="228" spans="1:10">
      <c r="A228" s="8">
        <f t="shared" si="10"/>
        <v>213</v>
      </c>
      <c r="B228" s="6" t="s">
        <v>172</v>
      </c>
      <c r="C228" s="8">
        <v>2010</v>
      </c>
      <c r="D228" s="8" t="s">
        <v>55</v>
      </c>
      <c r="E228" s="8">
        <v>3</v>
      </c>
      <c r="F228" s="8">
        <v>3</v>
      </c>
      <c r="G228" s="8"/>
      <c r="H228" s="8"/>
      <c r="I228" s="8" t="s">
        <v>164</v>
      </c>
      <c r="J228" s="8"/>
    </row>
    <row r="229" spans="1:10">
      <c r="A229" s="8">
        <f t="shared" si="10"/>
        <v>214</v>
      </c>
      <c r="B229" s="6" t="s">
        <v>173</v>
      </c>
      <c r="C229" s="8">
        <v>2010</v>
      </c>
      <c r="D229" s="8" t="s">
        <v>60</v>
      </c>
      <c r="E229" s="8">
        <v>1</v>
      </c>
      <c r="F229" s="8">
        <v>1</v>
      </c>
      <c r="G229" s="8"/>
      <c r="H229" s="8"/>
      <c r="I229" s="8" t="s">
        <v>164</v>
      </c>
      <c r="J229" s="8"/>
    </row>
    <row r="230" spans="1:10">
      <c r="A230" s="8">
        <f t="shared" si="10"/>
        <v>215</v>
      </c>
      <c r="B230" s="6" t="s">
        <v>70</v>
      </c>
      <c r="C230" s="8">
        <v>2010</v>
      </c>
      <c r="D230" s="8" t="s">
        <v>71</v>
      </c>
      <c r="E230" s="8">
        <v>3</v>
      </c>
      <c r="F230" s="8">
        <v>3</v>
      </c>
      <c r="G230" s="8"/>
      <c r="H230" s="8"/>
      <c r="I230" s="8" t="s">
        <v>164</v>
      </c>
      <c r="J230" s="8"/>
    </row>
    <row r="231" spans="1:10">
      <c r="A231" s="8">
        <f t="shared" si="10"/>
        <v>216</v>
      </c>
      <c r="B231" s="6" t="s">
        <v>174</v>
      </c>
      <c r="C231" s="8">
        <v>2010</v>
      </c>
      <c r="D231" s="8" t="s">
        <v>55</v>
      </c>
      <c r="E231" s="8">
        <v>1</v>
      </c>
      <c r="F231" s="8">
        <v>1</v>
      </c>
      <c r="G231" s="8"/>
      <c r="H231" s="8"/>
      <c r="I231" s="8" t="s">
        <v>164</v>
      </c>
      <c r="J231" s="8"/>
    </row>
    <row r="232" spans="1:10">
      <c r="A232" s="8">
        <f t="shared" si="10"/>
        <v>217</v>
      </c>
      <c r="B232" s="6" t="s">
        <v>147</v>
      </c>
      <c r="C232" s="8"/>
      <c r="D232" s="8" t="s">
        <v>55</v>
      </c>
      <c r="E232" s="8">
        <v>1</v>
      </c>
      <c r="F232" s="8">
        <v>1</v>
      </c>
      <c r="G232" s="8"/>
      <c r="H232" s="8"/>
      <c r="I232" s="8" t="s">
        <v>164</v>
      </c>
      <c r="J232" s="8"/>
    </row>
    <row r="233" spans="1:10">
      <c r="A233" s="8">
        <f t="shared" si="10"/>
        <v>218</v>
      </c>
      <c r="B233" s="6" t="s">
        <v>139</v>
      </c>
      <c r="C233" s="8">
        <v>2010</v>
      </c>
      <c r="D233" s="8" t="s">
        <v>55</v>
      </c>
      <c r="E233" s="8">
        <v>1</v>
      </c>
      <c r="F233" s="8">
        <v>1</v>
      </c>
      <c r="G233" s="8"/>
      <c r="H233" s="8"/>
      <c r="I233" s="8" t="s">
        <v>164</v>
      </c>
      <c r="J233" s="8"/>
    </row>
    <row r="234" spans="1:10">
      <c r="A234" s="8">
        <f t="shared" si="10"/>
        <v>219</v>
      </c>
      <c r="B234" s="6" t="s">
        <v>175</v>
      </c>
      <c r="C234" s="8">
        <v>2018</v>
      </c>
      <c r="D234" s="8" t="s">
        <v>55</v>
      </c>
      <c r="E234" s="8">
        <v>1</v>
      </c>
      <c r="F234" s="8">
        <v>1</v>
      </c>
      <c r="G234" s="8"/>
      <c r="H234" s="8"/>
      <c r="I234" s="8" t="s">
        <v>164</v>
      </c>
      <c r="J234" s="8"/>
    </row>
    <row r="235" spans="1:10">
      <c r="A235" s="8">
        <f t="shared" si="10"/>
        <v>220</v>
      </c>
      <c r="B235" s="6" t="s">
        <v>64</v>
      </c>
      <c r="C235" s="8">
        <v>2018</v>
      </c>
      <c r="D235" s="8" t="s">
        <v>63</v>
      </c>
      <c r="E235" s="8">
        <v>95</v>
      </c>
      <c r="F235" s="8">
        <v>95</v>
      </c>
      <c r="G235" s="8"/>
      <c r="H235" s="8"/>
      <c r="I235" s="7" t="s">
        <v>189</v>
      </c>
      <c r="J235" s="8"/>
    </row>
    <row r="236" spans="1:10">
      <c r="A236" s="8">
        <f t="shared" si="10"/>
        <v>221</v>
      </c>
      <c r="B236" s="6" t="s">
        <v>161</v>
      </c>
      <c r="C236" s="8">
        <v>2016</v>
      </c>
      <c r="D236" s="8" t="s">
        <v>63</v>
      </c>
      <c r="E236" s="8">
        <v>5</v>
      </c>
      <c r="F236" s="8">
        <v>5</v>
      </c>
      <c r="G236" s="8"/>
      <c r="H236" s="8"/>
      <c r="I236" s="7" t="s">
        <v>189</v>
      </c>
      <c r="J236" s="8"/>
    </row>
    <row r="237" spans="1:10">
      <c r="A237" s="8">
        <f t="shared" si="10"/>
        <v>222</v>
      </c>
      <c r="B237" s="6" t="s">
        <v>162</v>
      </c>
      <c r="C237" s="8">
        <v>2010</v>
      </c>
      <c r="D237" s="8" t="s">
        <v>63</v>
      </c>
      <c r="E237" s="8">
        <v>18</v>
      </c>
      <c r="F237" s="8">
        <v>18</v>
      </c>
      <c r="G237" s="8"/>
      <c r="H237" s="8"/>
      <c r="I237" s="7" t="s">
        <v>189</v>
      </c>
      <c r="J237" s="8"/>
    </row>
    <row r="238" spans="1:10">
      <c r="A238" s="8">
        <f t="shared" si="10"/>
        <v>223</v>
      </c>
      <c r="B238" s="6" t="s">
        <v>75</v>
      </c>
      <c r="C238" s="8">
        <v>2010</v>
      </c>
      <c r="D238" s="8" t="s">
        <v>60</v>
      </c>
      <c r="E238" s="8">
        <v>2</v>
      </c>
      <c r="F238" s="8">
        <v>2</v>
      </c>
      <c r="G238" s="8"/>
      <c r="H238" s="8"/>
      <c r="I238" s="8" t="s">
        <v>164</v>
      </c>
      <c r="J238" s="8"/>
    </row>
    <row r="239" spans="1:10">
      <c r="A239" s="8">
        <f t="shared" si="10"/>
        <v>224</v>
      </c>
      <c r="B239" s="6" t="s">
        <v>76</v>
      </c>
      <c r="C239" s="8">
        <v>2010</v>
      </c>
      <c r="D239" s="8" t="s">
        <v>60</v>
      </c>
      <c r="E239" s="8">
        <v>1</v>
      </c>
      <c r="F239" s="8">
        <v>1</v>
      </c>
      <c r="G239" s="8"/>
      <c r="H239" s="8"/>
      <c r="I239" s="8" t="s">
        <v>164</v>
      </c>
      <c r="J239" s="8"/>
    </row>
    <row r="240" spans="1:10">
      <c r="A240" s="8">
        <f t="shared" si="10"/>
        <v>225</v>
      </c>
      <c r="B240" s="6" t="s">
        <v>176</v>
      </c>
      <c r="C240" s="8">
        <v>2010</v>
      </c>
      <c r="D240" s="8" t="s">
        <v>55</v>
      </c>
      <c r="E240" s="8">
        <v>1</v>
      </c>
      <c r="F240" s="8">
        <v>1</v>
      </c>
      <c r="G240" s="8"/>
      <c r="H240" s="8"/>
      <c r="I240" s="8" t="s">
        <v>177</v>
      </c>
      <c r="J240" s="8"/>
    </row>
    <row r="241" spans="1:10">
      <c r="A241" s="8">
        <f t="shared" si="10"/>
        <v>226</v>
      </c>
      <c r="B241" s="6" t="s">
        <v>178</v>
      </c>
      <c r="C241" s="8">
        <v>2015</v>
      </c>
      <c r="D241" s="8" t="s">
        <v>55</v>
      </c>
      <c r="E241" s="8">
        <v>2</v>
      </c>
      <c r="F241" s="8">
        <v>2</v>
      </c>
      <c r="G241" s="8"/>
      <c r="H241" s="8"/>
      <c r="I241" s="8" t="s">
        <v>177</v>
      </c>
      <c r="J241" s="8"/>
    </row>
    <row r="242" spans="1:10">
      <c r="A242" s="8">
        <f t="shared" si="10"/>
        <v>227</v>
      </c>
      <c r="B242" s="6" t="s">
        <v>61</v>
      </c>
      <c r="C242" s="8">
        <v>2010</v>
      </c>
      <c r="D242" s="8" t="s">
        <v>63</v>
      </c>
      <c r="E242" s="8">
        <v>2</v>
      </c>
      <c r="F242" s="8">
        <v>2</v>
      </c>
      <c r="G242" s="8"/>
      <c r="H242" s="8"/>
      <c r="I242" s="8" t="s">
        <v>177</v>
      </c>
      <c r="J242" s="8"/>
    </row>
    <row r="243" spans="1:10">
      <c r="A243" s="8">
        <f t="shared" si="10"/>
        <v>228</v>
      </c>
      <c r="B243" s="6" t="s">
        <v>65</v>
      </c>
      <c r="C243" s="8">
        <v>2010</v>
      </c>
      <c r="D243" s="8" t="s">
        <v>60</v>
      </c>
      <c r="E243" s="8">
        <v>2</v>
      </c>
      <c r="F243" s="8">
        <v>2</v>
      </c>
      <c r="G243" s="8"/>
      <c r="H243" s="8"/>
      <c r="I243" s="8" t="s">
        <v>177</v>
      </c>
      <c r="J243" s="8"/>
    </row>
    <row r="244" spans="1:10">
      <c r="A244" s="8">
        <f t="shared" si="10"/>
        <v>229</v>
      </c>
      <c r="B244" s="6" t="s">
        <v>162</v>
      </c>
      <c r="C244" s="8">
        <v>2010</v>
      </c>
      <c r="D244" s="8" t="s">
        <v>63</v>
      </c>
      <c r="E244" s="8">
        <v>2</v>
      </c>
      <c r="F244" s="8">
        <v>2</v>
      </c>
      <c r="G244" s="8"/>
      <c r="H244" s="8"/>
      <c r="I244" s="8" t="s">
        <v>177</v>
      </c>
      <c r="J244" s="8"/>
    </row>
    <row r="245" spans="1:10">
      <c r="A245" s="8">
        <f t="shared" si="10"/>
        <v>230</v>
      </c>
      <c r="B245" s="6" t="s">
        <v>179</v>
      </c>
      <c r="C245" s="8">
        <v>2010</v>
      </c>
      <c r="D245" s="8" t="s">
        <v>55</v>
      </c>
      <c r="E245" s="8">
        <v>1</v>
      </c>
      <c r="F245" s="8">
        <v>1</v>
      </c>
      <c r="G245" s="8"/>
      <c r="H245" s="8"/>
      <c r="I245" s="8" t="s">
        <v>177</v>
      </c>
      <c r="J245" s="8"/>
    </row>
    <row r="246" spans="1:10">
      <c r="A246" s="8">
        <f t="shared" si="10"/>
        <v>231</v>
      </c>
      <c r="B246" s="6" t="s">
        <v>180</v>
      </c>
      <c r="C246" s="8">
        <v>2010</v>
      </c>
      <c r="D246" s="8" t="s">
        <v>55</v>
      </c>
      <c r="E246" s="8">
        <v>1</v>
      </c>
      <c r="F246" s="8">
        <v>1</v>
      </c>
      <c r="G246" s="8"/>
      <c r="H246" s="8"/>
      <c r="I246" s="8" t="s">
        <v>177</v>
      </c>
      <c r="J246" s="8"/>
    </row>
    <row r="247" spans="1:10">
      <c r="A247" s="8">
        <f t="shared" si="10"/>
        <v>232</v>
      </c>
      <c r="B247" s="6" t="s">
        <v>74</v>
      </c>
      <c r="C247" s="8">
        <v>2018</v>
      </c>
      <c r="D247" s="8" t="s">
        <v>60</v>
      </c>
      <c r="E247" s="8">
        <v>1</v>
      </c>
      <c r="F247" s="8">
        <v>1</v>
      </c>
      <c r="G247" s="8"/>
      <c r="H247" s="8"/>
      <c r="I247" s="8" t="s">
        <v>177</v>
      </c>
      <c r="J247" s="8"/>
    </row>
    <row r="248" spans="1:10">
      <c r="A248" s="8">
        <f t="shared" si="10"/>
        <v>233</v>
      </c>
      <c r="B248" s="6" t="s">
        <v>181</v>
      </c>
      <c r="C248" s="8">
        <v>2010</v>
      </c>
      <c r="D248" s="8" t="s">
        <v>55</v>
      </c>
      <c r="E248" s="8">
        <v>1</v>
      </c>
      <c r="F248" s="8">
        <v>1</v>
      </c>
      <c r="G248" s="8"/>
      <c r="H248" s="8"/>
      <c r="I248" s="8" t="s">
        <v>177</v>
      </c>
      <c r="J248" s="8"/>
    </row>
    <row r="249" spans="1:10">
      <c r="A249" s="8">
        <f t="shared" si="10"/>
        <v>234</v>
      </c>
      <c r="B249" s="6" t="s">
        <v>73</v>
      </c>
      <c r="C249" s="8">
        <v>2010</v>
      </c>
      <c r="D249" s="8" t="s">
        <v>63</v>
      </c>
      <c r="E249" s="8">
        <v>1</v>
      </c>
      <c r="F249" s="8">
        <v>1</v>
      </c>
      <c r="G249" s="8"/>
      <c r="H249" s="8"/>
      <c r="I249" s="8" t="s">
        <v>177</v>
      </c>
      <c r="J249" s="8"/>
    </row>
    <row r="250" spans="1:10">
      <c r="A250" s="8">
        <f t="shared" si="10"/>
        <v>235</v>
      </c>
      <c r="B250" s="6" t="s">
        <v>72</v>
      </c>
      <c r="C250" s="8">
        <v>2010</v>
      </c>
      <c r="D250" s="8" t="s">
        <v>60</v>
      </c>
      <c r="E250" s="8">
        <v>1</v>
      </c>
      <c r="F250" s="8">
        <v>1</v>
      </c>
      <c r="G250" s="8"/>
      <c r="H250" s="8"/>
      <c r="I250" s="8" t="s">
        <v>177</v>
      </c>
      <c r="J250" s="8"/>
    </row>
    <row r="251" spans="1:10">
      <c r="A251" s="8">
        <f t="shared" si="10"/>
        <v>236</v>
      </c>
      <c r="B251" s="6" t="s">
        <v>172</v>
      </c>
      <c r="C251" s="8">
        <v>2010</v>
      </c>
      <c r="D251" s="8" t="s">
        <v>55</v>
      </c>
      <c r="E251" s="8">
        <v>1</v>
      </c>
      <c r="F251" s="8">
        <v>1</v>
      </c>
      <c r="G251" s="8"/>
      <c r="H251" s="8"/>
      <c r="I251" s="8" t="s">
        <v>177</v>
      </c>
      <c r="J251" s="8"/>
    </row>
    <row r="252" spans="1:10">
      <c r="A252" s="8">
        <f t="shared" si="10"/>
        <v>237</v>
      </c>
      <c r="B252" s="6" t="s">
        <v>70</v>
      </c>
      <c r="C252" s="8">
        <v>2010</v>
      </c>
      <c r="D252" s="8" t="s">
        <v>71</v>
      </c>
      <c r="E252" s="8">
        <v>1</v>
      </c>
      <c r="F252" s="8">
        <v>1</v>
      </c>
      <c r="G252" s="8"/>
      <c r="H252" s="8"/>
      <c r="I252" s="8" t="s">
        <v>177</v>
      </c>
      <c r="J252" s="8"/>
    </row>
    <row r="253" spans="1:10">
      <c r="A253" s="8">
        <f t="shared" si="10"/>
        <v>238</v>
      </c>
      <c r="B253" s="6" t="s">
        <v>173</v>
      </c>
      <c r="C253" s="8">
        <v>2010</v>
      </c>
      <c r="D253" s="8" t="s">
        <v>60</v>
      </c>
      <c r="E253" s="8">
        <v>1</v>
      </c>
      <c r="F253" s="8">
        <v>1</v>
      </c>
      <c r="G253" s="8"/>
      <c r="H253" s="8"/>
      <c r="I253" s="8" t="s">
        <v>177</v>
      </c>
      <c r="J253" s="8"/>
    </row>
    <row r="254" spans="1:10">
      <c r="A254" s="8">
        <f t="shared" si="10"/>
        <v>239</v>
      </c>
      <c r="B254" s="6" t="s">
        <v>75</v>
      </c>
      <c r="C254" s="8">
        <v>2010</v>
      </c>
      <c r="D254" s="8" t="s">
        <v>60</v>
      </c>
      <c r="E254" s="8">
        <v>1</v>
      </c>
      <c r="F254" s="8">
        <v>1</v>
      </c>
      <c r="G254" s="8"/>
      <c r="H254" s="8"/>
      <c r="I254" s="8" t="s">
        <v>177</v>
      </c>
      <c r="J254" s="8"/>
    </row>
    <row r="255" spans="1:10">
      <c r="A255" s="8">
        <f t="shared" si="10"/>
        <v>240</v>
      </c>
      <c r="B255" s="6" t="s">
        <v>76</v>
      </c>
      <c r="C255" s="8">
        <v>2010</v>
      </c>
      <c r="D255" s="8" t="s">
        <v>60</v>
      </c>
      <c r="E255" s="8">
        <v>1</v>
      </c>
      <c r="F255" s="8">
        <v>1</v>
      </c>
      <c r="G255" s="8"/>
      <c r="H255" s="8"/>
      <c r="I255" s="8" t="s">
        <v>177</v>
      </c>
      <c r="J255" s="8"/>
    </row>
    <row r="256" spans="1:10">
      <c r="A256" s="8">
        <f t="shared" si="10"/>
        <v>241</v>
      </c>
      <c r="B256" s="6" t="s">
        <v>176</v>
      </c>
      <c r="C256" s="8">
        <v>2010</v>
      </c>
      <c r="D256" s="8" t="s">
        <v>55</v>
      </c>
      <c r="E256" s="8">
        <v>1</v>
      </c>
      <c r="F256" s="8">
        <v>1</v>
      </c>
      <c r="G256" s="8"/>
      <c r="H256" s="8"/>
      <c r="I256" s="8" t="s">
        <v>182</v>
      </c>
      <c r="J256" s="8"/>
    </row>
    <row r="257" spans="1:10">
      <c r="A257" s="8">
        <f t="shared" si="10"/>
        <v>242</v>
      </c>
      <c r="B257" s="6" t="s">
        <v>183</v>
      </c>
      <c r="C257" s="8">
        <v>2010</v>
      </c>
      <c r="D257" s="8" t="s">
        <v>55</v>
      </c>
      <c r="E257" s="8">
        <v>1</v>
      </c>
      <c r="F257" s="8">
        <v>1</v>
      </c>
      <c r="G257" s="8"/>
      <c r="H257" s="8"/>
      <c r="I257" s="8" t="s">
        <v>182</v>
      </c>
      <c r="J257" s="8"/>
    </row>
    <row r="258" spans="1:10">
      <c r="A258" s="8">
        <f t="shared" si="10"/>
        <v>243</v>
      </c>
      <c r="B258" s="6" t="s">
        <v>61</v>
      </c>
      <c r="C258" s="8">
        <v>2016</v>
      </c>
      <c r="D258" s="8" t="s">
        <v>63</v>
      </c>
      <c r="E258" s="8">
        <v>1</v>
      </c>
      <c r="F258" s="8">
        <v>1</v>
      </c>
      <c r="G258" s="8"/>
      <c r="H258" s="8"/>
      <c r="I258" s="8" t="s">
        <v>182</v>
      </c>
      <c r="J258" s="8"/>
    </row>
    <row r="259" spans="1:10">
      <c r="A259" s="8">
        <f t="shared" si="10"/>
        <v>244</v>
      </c>
      <c r="B259" s="6" t="s">
        <v>184</v>
      </c>
      <c r="C259" s="8">
        <v>2010</v>
      </c>
      <c r="D259" s="8" t="s">
        <v>60</v>
      </c>
      <c r="E259" s="8">
        <v>3</v>
      </c>
      <c r="F259" s="8">
        <v>3</v>
      </c>
      <c r="G259" s="8"/>
      <c r="H259" s="8"/>
      <c r="I259" s="8" t="s">
        <v>182</v>
      </c>
      <c r="J259" s="8"/>
    </row>
    <row r="260" spans="1:10">
      <c r="A260" s="8">
        <f t="shared" si="10"/>
        <v>245</v>
      </c>
      <c r="B260" s="6" t="s">
        <v>185</v>
      </c>
      <c r="C260" s="8">
        <v>2010</v>
      </c>
      <c r="D260" s="8" t="s">
        <v>63</v>
      </c>
      <c r="E260" s="8">
        <v>1</v>
      </c>
      <c r="F260" s="8">
        <v>1</v>
      </c>
      <c r="G260" s="8"/>
      <c r="H260" s="8"/>
      <c r="I260" s="8" t="s">
        <v>182</v>
      </c>
      <c r="J260" s="8"/>
    </row>
    <row r="261" spans="1:10">
      <c r="A261" s="8">
        <f t="shared" si="10"/>
        <v>246</v>
      </c>
      <c r="B261" s="6" t="s">
        <v>179</v>
      </c>
      <c r="C261" s="8">
        <v>2010</v>
      </c>
      <c r="D261" s="8" t="s">
        <v>55</v>
      </c>
      <c r="E261" s="8">
        <v>1</v>
      </c>
      <c r="F261" s="8">
        <v>1</v>
      </c>
      <c r="G261" s="8"/>
      <c r="H261" s="8"/>
      <c r="I261" s="8" t="s">
        <v>182</v>
      </c>
      <c r="J261" s="8"/>
    </row>
    <row r="262" spans="1:10">
      <c r="A262" s="8">
        <f t="shared" si="10"/>
        <v>247</v>
      </c>
      <c r="B262" s="6" t="s">
        <v>180</v>
      </c>
      <c r="C262" s="8">
        <v>2010</v>
      </c>
      <c r="D262" s="8" t="s">
        <v>55</v>
      </c>
      <c r="E262" s="8">
        <v>1</v>
      </c>
      <c r="F262" s="8">
        <v>1</v>
      </c>
      <c r="G262" s="8"/>
      <c r="H262" s="8"/>
      <c r="I262" s="8" t="s">
        <v>182</v>
      </c>
      <c r="J262" s="8"/>
    </row>
    <row r="263" spans="1:10">
      <c r="A263" s="8">
        <f t="shared" si="10"/>
        <v>248</v>
      </c>
      <c r="B263" s="6" t="s">
        <v>74</v>
      </c>
      <c r="C263" s="8">
        <v>2018</v>
      </c>
      <c r="D263" s="8" t="s">
        <v>60</v>
      </c>
      <c r="E263" s="8">
        <v>1</v>
      </c>
      <c r="F263" s="8">
        <v>1</v>
      </c>
      <c r="G263" s="8"/>
      <c r="H263" s="8"/>
      <c r="I263" s="8" t="s">
        <v>182</v>
      </c>
      <c r="J263" s="8"/>
    </row>
    <row r="264" spans="1:10">
      <c r="A264" s="8">
        <f t="shared" si="10"/>
        <v>249</v>
      </c>
      <c r="B264" s="6" t="s">
        <v>181</v>
      </c>
      <c r="C264" s="8">
        <v>2010</v>
      </c>
      <c r="D264" s="8" t="s">
        <v>55</v>
      </c>
      <c r="E264" s="8">
        <v>1</v>
      </c>
      <c r="F264" s="8">
        <v>1</v>
      </c>
      <c r="G264" s="8"/>
      <c r="H264" s="8"/>
      <c r="I264" s="8" t="s">
        <v>182</v>
      </c>
      <c r="J264" s="8"/>
    </row>
    <row r="265" spans="1:10">
      <c r="A265" s="8">
        <f t="shared" si="10"/>
        <v>250</v>
      </c>
      <c r="B265" s="6" t="s">
        <v>73</v>
      </c>
      <c r="C265" s="8">
        <v>2010</v>
      </c>
      <c r="D265" s="8" t="s">
        <v>63</v>
      </c>
      <c r="E265" s="8">
        <v>1</v>
      </c>
      <c r="F265" s="8">
        <v>1</v>
      </c>
      <c r="G265" s="8"/>
      <c r="H265" s="8"/>
      <c r="I265" s="8" t="s">
        <v>182</v>
      </c>
      <c r="J265" s="8"/>
    </row>
    <row r="266" spans="1:10">
      <c r="A266" s="8">
        <f t="shared" si="10"/>
        <v>251</v>
      </c>
      <c r="B266" s="6" t="s">
        <v>72</v>
      </c>
      <c r="C266" s="8">
        <v>2010</v>
      </c>
      <c r="D266" s="8" t="s">
        <v>60</v>
      </c>
      <c r="E266" s="8">
        <v>1</v>
      </c>
      <c r="F266" s="8">
        <v>1</v>
      </c>
      <c r="G266" s="8"/>
      <c r="H266" s="8"/>
      <c r="I266" s="8" t="s">
        <v>182</v>
      </c>
      <c r="J266" s="8"/>
    </row>
    <row r="267" spans="1:10">
      <c r="A267" s="8">
        <f t="shared" si="10"/>
        <v>252</v>
      </c>
      <c r="B267" s="6" t="s">
        <v>172</v>
      </c>
      <c r="C267" s="8">
        <v>2010</v>
      </c>
      <c r="D267" s="8" t="s">
        <v>55</v>
      </c>
      <c r="E267" s="8">
        <v>1</v>
      </c>
      <c r="F267" s="8">
        <v>1</v>
      </c>
      <c r="G267" s="8"/>
      <c r="H267" s="8"/>
      <c r="I267" s="8" t="s">
        <v>182</v>
      </c>
      <c r="J267" s="8"/>
    </row>
    <row r="268" spans="1:10">
      <c r="A268" s="8">
        <f t="shared" si="10"/>
        <v>253</v>
      </c>
      <c r="B268" s="6" t="s">
        <v>70</v>
      </c>
      <c r="C268" s="8">
        <v>2010</v>
      </c>
      <c r="D268" s="8" t="s">
        <v>71</v>
      </c>
      <c r="E268" s="8">
        <v>1</v>
      </c>
      <c r="F268" s="8">
        <v>1</v>
      </c>
      <c r="G268" s="8"/>
      <c r="H268" s="8"/>
      <c r="I268" s="8" t="s">
        <v>182</v>
      </c>
      <c r="J268" s="8"/>
    </row>
    <row r="269" spans="1:10">
      <c r="A269" s="8">
        <f t="shared" si="10"/>
        <v>254</v>
      </c>
      <c r="B269" s="6" t="s">
        <v>173</v>
      </c>
      <c r="C269" s="8">
        <v>2010</v>
      </c>
      <c r="D269" s="8" t="s">
        <v>60</v>
      </c>
      <c r="E269" s="8">
        <v>1</v>
      </c>
      <c r="F269" s="8">
        <v>1</v>
      </c>
      <c r="G269" s="8"/>
      <c r="H269" s="8"/>
      <c r="I269" s="8" t="s">
        <v>182</v>
      </c>
      <c r="J269" s="8"/>
    </row>
    <row r="270" spans="1:10">
      <c r="A270" s="8">
        <f t="shared" si="10"/>
        <v>255</v>
      </c>
      <c r="B270" s="6" t="s">
        <v>75</v>
      </c>
      <c r="C270" s="8">
        <v>2010</v>
      </c>
      <c r="D270" s="8" t="s">
        <v>60</v>
      </c>
      <c r="E270" s="8">
        <v>1</v>
      </c>
      <c r="F270" s="8">
        <v>1</v>
      </c>
      <c r="G270" s="8"/>
      <c r="H270" s="8"/>
      <c r="I270" s="8" t="s">
        <v>182</v>
      </c>
      <c r="J270" s="8"/>
    </row>
    <row r="271" spans="1:10">
      <c r="A271" s="8">
        <f t="shared" si="10"/>
        <v>256</v>
      </c>
      <c r="B271" s="6" t="s">
        <v>76</v>
      </c>
      <c r="C271" s="8">
        <v>2010</v>
      </c>
      <c r="D271" s="8" t="s">
        <v>60</v>
      </c>
      <c r="E271" s="8">
        <v>1</v>
      </c>
      <c r="F271" s="8">
        <v>1</v>
      </c>
      <c r="G271" s="8"/>
      <c r="H271" s="8"/>
      <c r="I271" s="8" t="s">
        <v>182</v>
      </c>
      <c r="J271" s="8"/>
    </row>
    <row r="272" spans="1:10">
      <c r="A272" s="8">
        <f t="shared" si="10"/>
        <v>257</v>
      </c>
      <c r="B272" s="6" t="s">
        <v>186</v>
      </c>
      <c r="C272" s="8">
        <v>2010</v>
      </c>
      <c r="D272" s="8" t="s">
        <v>60</v>
      </c>
      <c r="E272" s="8">
        <v>1</v>
      </c>
      <c r="F272" s="8">
        <v>1</v>
      </c>
      <c r="G272" s="8"/>
      <c r="H272" s="8"/>
      <c r="I272" s="8" t="s">
        <v>182</v>
      </c>
      <c r="J272" s="8"/>
    </row>
    <row r="273" spans="1:10">
      <c r="A273" s="8">
        <f t="shared" si="10"/>
        <v>258</v>
      </c>
      <c r="B273" s="6" t="s">
        <v>187</v>
      </c>
      <c r="C273" s="8"/>
      <c r="D273" s="8" t="s">
        <v>55</v>
      </c>
      <c r="E273" s="8">
        <v>1</v>
      </c>
      <c r="F273" s="8">
        <v>1</v>
      </c>
      <c r="G273" s="8"/>
      <c r="H273" s="8">
        <v>1</v>
      </c>
      <c r="I273" s="8" t="s">
        <v>182</v>
      </c>
      <c r="J273" s="8"/>
    </row>
    <row r="274" spans="1:10">
      <c r="A274" s="8">
        <f t="shared" si="10"/>
        <v>259</v>
      </c>
      <c r="B274" s="6" t="s">
        <v>188</v>
      </c>
      <c r="C274" s="8">
        <v>2024</v>
      </c>
      <c r="D274" s="8" t="s">
        <v>55</v>
      </c>
      <c r="E274" s="8">
        <v>1</v>
      </c>
      <c r="F274" s="8">
        <v>1</v>
      </c>
      <c r="G274" s="8"/>
      <c r="H274" s="8"/>
      <c r="I274" s="8" t="s">
        <v>182</v>
      </c>
      <c r="J274" s="8"/>
    </row>
    <row r="275" spans="1:10">
      <c r="A275" s="8">
        <f t="shared" si="10"/>
        <v>260</v>
      </c>
      <c r="B275" s="6" t="s">
        <v>176</v>
      </c>
      <c r="C275" s="8">
        <v>2010</v>
      </c>
      <c r="D275" s="8" t="s">
        <v>55</v>
      </c>
      <c r="E275" s="8">
        <v>1</v>
      </c>
      <c r="F275" s="8">
        <v>1</v>
      </c>
      <c r="G275" s="8"/>
      <c r="H275" s="8"/>
      <c r="I275" s="8" t="s">
        <v>190</v>
      </c>
      <c r="J275" s="8"/>
    </row>
    <row r="276" spans="1:10">
      <c r="A276" s="8">
        <f t="shared" si="10"/>
        <v>261</v>
      </c>
      <c r="B276" s="6" t="s">
        <v>183</v>
      </c>
      <c r="C276" s="8">
        <v>2010</v>
      </c>
      <c r="D276" s="8" t="s">
        <v>55</v>
      </c>
      <c r="E276" s="8">
        <v>1</v>
      </c>
      <c r="F276" s="8">
        <v>1</v>
      </c>
      <c r="G276" s="8"/>
      <c r="H276" s="8"/>
      <c r="I276" s="8" t="s">
        <v>190</v>
      </c>
      <c r="J276" s="8"/>
    </row>
    <row r="277" spans="1:10">
      <c r="A277" s="8">
        <f t="shared" si="10"/>
        <v>262</v>
      </c>
      <c r="B277" s="6" t="s">
        <v>61</v>
      </c>
      <c r="C277" s="8">
        <v>2016</v>
      </c>
      <c r="D277" s="8" t="s">
        <v>63</v>
      </c>
      <c r="E277" s="8">
        <v>1</v>
      </c>
      <c r="F277" s="8">
        <v>1</v>
      </c>
      <c r="G277" s="8"/>
      <c r="H277" s="8"/>
      <c r="I277" s="8" t="s">
        <v>190</v>
      </c>
      <c r="J277" s="8"/>
    </row>
    <row r="278" spans="1:10">
      <c r="A278" s="8">
        <f t="shared" si="10"/>
        <v>263</v>
      </c>
      <c r="B278" s="6" t="s">
        <v>184</v>
      </c>
      <c r="C278" s="8">
        <v>2010</v>
      </c>
      <c r="D278" s="8" t="s">
        <v>60</v>
      </c>
      <c r="E278" s="8">
        <v>3</v>
      </c>
      <c r="F278" s="8">
        <v>3</v>
      </c>
      <c r="G278" s="8"/>
      <c r="H278" s="8"/>
      <c r="I278" s="8" t="s">
        <v>190</v>
      </c>
      <c r="J278" s="8"/>
    </row>
    <row r="279" spans="1:10">
      <c r="A279" s="8">
        <f t="shared" si="10"/>
        <v>264</v>
      </c>
      <c r="B279" s="6" t="s">
        <v>185</v>
      </c>
      <c r="C279" s="8">
        <v>2010</v>
      </c>
      <c r="D279" s="8" t="s">
        <v>63</v>
      </c>
      <c r="E279" s="8">
        <v>1</v>
      </c>
      <c r="F279" s="8">
        <v>1</v>
      </c>
      <c r="G279" s="8"/>
      <c r="H279" s="8"/>
      <c r="I279" s="8" t="s">
        <v>190</v>
      </c>
      <c r="J279" s="8"/>
    </row>
    <row r="280" spans="1:10">
      <c r="A280" s="8">
        <f t="shared" si="10"/>
        <v>265</v>
      </c>
      <c r="B280" s="6" t="s">
        <v>179</v>
      </c>
      <c r="C280" s="8">
        <v>2010</v>
      </c>
      <c r="D280" s="8" t="s">
        <v>55</v>
      </c>
      <c r="E280" s="8">
        <v>1</v>
      </c>
      <c r="F280" s="8">
        <v>1</v>
      </c>
      <c r="G280" s="8"/>
      <c r="H280" s="8"/>
      <c r="I280" s="8" t="s">
        <v>190</v>
      </c>
      <c r="J280" s="8"/>
    </row>
    <row r="281" spans="1:10">
      <c r="A281" s="8">
        <f t="shared" si="10"/>
        <v>266</v>
      </c>
      <c r="B281" s="6" t="s">
        <v>180</v>
      </c>
      <c r="C281" s="8">
        <v>2010</v>
      </c>
      <c r="D281" s="8" t="s">
        <v>55</v>
      </c>
      <c r="E281" s="8">
        <v>1</v>
      </c>
      <c r="F281" s="8">
        <v>1</v>
      </c>
      <c r="G281" s="8"/>
      <c r="H281" s="8"/>
      <c r="I281" s="8" t="s">
        <v>190</v>
      </c>
      <c r="J281" s="8"/>
    </row>
    <row r="282" spans="1:10">
      <c r="A282" s="8">
        <f t="shared" si="10"/>
        <v>267</v>
      </c>
      <c r="B282" s="6" t="s">
        <v>74</v>
      </c>
      <c r="C282" s="8">
        <v>2018</v>
      </c>
      <c r="D282" s="8" t="s">
        <v>60</v>
      </c>
      <c r="E282" s="8">
        <v>1</v>
      </c>
      <c r="F282" s="8">
        <v>1</v>
      </c>
      <c r="G282" s="8"/>
      <c r="H282" s="8"/>
      <c r="I282" s="8" t="s">
        <v>190</v>
      </c>
      <c r="J282" s="8"/>
    </row>
    <row r="283" spans="1:10">
      <c r="A283" s="8">
        <f t="shared" si="10"/>
        <v>268</v>
      </c>
      <c r="B283" s="6" t="s">
        <v>181</v>
      </c>
      <c r="C283" s="8">
        <v>2010</v>
      </c>
      <c r="D283" s="8" t="s">
        <v>55</v>
      </c>
      <c r="E283" s="8">
        <v>1</v>
      </c>
      <c r="F283" s="8">
        <v>1</v>
      </c>
      <c r="G283" s="8"/>
      <c r="H283" s="8"/>
      <c r="I283" s="8" t="s">
        <v>190</v>
      </c>
      <c r="J283" s="8"/>
    </row>
    <row r="284" spans="1:10">
      <c r="A284" s="8">
        <f t="shared" si="10"/>
        <v>269</v>
      </c>
      <c r="B284" s="6" t="s">
        <v>73</v>
      </c>
      <c r="C284" s="8">
        <v>2010</v>
      </c>
      <c r="D284" s="8" t="s">
        <v>63</v>
      </c>
      <c r="E284" s="8">
        <v>1</v>
      </c>
      <c r="F284" s="8">
        <v>1</v>
      </c>
      <c r="G284" s="8"/>
      <c r="H284" s="8"/>
      <c r="I284" s="8" t="s">
        <v>190</v>
      </c>
      <c r="J284" s="8"/>
    </row>
    <row r="285" spans="1:10">
      <c r="A285" s="8">
        <f t="shared" si="10"/>
        <v>270</v>
      </c>
      <c r="B285" s="6" t="s">
        <v>72</v>
      </c>
      <c r="C285" s="8">
        <v>2010</v>
      </c>
      <c r="D285" s="8" t="s">
        <v>60</v>
      </c>
      <c r="E285" s="8">
        <v>1</v>
      </c>
      <c r="F285" s="8">
        <v>1</v>
      </c>
      <c r="G285" s="8"/>
      <c r="H285" s="8"/>
      <c r="I285" s="8" t="s">
        <v>190</v>
      </c>
      <c r="J285" s="8"/>
    </row>
    <row r="286" spans="1:10">
      <c r="A286" s="8">
        <f t="shared" si="10"/>
        <v>271</v>
      </c>
      <c r="B286" s="6" t="s">
        <v>172</v>
      </c>
      <c r="C286" s="8">
        <v>2010</v>
      </c>
      <c r="D286" s="8" t="s">
        <v>55</v>
      </c>
      <c r="E286" s="8">
        <v>1</v>
      </c>
      <c r="F286" s="8">
        <v>1</v>
      </c>
      <c r="G286" s="8"/>
      <c r="H286" s="8"/>
      <c r="I286" s="8" t="s">
        <v>190</v>
      </c>
      <c r="J286" s="8"/>
    </row>
    <row r="287" spans="1:10">
      <c r="A287" s="8">
        <f t="shared" si="10"/>
        <v>272</v>
      </c>
      <c r="B287" s="6" t="s">
        <v>70</v>
      </c>
      <c r="C287" s="8">
        <v>2010</v>
      </c>
      <c r="D287" s="8" t="s">
        <v>71</v>
      </c>
      <c r="E287" s="8">
        <v>1</v>
      </c>
      <c r="F287" s="8">
        <v>1</v>
      </c>
      <c r="G287" s="8"/>
      <c r="H287" s="8"/>
      <c r="I287" s="8" t="s">
        <v>190</v>
      </c>
      <c r="J287" s="8"/>
    </row>
    <row r="288" spans="1:10">
      <c r="A288" s="8">
        <f t="shared" si="10"/>
        <v>273</v>
      </c>
      <c r="B288" s="6" t="s">
        <v>173</v>
      </c>
      <c r="C288" s="8">
        <v>2010</v>
      </c>
      <c r="D288" s="8" t="s">
        <v>60</v>
      </c>
      <c r="E288" s="8">
        <v>1</v>
      </c>
      <c r="F288" s="8">
        <v>1</v>
      </c>
      <c r="G288" s="8"/>
      <c r="H288" s="8"/>
      <c r="I288" s="8" t="s">
        <v>190</v>
      </c>
      <c r="J288" s="8"/>
    </row>
    <row r="289" spans="1:10">
      <c r="A289" s="8">
        <f t="shared" si="10"/>
        <v>274</v>
      </c>
      <c r="B289" s="6" t="s">
        <v>75</v>
      </c>
      <c r="C289" s="8">
        <v>2010</v>
      </c>
      <c r="D289" s="8" t="s">
        <v>60</v>
      </c>
      <c r="E289" s="8">
        <v>1</v>
      </c>
      <c r="F289" s="8">
        <v>1</v>
      </c>
      <c r="G289" s="8"/>
      <c r="H289" s="8"/>
      <c r="I289" s="8" t="s">
        <v>190</v>
      </c>
      <c r="J289" s="8"/>
    </row>
    <row r="290" spans="1:10">
      <c r="A290" s="8">
        <f t="shared" ref="A290:A311" si="11">A289+1</f>
        <v>275</v>
      </c>
      <c r="B290" s="6" t="s">
        <v>76</v>
      </c>
      <c r="C290" s="8">
        <v>2010</v>
      </c>
      <c r="D290" s="8" t="s">
        <v>60</v>
      </c>
      <c r="E290" s="8">
        <v>1</v>
      </c>
      <c r="F290" s="8">
        <v>1</v>
      </c>
      <c r="G290" s="8"/>
      <c r="H290" s="8"/>
      <c r="I290" s="8" t="s">
        <v>190</v>
      </c>
      <c r="J290" s="8"/>
    </row>
    <row r="291" spans="1:10">
      <c r="A291" s="8">
        <f t="shared" si="11"/>
        <v>276</v>
      </c>
      <c r="B291" s="6" t="s">
        <v>193</v>
      </c>
      <c r="C291" s="8">
        <v>2010</v>
      </c>
      <c r="D291" s="8" t="s">
        <v>60</v>
      </c>
      <c r="E291" s="8">
        <v>1</v>
      </c>
      <c r="F291" s="8">
        <v>1</v>
      </c>
      <c r="G291" s="8"/>
      <c r="H291" s="8"/>
      <c r="I291" s="8" t="s">
        <v>190</v>
      </c>
      <c r="J291" s="8"/>
    </row>
    <row r="292" spans="1:10">
      <c r="A292" s="8">
        <f t="shared" si="11"/>
        <v>277</v>
      </c>
      <c r="B292" s="6" t="s">
        <v>194</v>
      </c>
      <c r="C292" s="8">
        <v>2010</v>
      </c>
      <c r="D292" s="8" t="s">
        <v>60</v>
      </c>
      <c r="E292" s="8">
        <v>1</v>
      </c>
      <c r="F292" s="8">
        <v>1</v>
      </c>
      <c r="G292" s="8"/>
      <c r="H292" s="8"/>
      <c r="I292" s="8" t="s">
        <v>190</v>
      </c>
      <c r="J292" s="8"/>
    </row>
    <row r="293" spans="1:10">
      <c r="A293" s="8">
        <f t="shared" si="11"/>
        <v>278</v>
      </c>
      <c r="B293" s="6" t="s">
        <v>187</v>
      </c>
      <c r="C293" s="8"/>
      <c r="D293" s="8" t="s">
        <v>55</v>
      </c>
      <c r="E293" s="8">
        <v>1</v>
      </c>
      <c r="F293" s="8">
        <v>1</v>
      </c>
      <c r="G293" s="8"/>
      <c r="H293" s="8"/>
      <c r="I293" s="8" t="s">
        <v>190</v>
      </c>
      <c r="J293" s="8"/>
    </row>
    <row r="294" spans="1:10">
      <c r="A294" s="8">
        <f t="shared" si="11"/>
        <v>279</v>
      </c>
      <c r="B294" s="6" t="s">
        <v>195</v>
      </c>
      <c r="C294" s="8"/>
      <c r="D294" s="8" t="s">
        <v>60</v>
      </c>
      <c r="E294" s="8">
        <v>1</v>
      </c>
      <c r="F294" s="8">
        <v>1</v>
      </c>
      <c r="G294" s="8"/>
      <c r="H294" s="8"/>
      <c r="I294" s="8" t="s">
        <v>190</v>
      </c>
      <c r="J294" s="8"/>
    </row>
    <row r="295" spans="1:10">
      <c r="A295" s="8">
        <f t="shared" si="11"/>
        <v>280</v>
      </c>
      <c r="B295" s="6" t="s">
        <v>212</v>
      </c>
      <c r="C295" s="8"/>
      <c r="D295" s="8" t="s">
        <v>55</v>
      </c>
      <c r="E295" s="8">
        <v>2</v>
      </c>
      <c r="F295" s="8">
        <v>2</v>
      </c>
      <c r="G295" s="6"/>
      <c r="H295" s="6"/>
      <c r="I295" s="8" t="s">
        <v>197</v>
      </c>
      <c r="J295" s="8"/>
    </row>
    <row r="296" spans="1:10">
      <c r="A296" s="8">
        <f t="shared" si="11"/>
        <v>281</v>
      </c>
      <c r="B296" s="6" t="s">
        <v>207</v>
      </c>
      <c r="C296" s="8"/>
      <c r="D296" s="8" t="s">
        <v>60</v>
      </c>
      <c r="E296" s="8">
        <v>12</v>
      </c>
      <c r="F296" s="8">
        <v>12</v>
      </c>
      <c r="G296" s="6"/>
      <c r="H296" s="8">
        <v>1</v>
      </c>
      <c r="I296" s="8" t="s">
        <v>197</v>
      </c>
      <c r="J296" s="8" t="s">
        <v>552</v>
      </c>
    </row>
    <row r="297" spans="1:10">
      <c r="A297" s="8">
        <f t="shared" si="11"/>
        <v>282</v>
      </c>
      <c r="B297" s="6" t="s">
        <v>553</v>
      </c>
      <c r="C297" s="8"/>
      <c r="D297" s="8" t="s">
        <v>60</v>
      </c>
      <c r="E297" s="8">
        <v>88</v>
      </c>
      <c r="F297" s="8">
        <v>88</v>
      </c>
      <c r="G297" s="6"/>
      <c r="H297" s="6"/>
      <c r="I297" s="8" t="s">
        <v>197</v>
      </c>
      <c r="J297" s="8"/>
    </row>
    <row r="298" spans="1:10">
      <c r="A298" s="8">
        <f t="shared" si="11"/>
        <v>283</v>
      </c>
      <c r="B298" s="6" t="s">
        <v>173</v>
      </c>
      <c r="C298" s="8"/>
      <c r="D298" s="8" t="s">
        <v>60</v>
      </c>
      <c r="E298" s="7">
        <v>1</v>
      </c>
      <c r="F298" s="7">
        <v>1</v>
      </c>
      <c r="G298" s="6"/>
      <c r="H298" s="6"/>
      <c r="I298" s="8" t="s">
        <v>197</v>
      </c>
      <c r="J298" s="8"/>
    </row>
    <row r="299" spans="1:10">
      <c r="A299" s="8">
        <f t="shared" si="11"/>
        <v>284</v>
      </c>
      <c r="B299" s="6" t="s">
        <v>203</v>
      </c>
      <c r="C299" s="8">
        <v>2016</v>
      </c>
      <c r="D299" s="8" t="s">
        <v>60</v>
      </c>
      <c r="E299" s="7">
        <v>23</v>
      </c>
      <c r="F299" s="7">
        <v>23</v>
      </c>
      <c r="G299" s="6"/>
      <c r="H299" s="6"/>
      <c r="I299" s="8" t="s">
        <v>197</v>
      </c>
      <c r="J299" s="8"/>
    </row>
    <row r="300" spans="1:10">
      <c r="A300" s="8">
        <f t="shared" si="11"/>
        <v>285</v>
      </c>
      <c r="B300" s="6" t="s">
        <v>204</v>
      </c>
      <c r="C300" s="8">
        <v>2018</v>
      </c>
      <c r="D300" s="8" t="s">
        <v>60</v>
      </c>
      <c r="E300" s="8">
        <v>12</v>
      </c>
      <c r="F300" s="8">
        <v>12</v>
      </c>
      <c r="G300" s="6"/>
      <c r="H300" s="6"/>
      <c r="I300" s="8" t="s">
        <v>197</v>
      </c>
      <c r="J300" s="8"/>
    </row>
    <row r="301" spans="1:10">
      <c r="A301" s="8">
        <f t="shared" si="11"/>
        <v>286</v>
      </c>
      <c r="B301" s="6" t="s">
        <v>196</v>
      </c>
      <c r="C301" s="8">
        <v>2010</v>
      </c>
      <c r="D301" s="8" t="s">
        <v>60</v>
      </c>
      <c r="E301" s="7">
        <v>6</v>
      </c>
      <c r="F301" s="7">
        <v>6</v>
      </c>
      <c r="G301" s="6"/>
      <c r="H301" s="6"/>
      <c r="I301" s="8" t="s">
        <v>197</v>
      </c>
      <c r="J301" s="8"/>
    </row>
    <row r="302" spans="1:10">
      <c r="A302" s="8">
        <f t="shared" si="11"/>
        <v>287</v>
      </c>
      <c r="B302" s="6" t="s">
        <v>200</v>
      </c>
      <c r="C302" s="8"/>
      <c r="D302" s="8" t="s">
        <v>55</v>
      </c>
      <c r="E302" s="7">
        <v>2</v>
      </c>
      <c r="F302" s="7">
        <v>2</v>
      </c>
      <c r="G302" s="6"/>
      <c r="H302" s="6"/>
      <c r="I302" s="8" t="s">
        <v>197</v>
      </c>
      <c r="J302" s="8"/>
    </row>
    <row r="303" spans="1:10">
      <c r="A303" s="8">
        <f t="shared" si="11"/>
        <v>288</v>
      </c>
      <c r="B303" s="6" t="s">
        <v>202</v>
      </c>
      <c r="C303" s="8">
        <v>2024</v>
      </c>
      <c r="D303" s="8" t="s">
        <v>55</v>
      </c>
      <c r="E303" s="7">
        <v>2</v>
      </c>
      <c r="F303" s="7">
        <v>2</v>
      </c>
      <c r="G303" s="6"/>
      <c r="H303" s="6"/>
      <c r="I303" s="8" t="s">
        <v>197</v>
      </c>
      <c r="J303" s="8"/>
    </row>
    <row r="304" spans="1:10">
      <c r="A304" s="8">
        <f t="shared" si="11"/>
        <v>289</v>
      </c>
      <c r="B304" s="6" t="s">
        <v>198</v>
      </c>
      <c r="C304" s="8">
        <v>2018</v>
      </c>
      <c r="D304" s="8" t="s">
        <v>55</v>
      </c>
      <c r="E304" s="7">
        <v>10</v>
      </c>
      <c r="F304" s="7">
        <v>10</v>
      </c>
      <c r="G304" s="6"/>
      <c r="H304" s="6"/>
      <c r="I304" s="8" t="s">
        <v>197</v>
      </c>
      <c r="J304" s="8"/>
    </row>
    <row r="305" spans="1:10">
      <c r="A305" s="8">
        <f t="shared" si="11"/>
        <v>290</v>
      </c>
      <c r="B305" s="6" t="s">
        <v>206</v>
      </c>
      <c r="C305" s="8"/>
      <c r="D305" s="8" t="s">
        <v>55</v>
      </c>
      <c r="E305" s="7">
        <v>1</v>
      </c>
      <c r="F305" s="7">
        <v>1</v>
      </c>
      <c r="G305" s="6"/>
      <c r="H305" s="6"/>
      <c r="I305" s="8" t="s">
        <v>197</v>
      </c>
      <c r="J305" s="8"/>
    </row>
    <row r="306" spans="1:10">
      <c r="A306" s="8">
        <f t="shared" si="11"/>
        <v>291</v>
      </c>
      <c r="B306" s="6" t="s">
        <v>205</v>
      </c>
      <c r="C306" s="8">
        <v>2024</v>
      </c>
      <c r="D306" s="8" t="s">
        <v>60</v>
      </c>
      <c r="E306" s="7">
        <v>1</v>
      </c>
      <c r="F306" s="7">
        <v>1</v>
      </c>
      <c r="G306" s="6"/>
      <c r="H306" s="6"/>
      <c r="I306" s="8" t="s">
        <v>197</v>
      </c>
      <c r="J306" s="8"/>
    </row>
    <row r="307" spans="1:10">
      <c r="A307" s="8">
        <f t="shared" si="11"/>
        <v>292</v>
      </c>
      <c r="B307" s="6" t="s">
        <v>107</v>
      </c>
      <c r="C307" s="8">
        <v>2017</v>
      </c>
      <c r="D307" s="8" t="s">
        <v>60</v>
      </c>
      <c r="E307" s="7">
        <v>30</v>
      </c>
      <c r="F307" s="7">
        <v>30</v>
      </c>
      <c r="G307" s="6"/>
      <c r="H307" s="6"/>
      <c r="I307" s="8" t="s">
        <v>197</v>
      </c>
      <c r="J307" s="8"/>
    </row>
    <row r="308" spans="1:10">
      <c r="A308" s="8">
        <f t="shared" si="11"/>
        <v>293</v>
      </c>
      <c r="B308" s="6" t="s">
        <v>213</v>
      </c>
      <c r="C308" s="8">
        <v>2023</v>
      </c>
      <c r="D308" s="8" t="s">
        <v>55</v>
      </c>
      <c r="E308" s="7">
        <v>1</v>
      </c>
      <c r="F308" s="7">
        <v>1</v>
      </c>
      <c r="G308" s="6"/>
      <c r="H308" s="6"/>
      <c r="I308" s="8" t="s">
        <v>197</v>
      </c>
      <c r="J308" s="8"/>
    </row>
    <row r="309" spans="1:10">
      <c r="A309" s="8">
        <f t="shared" si="11"/>
        <v>294</v>
      </c>
      <c r="B309" s="6" t="s">
        <v>110</v>
      </c>
      <c r="C309" s="8">
        <v>2010</v>
      </c>
      <c r="D309" s="8" t="s">
        <v>60</v>
      </c>
      <c r="E309" s="7">
        <v>20</v>
      </c>
      <c r="F309" s="7">
        <v>20</v>
      </c>
      <c r="G309" s="6"/>
      <c r="H309" s="6"/>
      <c r="I309" s="8" t="s">
        <v>197</v>
      </c>
      <c r="J309" s="8"/>
    </row>
    <row r="310" spans="1:10">
      <c r="A310" s="8">
        <f t="shared" si="11"/>
        <v>295</v>
      </c>
      <c r="B310" s="6" t="s">
        <v>210</v>
      </c>
      <c r="C310" s="8">
        <v>2010</v>
      </c>
      <c r="D310" s="8" t="s">
        <v>60</v>
      </c>
      <c r="E310" s="7">
        <v>11</v>
      </c>
      <c r="F310" s="7">
        <v>11</v>
      </c>
      <c r="G310" s="6"/>
      <c r="H310" s="6"/>
      <c r="I310" s="8" t="s">
        <v>197</v>
      </c>
      <c r="J310" s="8" t="s">
        <v>545</v>
      </c>
    </row>
    <row r="311" spans="1:10">
      <c r="A311" s="8">
        <f t="shared" si="11"/>
        <v>296</v>
      </c>
      <c r="B311" s="6" t="s">
        <v>211</v>
      </c>
      <c r="C311" s="8">
        <v>2010</v>
      </c>
      <c r="D311" s="8" t="s">
        <v>60</v>
      </c>
      <c r="E311" s="7">
        <v>20</v>
      </c>
      <c r="F311" s="7">
        <v>20</v>
      </c>
      <c r="G311" s="6"/>
      <c r="H311" s="6"/>
      <c r="I311" s="8" t="s">
        <v>197</v>
      </c>
      <c r="J311" s="8"/>
    </row>
    <row r="312" spans="1:10">
      <c r="A312" s="6"/>
      <c r="B312" s="6"/>
      <c r="C312" s="8"/>
      <c r="D312" s="6"/>
      <c r="E312" s="6"/>
      <c r="F312" s="6"/>
      <c r="G312" s="6"/>
      <c r="H312" s="6"/>
      <c r="I312" s="8"/>
      <c r="J312" s="8"/>
    </row>
    <row r="313" spans="1:10">
      <c r="A313" s="6"/>
      <c r="B313" s="6"/>
      <c r="C313" s="8"/>
      <c r="D313" s="6"/>
      <c r="E313" s="6"/>
      <c r="F313" s="6"/>
      <c r="G313" s="6"/>
      <c r="H313" s="6"/>
      <c r="I313" s="6"/>
      <c r="J313" s="8"/>
    </row>
    <row r="314" spans="1:10">
      <c r="A314" s="6"/>
      <c r="B314" s="6"/>
      <c r="C314" s="8"/>
      <c r="D314" s="6"/>
      <c r="E314" s="6"/>
      <c r="F314" s="6"/>
      <c r="G314" s="6"/>
      <c r="H314" s="6"/>
      <c r="I314" s="6"/>
      <c r="J314" s="8"/>
    </row>
    <row r="315" spans="1:10">
      <c r="A315" s="6"/>
      <c r="B315" s="6"/>
      <c r="C315" s="8"/>
      <c r="D315" s="6"/>
      <c r="E315" s="6"/>
      <c r="F315" s="6"/>
      <c r="G315" s="6"/>
      <c r="H315" s="6"/>
      <c r="I315" s="6"/>
      <c r="J315" s="8"/>
    </row>
  </sheetData>
  <mergeCells count="13">
    <mergeCell ref="I5:I8"/>
    <mergeCell ref="J5:J8"/>
    <mergeCell ref="A1:J4"/>
    <mergeCell ref="E5:H5"/>
    <mergeCell ref="G6:H6"/>
    <mergeCell ref="A5:A8"/>
    <mergeCell ref="B5:B8"/>
    <mergeCell ref="C5:C8"/>
    <mergeCell ref="D5:D8"/>
    <mergeCell ref="E6:E8"/>
    <mergeCell ref="F6:F8"/>
    <mergeCell ref="G7:G8"/>
    <mergeCell ref="H7:H8"/>
  </mergeCells>
  <pageMargins left="0" right="0" top="0.118110236220472" bottom="0" header="0" footer="0"/>
  <pageSetup paperSize="9" scale="6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33"/>
  <sheetViews>
    <sheetView workbookViewId="0">
      <selection activeCell="G14" sqref="G14"/>
    </sheetView>
  </sheetViews>
  <sheetFormatPr defaultColWidth="8.6640625" defaultRowHeight="14.4"/>
  <cols>
    <col min="1" max="1" width="1.6640625" style="1" customWidth="1"/>
    <col min="2" max="2" width="7.109375" style="1" customWidth="1"/>
    <col min="3" max="3" width="29" style="1" customWidth="1"/>
    <col min="4" max="5" width="9.44140625" style="1" customWidth="1"/>
    <col min="6" max="6" width="10.109375" style="1" customWidth="1"/>
    <col min="7" max="7" width="124.33203125" style="1" customWidth="1"/>
    <col min="8" max="8" width="0.88671875" style="1" customWidth="1"/>
    <col min="9" max="16384" width="8.6640625" style="1"/>
  </cols>
  <sheetData>
    <row r="1" spans="2:7" ht="7.5" customHeight="1"/>
    <row r="2" spans="2:7">
      <c r="B2" s="272" t="s">
        <v>554</v>
      </c>
      <c r="C2" s="273"/>
      <c r="D2" s="273"/>
      <c r="E2" s="273"/>
      <c r="F2" s="273"/>
      <c r="G2" s="274"/>
    </row>
    <row r="3" spans="2:7">
      <c r="B3" s="275"/>
      <c r="C3" s="276"/>
      <c r="D3" s="276"/>
      <c r="E3" s="276"/>
      <c r="F3" s="276"/>
      <c r="G3" s="277"/>
    </row>
    <row r="4" spans="2:7">
      <c r="B4" s="275"/>
      <c r="C4" s="276"/>
      <c r="D4" s="276"/>
      <c r="E4" s="276"/>
      <c r="F4" s="276"/>
      <c r="G4" s="277"/>
    </row>
    <row r="5" spans="2:7" ht="14.1" customHeight="1">
      <c r="B5" s="278"/>
      <c r="C5" s="279"/>
      <c r="D5" s="279"/>
      <c r="E5" s="279"/>
      <c r="F5" s="279"/>
      <c r="G5" s="280"/>
    </row>
    <row r="6" spans="2:7" ht="30" customHeight="1">
      <c r="B6" s="133" t="s">
        <v>0</v>
      </c>
      <c r="C6" s="134" t="s">
        <v>1</v>
      </c>
      <c r="D6" s="134" t="s">
        <v>3</v>
      </c>
      <c r="E6" s="134" t="s">
        <v>4</v>
      </c>
      <c r="F6" s="135" t="s">
        <v>555</v>
      </c>
      <c r="G6" s="136" t="s">
        <v>2</v>
      </c>
    </row>
    <row r="7" spans="2:7">
      <c r="B7" s="137">
        <v>1</v>
      </c>
      <c r="C7" s="6" t="s">
        <v>28</v>
      </c>
      <c r="D7" s="7">
        <v>18</v>
      </c>
      <c r="E7" s="10">
        <v>4</v>
      </c>
      <c r="F7" s="7">
        <f>SUM(D7:E7)</f>
        <v>22</v>
      </c>
      <c r="G7" s="9" t="s">
        <v>484</v>
      </c>
    </row>
    <row r="8" spans="2:7">
      <c r="B8" s="137">
        <f>B7+1</f>
        <v>2</v>
      </c>
      <c r="C8" s="6" t="s">
        <v>6</v>
      </c>
      <c r="D8" s="7">
        <v>5</v>
      </c>
      <c r="E8" s="217" t="s">
        <v>56</v>
      </c>
      <c r="F8" s="7">
        <f>SUM(D8:E8)</f>
        <v>5</v>
      </c>
      <c r="G8" s="9" t="s">
        <v>485</v>
      </c>
    </row>
    <row r="9" spans="2:7">
      <c r="B9" s="137">
        <f t="shared" ref="B9:B31" si="0">B8+1</f>
        <v>3</v>
      </c>
      <c r="C9" s="6" t="s">
        <v>7</v>
      </c>
      <c r="D9" s="7">
        <v>9</v>
      </c>
      <c r="E9" s="217" t="s">
        <v>56</v>
      </c>
      <c r="F9" s="7">
        <f>SUM(D9:E9)</f>
        <v>9</v>
      </c>
      <c r="G9" s="9" t="s">
        <v>486</v>
      </c>
    </row>
    <row r="10" spans="2:7">
      <c r="B10" s="137">
        <f t="shared" si="0"/>
        <v>4</v>
      </c>
      <c r="C10" s="6" t="s">
        <v>8</v>
      </c>
      <c r="D10" s="212" t="s">
        <v>56</v>
      </c>
      <c r="E10" s="10">
        <v>8</v>
      </c>
      <c r="F10" s="7">
        <f t="shared" ref="F10:F33" si="1">SUM(D10:E10)</f>
        <v>8</v>
      </c>
      <c r="G10" s="9" t="s">
        <v>487</v>
      </c>
    </row>
    <row r="11" spans="2:7">
      <c r="B11" s="137">
        <f t="shared" si="0"/>
        <v>5</v>
      </c>
      <c r="C11" s="6" t="s">
        <v>9</v>
      </c>
      <c r="D11" s="7">
        <v>41</v>
      </c>
      <c r="E11" s="10">
        <v>3</v>
      </c>
      <c r="F11" s="7">
        <f t="shared" si="1"/>
        <v>44</v>
      </c>
      <c r="G11" s="9" t="s">
        <v>556</v>
      </c>
    </row>
    <row r="12" spans="2:7">
      <c r="B12" s="137">
        <f t="shared" si="0"/>
        <v>6</v>
      </c>
      <c r="C12" s="6" t="s">
        <v>489</v>
      </c>
      <c r="D12" s="7">
        <v>7</v>
      </c>
      <c r="E12" s="217" t="s">
        <v>56</v>
      </c>
      <c r="F12" s="7">
        <f t="shared" si="1"/>
        <v>7</v>
      </c>
      <c r="G12" s="9"/>
    </row>
    <row r="13" spans="2:7">
      <c r="B13" s="137">
        <f t="shared" si="0"/>
        <v>7</v>
      </c>
      <c r="C13" s="6" t="s">
        <v>490</v>
      </c>
      <c r="D13" s="7">
        <v>8</v>
      </c>
      <c r="E13" s="217" t="s">
        <v>56</v>
      </c>
      <c r="F13" s="7">
        <f t="shared" si="1"/>
        <v>8</v>
      </c>
      <c r="G13" s="9"/>
    </row>
    <row r="14" spans="2:7">
      <c r="B14" s="137">
        <f t="shared" si="0"/>
        <v>8</v>
      </c>
      <c r="C14" s="6" t="s">
        <v>491</v>
      </c>
      <c r="D14" s="7">
        <v>6</v>
      </c>
      <c r="E14" s="217" t="s">
        <v>56</v>
      </c>
      <c r="F14" s="7">
        <f t="shared" si="1"/>
        <v>6</v>
      </c>
      <c r="G14" s="9"/>
    </row>
    <row r="15" spans="2:7">
      <c r="B15" s="137">
        <f t="shared" si="0"/>
        <v>9</v>
      </c>
      <c r="C15" s="6" t="s">
        <v>10</v>
      </c>
      <c r="D15" s="7">
        <v>13</v>
      </c>
      <c r="E15" s="217" t="s">
        <v>56</v>
      </c>
      <c r="F15" s="7">
        <f t="shared" si="1"/>
        <v>13</v>
      </c>
      <c r="G15" s="9"/>
    </row>
    <row r="16" spans="2:7">
      <c r="B16" s="137">
        <f t="shared" si="0"/>
        <v>10</v>
      </c>
      <c r="C16" s="6" t="s">
        <v>11</v>
      </c>
      <c r="D16" s="7">
        <v>10</v>
      </c>
      <c r="E16" s="217" t="s">
        <v>56</v>
      </c>
      <c r="F16" s="7">
        <f t="shared" si="1"/>
        <v>10</v>
      </c>
      <c r="G16" s="9"/>
    </row>
    <row r="17" spans="2:7">
      <c r="B17" s="137">
        <f t="shared" si="0"/>
        <v>11</v>
      </c>
      <c r="C17" s="6" t="s">
        <v>12</v>
      </c>
      <c r="D17" s="7">
        <v>22</v>
      </c>
      <c r="E17" s="217" t="s">
        <v>56</v>
      </c>
      <c r="F17" s="7">
        <f t="shared" si="1"/>
        <v>22</v>
      </c>
      <c r="G17" s="9"/>
    </row>
    <row r="18" spans="2:7">
      <c r="B18" s="137">
        <f t="shared" si="0"/>
        <v>12</v>
      </c>
      <c r="C18" s="6" t="s">
        <v>13</v>
      </c>
      <c r="D18" s="7">
        <v>3</v>
      </c>
      <c r="E18" s="217" t="s">
        <v>56</v>
      </c>
      <c r="F18" s="7">
        <f t="shared" si="1"/>
        <v>3</v>
      </c>
      <c r="G18" s="9"/>
    </row>
    <row r="19" spans="2:7">
      <c r="B19" s="137">
        <f t="shared" si="0"/>
        <v>13</v>
      </c>
      <c r="C19" s="6" t="s">
        <v>14</v>
      </c>
      <c r="D19" s="7">
        <v>27</v>
      </c>
      <c r="E19" s="217" t="s">
        <v>56</v>
      </c>
      <c r="F19" s="7">
        <f t="shared" si="1"/>
        <v>27</v>
      </c>
      <c r="G19" s="9"/>
    </row>
    <row r="20" spans="2:7">
      <c r="B20" s="137">
        <f t="shared" si="0"/>
        <v>14</v>
      </c>
      <c r="C20" s="6" t="s">
        <v>15</v>
      </c>
      <c r="D20" s="7">
        <v>38</v>
      </c>
      <c r="E20" s="217" t="s">
        <v>56</v>
      </c>
      <c r="F20" s="7">
        <f t="shared" si="1"/>
        <v>38</v>
      </c>
      <c r="G20" s="9"/>
    </row>
    <row r="21" spans="2:7">
      <c r="B21" s="137">
        <f t="shared" si="0"/>
        <v>15</v>
      </c>
      <c r="C21" s="6" t="s">
        <v>16</v>
      </c>
      <c r="D21" s="7">
        <v>10</v>
      </c>
      <c r="E21" s="217" t="s">
        <v>56</v>
      </c>
      <c r="F21" s="7">
        <f t="shared" si="1"/>
        <v>10</v>
      </c>
      <c r="G21" s="9" t="s">
        <v>486</v>
      </c>
    </row>
    <row r="22" spans="2:7">
      <c r="B22" s="137">
        <f t="shared" si="0"/>
        <v>16</v>
      </c>
      <c r="C22" s="6" t="s">
        <v>17</v>
      </c>
      <c r="D22" s="7">
        <v>3</v>
      </c>
      <c r="E22" s="217" t="s">
        <v>56</v>
      </c>
      <c r="F22" s="7">
        <f t="shared" si="1"/>
        <v>3</v>
      </c>
      <c r="G22" s="9"/>
    </row>
    <row r="23" spans="2:7">
      <c r="B23" s="137">
        <f t="shared" si="0"/>
        <v>17</v>
      </c>
      <c r="C23" s="6" t="s">
        <v>18</v>
      </c>
      <c r="D23" s="7">
        <v>18</v>
      </c>
      <c r="E23" s="10">
        <v>6</v>
      </c>
      <c r="F23" s="7">
        <f t="shared" si="1"/>
        <v>24</v>
      </c>
      <c r="G23" s="9" t="s">
        <v>493</v>
      </c>
    </row>
    <row r="24" spans="2:7">
      <c r="B24" s="137">
        <f t="shared" si="0"/>
        <v>18</v>
      </c>
      <c r="C24" s="6" t="s">
        <v>19</v>
      </c>
      <c r="D24" s="7">
        <v>3</v>
      </c>
      <c r="E24" s="10">
        <v>11</v>
      </c>
      <c r="F24" s="7">
        <f t="shared" si="1"/>
        <v>14</v>
      </c>
      <c r="G24" s="9" t="s">
        <v>494</v>
      </c>
    </row>
    <row r="25" spans="2:7">
      <c r="B25" s="137">
        <f t="shared" si="0"/>
        <v>19</v>
      </c>
      <c r="C25" s="6" t="s">
        <v>20</v>
      </c>
      <c r="D25" s="7">
        <v>10</v>
      </c>
      <c r="E25" s="217" t="s">
        <v>56</v>
      </c>
      <c r="F25" s="7">
        <f t="shared" si="1"/>
        <v>10</v>
      </c>
      <c r="G25" s="9"/>
    </row>
    <row r="26" spans="2:7">
      <c r="B26" s="137">
        <f t="shared" si="0"/>
        <v>20</v>
      </c>
      <c r="C26" s="6" t="s">
        <v>21</v>
      </c>
      <c r="D26" s="7">
        <v>22</v>
      </c>
      <c r="E26" s="10">
        <v>5</v>
      </c>
      <c r="F26" s="7">
        <f t="shared" si="1"/>
        <v>27</v>
      </c>
      <c r="G26" s="9" t="s">
        <v>495</v>
      </c>
    </row>
    <row r="27" spans="2:7">
      <c r="B27" s="137">
        <f t="shared" si="0"/>
        <v>21</v>
      </c>
      <c r="C27" s="6" t="s">
        <v>22</v>
      </c>
      <c r="D27" s="7">
        <v>57</v>
      </c>
      <c r="E27" s="10">
        <v>29</v>
      </c>
      <c r="F27" s="7">
        <f t="shared" si="1"/>
        <v>86</v>
      </c>
      <c r="G27" s="9" t="s">
        <v>495</v>
      </c>
    </row>
    <row r="28" spans="2:7">
      <c r="B28" s="138">
        <v>22</v>
      </c>
      <c r="C28" s="6" t="s">
        <v>23</v>
      </c>
      <c r="D28" s="8">
        <v>62</v>
      </c>
      <c r="E28" s="217" t="s">
        <v>56</v>
      </c>
      <c r="F28" s="7">
        <f t="shared" si="1"/>
        <v>62</v>
      </c>
      <c r="G28" s="9"/>
    </row>
    <row r="29" spans="2:7">
      <c r="B29" s="137">
        <f t="shared" si="0"/>
        <v>23</v>
      </c>
      <c r="C29" s="20" t="s">
        <v>24</v>
      </c>
      <c r="D29" s="139">
        <v>2</v>
      </c>
      <c r="E29" s="217" t="s">
        <v>56</v>
      </c>
      <c r="F29" s="7">
        <f t="shared" si="1"/>
        <v>2</v>
      </c>
      <c r="G29" s="22"/>
    </row>
    <row r="30" spans="2:7">
      <c r="B30" s="138">
        <v>23</v>
      </c>
      <c r="C30" s="20" t="s">
        <v>25</v>
      </c>
      <c r="D30" s="139">
        <v>12</v>
      </c>
      <c r="E30" s="217" t="s">
        <v>56</v>
      </c>
      <c r="F30" s="7">
        <f t="shared" si="1"/>
        <v>12</v>
      </c>
      <c r="G30" s="22"/>
    </row>
    <row r="31" spans="2:7">
      <c r="B31" s="137">
        <f t="shared" si="0"/>
        <v>24</v>
      </c>
      <c r="C31" s="20" t="s">
        <v>496</v>
      </c>
      <c r="D31" s="139">
        <v>2</v>
      </c>
      <c r="E31" s="217" t="s">
        <v>56</v>
      </c>
      <c r="F31" s="7">
        <f t="shared" si="1"/>
        <v>2</v>
      </c>
      <c r="G31" s="22"/>
    </row>
    <row r="32" spans="2:7">
      <c r="B32" s="138">
        <v>24</v>
      </c>
      <c r="C32" s="20" t="s">
        <v>26</v>
      </c>
      <c r="D32" s="139">
        <v>6</v>
      </c>
      <c r="E32" s="21">
        <v>7</v>
      </c>
      <c r="F32" s="7">
        <f t="shared" si="1"/>
        <v>13</v>
      </c>
      <c r="G32" s="22" t="s">
        <v>497</v>
      </c>
    </row>
    <row r="33" spans="2:7">
      <c r="B33" s="140">
        <v>24</v>
      </c>
      <c r="C33" s="12" t="s">
        <v>27</v>
      </c>
      <c r="D33" s="13">
        <v>122</v>
      </c>
      <c r="E33" s="218" t="s">
        <v>56</v>
      </c>
      <c r="F33" s="13">
        <f t="shared" si="1"/>
        <v>122</v>
      </c>
      <c r="G33" s="16"/>
    </row>
  </sheetData>
  <mergeCells count="1">
    <mergeCell ref="B2:G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K137"/>
  <sheetViews>
    <sheetView workbookViewId="0">
      <pane xSplit="3" ySplit="9" topLeftCell="D28" activePane="bottomRight" state="frozen"/>
      <selection pane="topRight"/>
      <selection pane="bottomLeft"/>
      <selection pane="bottomRight" activeCell="J36" sqref="J36"/>
    </sheetView>
  </sheetViews>
  <sheetFormatPr defaultColWidth="8.6640625" defaultRowHeight="14.4"/>
  <cols>
    <col min="1" max="1" width="1.6640625" style="1" customWidth="1"/>
    <col min="2" max="2" width="7.109375" style="1" customWidth="1"/>
    <col min="3" max="3" width="29" style="1" customWidth="1"/>
    <col min="4" max="5" width="5.109375" style="1" customWidth="1"/>
    <col min="6" max="7" width="4.6640625" style="1" customWidth="1"/>
    <col min="8" max="9" width="5.109375" style="1" customWidth="1"/>
    <col min="10" max="10" width="5.44140625" style="1" customWidth="1"/>
    <col min="11" max="11" width="5.6640625" style="1" customWidth="1"/>
    <col min="12" max="35" width="5.109375" style="1" customWidth="1"/>
    <col min="36" max="36" width="6" style="1" customWidth="1"/>
    <col min="37" max="16384" width="8.6640625" style="1"/>
  </cols>
  <sheetData>
    <row r="1" spans="2:37" ht="7.5" customHeight="1"/>
    <row r="2" spans="2:37" ht="14.4" customHeight="1">
      <c r="B2" s="287" t="s">
        <v>557</v>
      </c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</row>
    <row r="3" spans="2:37" ht="17.399999999999999" customHeight="1">
      <c r="B3" s="287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</row>
    <row r="4" spans="2:37" ht="18" customHeight="1">
      <c r="B4" s="287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88"/>
      <c r="U4" s="288"/>
      <c r="V4" s="288"/>
      <c r="W4" s="288"/>
      <c r="X4" s="288"/>
      <c r="Y4" s="288"/>
      <c r="Z4" s="288"/>
      <c r="AA4" s="288"/>
      <c r="AB4" s="288"/>
      <c r="AC4" s="288"/>
      <c r="AD4" s="288"/>
      <c r="AE4" s="288"/>
      <c r="AF4" s="288"/>
      <c r="AG4" s="288"/>
      <c r="AH4" s="288"/>
      <c r="AI4" s="288"/>
      <c r="AJ4" s="288"/>
    </row>
    <row r="5" spans="2:37" ht="21.6" customHeight="1">
      <c r="B5" s="287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  <c r="AC5" s="288"/>
      <c r="AD5" s="288"/>
      <c r="AE5" s="288"/>
      <c r="AF5" s="288"/>
      <c r="AG5" s="288"/>
      <c r="AH5" s="288"/>
      <c r="AI5" s="288"/>
      <c r="AJ5" s="288"/>
    </row>
    <row r="6" spans="2:37" ht="9" customHeight="1"/>
    <row r="7" spans="2:37" ht="14.4" customHeight="1">
      <c r="B7" s="284" t="s">
        <v>32</v>
      </c>
      <c r="C7" s="284" t="s">
        <v>1</v>
      </c>
      <c r="D7" s="281" t="s">
        <v>558</v>
      </c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1"/>
      <c r="AH7" s="282" t="s">
        <v>5</v>
      </c>
      <c r="AI7" s="282"/>
      <c r="AJ7" s="286" t="s">
        <v>228</v>
      </c>
      <c r="AK7" s="122"/>
    </row>
    <row r="8" spans="2:37" ht="24.6" customHeight="1">
      <c r="B8" s="284"/>
      <c r="C8" s="284"/>
      <c r="D8" s="283" t="s">
        <v>559</v>
      </c>
      <c r="E8" s="283"/>
      <c r="F8" s="283" t="s">
        <v>560</v>
      </c>
      <c r="G8" s="283"/>
      <c r="H8" s="283" t="s">
        <v>561</v>
      </c>
      <c r="I8" s="283"/>
      <c r="J8" s="283" t="s">
        <v>562</v>
      </c>
      <c r="K8" s="283"/>
      <c r="L8" s="283" t="s">
        <v>563</v>
      </c>
      <c r="M8" s="283"/>
      <c r="N8" s="283" t="s">
        <v>564</v>
      </c>
      <c r="O8" s="283"/>
      <c r="P8" s="283" t="s">
        <v>565</v>
      </c>
      <c r="Q8" s="283"/>
      <c r="R8" s="283" t="s">
        <v>566</v>
      </c>
      <c r="S8" s="283"/>
      <c r="T8" s="283" t="s">
        <v>567</v>
      </c>
      <c r="U8" s="283"/>
      <c r="V8" s="283" t="s">
        <v>568</v>
      </c>
      <c r="W8" s="283"/>
      <c r="X8" s="283" t="s">
        <v>569</v>
      </c>
      <c r="Y8" s="283"/>
      <c r="Z8" s="283" t="s">
        <v>570</v>
      </c>
      <c r="AA8" s="283"/>
      <c r="AB8" s="283" t="s">
        <v>571</v>
      </c>
      <c r="AC8" s="283"/>
      <c r="AD8" s="283" t="s">
        <v>572</v>
      </c>
      <c r="AE8" s="283"/>
      <c r="AF8" s="283" t="s">
        <v>453</v>
      </c>
      <c r="AG8" s="283"/>
      <c r="AH8" s="285" t="s">
        <v>3</v>
      </c>
      <c r="AI8" s="285" t="s">
        <v>4</v>
      </c>
      <c r="AJ8" s="286"/>
      <c r="AK8" s="122"/>
    </row>
    <row r="9" spans="2:37">
      <c r="B9" s="284"/>
      <c r="C9" s="284"/>
      <c r="D9" s="129" t="s">
        <v>3</v>
      </c>
      <c r="E9" s="129" t="s">
        <v>4</v>
      </c>
      <c r="F9" s="129" t="s">
        <v>3</v>
      </c>
      <c r="G9" s="129" t="s">
        <v>4</v>
      </c>
      <c r="H9" s="129" t="s">
        <v>3</v>
      </c>
      <c r="I9" s="129" t="s">
        <v>4</v>
      </c>
      <c r="J9" s="129" t="s">
        <v>3</v>
      </c>
      <c r="K9" s="129" t="s">
        <v>4</v>
      </c>
      <c r="L9" s="129" t="s">
        <v>3</v>
      </c>
      <c r="M9" s="129" t="s">
        <v>4</v>
      </c>
      <c r="N9" s="129" t="s">
        <v>3</v>
      </c>
      <c r="O9" s="129" t="s">
        <v>4</v>
      </c>
      <c r="P9" s="129" t="s">
        <v>3</v>
      </c>
      <c r="Q9" s="129" t="s">
        <v>4</v>
      </c>
      <c r="R9" s="129" t="s">
        <v>3</v>
      </c>
      <c r="S9" s="129" t="s">
        <v>4</v>
      </c>
      <c r="T9" s="129" t="s">
        <v>3</v>
      </c>
      <c r="U9" s="129" t="s">
        <v>4</v>
      </c>
      <c r="V9" s="129" t="s">
        <v>3</v>
      </c>
      <c r="W9" s="129" t="s">
        <v>4</v>
      </c>
      <c r="X9" s="129" t="s">
        <v>3</v>
      </c>
      <c r="Y9" s="129" t="s">
        <v>4</v>
      </c>
      <c r="Z9" s="129" t="s">
        <v>3</v>
      </c>
      <c r="AA9" s="129" t="s">
        <v>4</v>
      </c>
      <c r="AB9" s="129" t="s">
        <v>3</v>
      </c>
      <c r="AC9" s="129" t="s">
        <v>4</v>
      </c>
      <c r="AD9" s="129" t="s">
        <v>3</v>
      </c>
      <c r="AE9" s="129" t="s">
        <v>4</v>
      </c>
      <c r="AF9" s="129" t="s">
        <v>3</v>
      </c>
      <c r="AG9" s="129" t="s">
        <v>4</v>
      </c>
      <c r="AH9" s="285"/>
      <c r="AI9" s="285"/>
      <c r="AJ9" s="286"/>
      <c r="AK9" s="122"/>
    </row>
    <row r="10" spans="2:37">
      <c r="B10" s="111">
        <v>1</v>
      </c>
      <c r="C10" s="130" t="s">
        <v>573</v>
      </c>
      <c r="D10" s="131">
        <v>6</v>
      </c>
      <c r="E10" s="211" t="s">
        <v>56</v>
      </c>
      <c r="F10" s="211" t="s">
        <v>56</v>
      </c>
      <c r="G10" s="211" t="s">
        <v>56</v>
      </c>
      <c r="H10" s="211" t="s">
        <v>56</v>
      </c>
      <c r="I10" s="211" t="s">
        <v>56</v>
      </c>
      <c r="J10" s="211" t="s">
        <v>56</v>
      </c>
      <c r="K10" s="211" t="s">
        <v>56</v>
      </c>
      <c r="L10" s="211" t="s">
        <v>56</v>
      </c>
      <c r="M10" s="211" t="s">
        <v>56</v>
      </c>
      <c r="N10" s="211" t="s">
        <v>56</v>
      </c>
      <c r="O10" s="211" t="s">
        <v>56</v>
      </c>
      <c r="P10" s="111" t="s">
        <v>56</v>
      </c>
      <c r="Q10" s="111" t="s">
        <v>56</v>
      </c>
      <c r="R10" s="111" t="s">
        <v>56</v>
      </c>
      <c r="S10" s="111" t="s">
        <v>56</v>
      </c>
      <c r="T10" s="111" t="s">
        <v>56</v>
      </c>
      <c r="U10" s="111" t="s">
        <v>56</v>
      </c>
      <c r="V10" s="111" t="s">
        <v>56</v>
      </c>
      <c r="W10" s="111" t="s">
        <v>56</v>
      </c>
      <c r="X10" s="111" t="s">
        <v>56</v>
      </c>
      <c r="Y10" s="111" t="s">
        <v>56</v>
      </c>
      <c r="Z10" s="111" t="s">
        <v>56</v>
      </c>
      <c r="AA10" s="111" t="s">
        <v>56</v>
      </c>
      <c r="AB10" s="111" t="s">
        <v>56</v>
      </c>
      <c r="AC10" s="111" t="s">
        <v>56</v>
      </c>
      <c r="AD10" s="111" t="s">
        <v>56</v>
      </c>
      <c r="AE10" s="111" t="s">
        <v>56</v>
      </c>
      <c r="AF10" s="111" t="s">
        <v>56</v>
      </c>
      <c r="AG10" s="111" t="s">
        <v>56</v>
      </c>
      <c r="AH10" s="131">
        <f t="shared" ref="AH10:AH30" si="0">SUM(D10,F10,H10,J10,L10,N10,P10,R10,T10,V10,X10,Z10,AB10,AD10,AF10)</f>
        <v>6</v>
      </c>
      <c r="AI10" s="131">
        <f t="shared" ref="AI10:AI30" si="1">SUM(E10,G10,I10,K10,M10,O10,Q10,S10,U10,W10,Y10,AA10,AC10,AE10,AG10)</f>
        <v>0</v>
      </c>
      <c r="AJ10" s="131">
        <f t="shared" ref="AJ10:AJ30" si="2">SUM(AH10:AI10)</f>
        <v>6</v>
      </c>
    </row>
    <row r="11" spans="2:37">
      <c r="B11" s="111">
        <f>B10+1</f>
        <v>2</v>
      </c>
      <c r="C11" s="130" t="s">
        <v>248</v>
      </c>
      <c r="D11" s="131">
        <v>1</v>
      </c>
      <c r="E11" s="211" t="s">
        <v>56</v>
      </c>
      <c r="F11" s="131">
        <v>1</v>
      </c>
      <c r="G11" s="211" t="s">
        <v>56</v>
      </c>
      <c r="H11" s="211" t="s">
        <v>56</v>
      </c>
      <c r="I11" s="211" t="s">
        <v>56</v>
      </c>
      <c r="J11" s="211" t="s">
        <v>56</v>
      </c>
      <c r="K11" s="211" t="s">
        <v>56</v>
      </c>
      <c r="L11" s="131">
        <v>3</v>
      </c>
      <c r="M11" s="211" t="s">
        <v>56</v>
      </c>
      <c r="N11" s="211" t="s">
        <v>56</v>
      </c>
      <c r="O11" s="211" t="s">
        <v>56</v>
      </c>
      <c r="P11" s="111" t="s">
        <v>56</v>
      </c>
      <c r="Q11" s="111" t="s">
        <v>56</v>
      </c>
      <c r="R11" s="111" t="s">
        <v>56</v>
      </c>
      <c r="S11" s="111" t="s">
        <v>56</v>
      </c>
      <c r="T11" s="111" t="s">
        <v>56</v>
      </c>
      <c r="U11" s="111" t="s">
        <v>56</v>
      </c>
      <c r="V11" s="111" t="s">
        <v>56</v>
      </c>
      <c r="W11" s="111" t="s">
        <v>56</v>
      </c>
      <c r="X11" s="111" t="s">
        <v>56</v>
      </c>
      <c r="Y11" s="111" t="s">
        <v>56</v>
      </c>
      <c r="Z11" s="111" t="s">
        <v>56</v>
      </c>
      <c r="AA11" s="111" t="s">
        <v>56</v>
      </c>
      <c r="AB11" s="131">
        <v>5</v>
      </c>
      <c r="AC11" s="111" t="s">
        <v>56</v>
      </c>
      <c r="AD11" s="131">
        <v>2</v>
      </c>
      <c r="AE11" s="111" t="s">
        <v>56</v>
      </c>
      <c r="AF11" s="111" t="s">
        <v>56</v>
      </c>
      <c r="AG11" s="111" t="s">
        <v>56</v>
      </c>
      <c r="AH11" s="131">
        <f t="shared" si="0"/>
        <v>12</v>
      </c>
      <c r="AI11" s="131">
        <f t="shared" si="1"/>
        <v>0</v>
      </c>
      <c r="AJ11" s="131">
        <f t="shared" si="2"/>
        <v>12</v>
      </c>
    </row>
    <row r="12" spans="2:37">
      <c r="B12" s="111">
        <f t="shared" ref="B12:B52" si="3">B11+1</f>
        <v>3</v>
      </c>
      <c r="C12" s="130" t="s">
        <v>302</v>
      </c>
      <c r="D12" s="131">
        <v>1</v>
      </c>
      <c r="E12" s="211" t="s">
        <v>56</v>
      </c>
      <c r="F12" s="131">
        <v>3</v>
      </c>
      <c r="G12" s="131">
        <v>1</v>
      </c>
      <c r="H12" s="131">
        <v>1</v>
      </c>
      <c r="I12" s="211" t="s">
        <v>56</v>
      </c>
      <c r="J12" s="211" t="s">
        <v>56</v>
      </c>
      <c r="K12" s="211" t="s">
        <v>56</v>
      </c>
      <c r="L12" s="211" t="s">
        <v>56</v>
      </c>
      <c r="M12" s="211" t="s">
        <v>56</v>
      </c>
      <c r="N12" s="211" t="s">
        <v>56</v>
      </c>
      <c r="O12" s="211" t="s">
        <v>56</v>
      </c>
      <c r="P12" s="111" t="s">
        <v>56</v>
      </c>
      <c r="Q12" s="111" t="s">
        <v>56</v>
      </c>
      <c r="R12" s="111" t="s">
        <v>56</v>
      </c>
      <c r="S12" s="111" t="s">
        <v>56</v>
      </c>
      <c r="T12" s="111" t="s">
        <v>56</v>
      </c>
      <c r="U12" s="111" t="s">
        <v>56</v>
      </c>
      <c r="V12" s="111" t="s">
        <v>56</v>
      </c>
      <c r="W12" s="111" t="s">
        <v>56</v>
      </c>
      <c r="X12" s="111" t="s">
        <v>56</v>
      </c>
      <c r="Y12" s="111" t="s">
        <v>56</v>
      </c>
      <c r="Z12" s="111" t="s">
        <v>56</v>
      </c>
      <c r="AA12" s="111" t="s">
        <v>56</v>
      </c>
      <c r="AB12" s="131">
        <v>6</v>
      </c>
      <c r="AC12" s="111" t="s">
        <v>56</v>
      </c>
      <c r="AD12" s="111" t="s">
        <v>56</v>
      </c>
      <c r="AE12" s="111" t="s">
        <v>56</v>
      </c>
      <c r="AF12" s="111" t="s">
        <v>56</v>
      </c>
      <c r="AG12" s="111" t="s">
        <v>56</v>
      </c>
      <c r="AH12" s="131">
        <f t="shared" si="0"/>
        <v>11</v>
      </c>
      <c r="AI12" s="131">
        <f t="shared" si="1"/>
        <v>1</v>
      </c>
      <c r="AJ12" s="131">
        <f t="shared" si="2"/>
        <v>12</v>
      </c>
    </row>
    <row r="13" spans="2:37">
      <c r="B13" s="111">
        <f t="shared" si="3"/>
        <v>4</v>
      </c>
      <c r="C13" s="130" t="s">
        <v>258</v>
      </c>
      <c r="D13" s="131">
        <v>2</v>
      </c>
      <c r="E13" s="211" t="s">
        <v>56</v>
      </c>
      <c r="F13" s="131">
        <v>18</v>
      </c>
      <c r="G13" s="211" t="s">
        <v>56</v>
      </c>
      <c r="H13" s="211" t="s">
        <v>56</v>
      </c>
      <c r="I13" s="211" t="s">
        <v>56</v>
      </c>
      <c r="J13" s="211" t="s">
        <v>56</v>
      </c>
      <c r="K13" s="211" t="s">
        <v>56</v>
      </c>
      <c r="L13" s="211" t="s">
        <v>56</v>
      </c>
      <c r="M13" s="211" t="s">
        <v>56</v>
      </c>
      <c r="N13" s="211" t="s">
        <v>56</v>
      </c>
      <c r="O13" s="211" t="s">
        <v>56</v>
      </c>
      <c r="P13" s="111" t="s">
        <v>56</v>
      </c>
      <c r="Q13" s="111" t="s">
        <v>56</v>
      </c>
      <c r="R13" s="111" t="s">
        <v>56</v>
      </c>
      <c r="S13" s="111" t="s">
        <v>56</v>
      </c>
      <c r="T13" s="111" t="s">
        <v>56</v>
      </c>
      <c r="U13" s="111" t="s">
        <v>56</v>
      </c>
      <c r="V13" s="111" t="s">
        <v>56</v>
      </c>
      <c r="W13" s="111" t="s">
        <v>56</v>
      </c>
      <c r="X13" s="111" t="s">
        <v>56</v>
      </c>
      <c r="Y13" s="111" t="s">
        <v>56</v>
      </c>
      <c r="Z13" s="111" t="s">
        <v>56</v>
      </c>
      <c r="AA13" s="111" t="s">
        <v>56</v>
      </c>
      <c r="AB13" s="131">
        <v>4</v>
      </c>
      <c r="AC13" s="111" t="s">
        <v>56</v>
      </c>
      <c r="AD13" s="131">
        <v>3</v>
      </c>
      <c r="AE13" s="111" t="s">
        <v>56</v>
      </c>
      <c r="AF13" s="111" t="s">
        <v>56</v>
      </c>
      <c r="AG13" s="111" t="s">
        <v>56</v>
      </c>
      <c r="AH13" s="131">
        <f t="shared" si="0"/>
        <v>27</v>
      </c>
      <c r="AI13" s="131">
        <f t="shared" si="1"/>
        <v>0</v>
      </c>
      <c r="AJ13" s="131">
        <f t="shared" si="2"/>
        <v>27</v>
      </c>
    </row>
    <row r="14" spans="2:37">
      <c r="B14" s="111">
        <f t="shared" si="3"/>
        <v>5</v>
      </c>
      <c r="C14" s="130" t="s">
        <v>294</v>
      </c>
      <c r="D14" s="211" t="s">
        <v>56</v>
      </c>
      <c r="E14" s="211" t="s">
        <v>56</v>
      </c>
      <c r="F14" s="131">
        <v>7</v>
      </c>
      <c r="G14" s="211" t="s">
        <v>56</v>
      </c>
      <c r="H14" s="211" t="s">
        <v>56</v>
      </c>
      <c r="I14" s="211" t="s">
        <v>56</v>
      </c>
      <c r="J14" s="111">
        <v>2</v>
      </c>
      <c r="K14" s="111" t="s">
        <v>56</v>
      </c>
      <c r="L14" s="211" t="s">
        <v>56</v>
      </c>
      <c r="M14" s="211" t="s">
        <v>56</v>
      </c>
      <c r="N14" s="211" t="s">
        <v>56</v>
      </c>
      <c r="O14" s="211" t="s">
        <v>56</v>
      </c>
      <c r="P14" s="111" t="s">
        <v>56</v>
      </c>
      <c r="Q14" s="111" t="s">
        <v>56</v>
      </c>
      <c r="R14" s="111" t="s">
        <v>56</v>
      </c>
      <c r="S14" s="111" t="s">
        <v>56</v>
      </c>
      <c r="T14" s="111" t="s">
        <v>56</v>
      </c>
      <c r="U14" s="111" t="s">
        <v>56</v>
      </c>
      <c r="V14" s="111" t="s">
        <v>56</v>
      </c>
      <c r="W14" s="111" t="s">
        <v>56</v>
      </c>
      <c r="X14" s="111" t="s">
        <v>56</v>
      </c>
      <c r="Y14" s="111" t="s">
        <v>56</v>
      </c>
      <c r="Z14" s="111" t="s">
        <v>56</v>
      </c>
      <c r="AA14" s="111" t="s">
        <v>56</v>
      </c>
      <c r="AB14" s="111" t="s">
        <v>56</v>
      </c>
      <c r="AC14" s="111" t="s">
        <v>56</v>
      </c>
      <c r="AD14" s="111" t="s">
        <v>56</v>
      </c>
      <c r="AE14" s="111" t="s">
        <v>56</v>
      </c>
      <c r="AF14" s="111" t="s">
        <v>56</v>
      </c>
      <c r="AG14" s="111" t="s">
        <v>56</v>
      </c>
      <c r="AH14" s="131">
        <f t="shared" si="0"/>
        <v>9</v>
      </c>
      <c r="AI14" s="131">
        <f t="shared" si="1"/>
        <v>0</v>
      </c>
      <c r="AJ14" s="131">
        <f t="shared" si="2"/>
        <v>9</v>
      </c>
    </row>
    <row r="15" spans="2:37">
      <c r="B15" s="111">
        <f t="shared" si="3"/>
        <v>6</v>
      </c>
      <c r="C15" s="130" t="s">
        <v>346</v>
      </c>
      <c r="D15" s="131" t="s">
        <v>56</v>
      </c>
      <c r="E15" s="131" t="s">
        <v>56</v>
      </c>
      <c r="F15" s="131" t="s">
        <v>56</v>
      </c>
      <c r="G15" s="131" t="s">
        <v>56</v>
      </c>
      <c r="H15" s="211" t="s">
        <v>56</v>
      </c>
      <c r="I15" s="211" t="s">
        <v>56</v>
      </c>
      <c r="J15" s="131">
        <v>1</v>
      </c>
      <c r="K15" s="131" t="s">
        <v>56</v>
      </c>
      <c r="L15" s="131">
        <v>1</v>
      </c>
      <c r="M15" s="211" t="s">
        <v>56</v>
      </c>
      <c r="N15" s="131">
        <v>1</v>
      </c>
      <c r="O15" s="211" t="s">
        <v>56</v>
      </c>
      <c r="P15" s="111" t="s">
        <v>56</v>
      </c>
      <c r="Q15" s="111" t="s">
        <v>56</v>
      </c>
      <c r="R15" s="111" t="s">
        <v>56</v>
      </c>
      <c r="S15" s="111" t="s">
        <v>56</v>
      </c>
      <c r="T15" s="111" t="s">
        <v>56</v>
      </c>
      <c r="U15" s="111" t="s">
        <v>56</v>
      </c>
      <c r="V15" s="131">
        <v>1</v>
      </c>
      <c r="W15" s="111" t="s">
        <v>56</v>
      </c>
      <c r="X15" s="111" t="s">
        <v>56</v>
      </c>
      <c r="Y15" s="111" t="s">
        <v>56</v>
      </c>
      <c r="Z15" s="111" t="s">
        <v>56</v>
      </c>
      <c r="AA15" s="111" t="s">
        <v>56</v>
      </c>
      <c r="AB15" s="111" t="s">
        <v>56</v>
      </c>
      <c r="AC15" s="111" t="s">
        <v>56</v>
      </c>
      <c r="AD15" s="111" t="s">
        <v>56</v>
      </c>
      <c r="AE15" s="111" t="s">
        <v>56</v>
      </c>
      <c r="AF15" s="111" t="s">
        <v>56</v>
      </c>
      <c r="AG15" s="111" t="s">
        <v>56</v>
      </c>
      <c r="AH15" s="131">
        <f t="shared" si="0"/>
        <v>4</v>
      </c>
      <c r="AI15" s="131">
        <f t="shared" si="1"/>
        <v>0</v>
      </c>
      <c r="AJ15" s="131">
        <f t="shared" si="2"/>
        <v>4</v>
      </c>
    </row>
    <row r="16" spans="2:37">
      <c r="B16" s="111">
        <f t="shared" si="3"/>
        <v>7</v>
      </c>
      <c r="C16" s="130" t="s">
        <v>327</v>
      </c>
      <c r="D16" s="131" t="s">
        <v>56</v>
      </c>
      <c r="E16" s="131" t="s">
        <v>56</v>
      </c>
      <c r="F16" s="131" t="s">
        <v>56</v>
      </c>
      <c r="G16" s="131" t="s">
        <v>56</v>
      </c>
      <c r="H16" s="131">
        <v>1</v>
      </c>
      <c r="I16" s="131" t="s">
        <v>56</v>
      </c>
      <c r="J16" s="111" t="s">
        <v>56</v>
      </c>
      <c r="K16" s="111" t="s">
        <v>56</v>
      </c>
      <c r="L16" s="211" t="s">
        <v>56</v>
      </c>
      <c r="M16" s="131" t="s">
        <v>56</v>
      </c>
      <c r="N16" s="211" t="s">
        <v>56</v>
      </c>
      <c r="O16" s="211" t="s">
        <v>56</v>
      </c>
      <c r="P16" s="111" t="s">
        <v>56</v>
      </c>
      <c r="Q16" s="111" t="s">
        <v>56</v>
      </c>
      <c r="R16" s="111" t="s">
        <v>56</v>
      </c>
      <c r="S16" s="111" t="s">
        <v>56</v>
      </c>
      <c r="T16" s="111" t="s">
        <v>56</v>
      </c>
      <c r="U16" s="111" t="s">
        <v>56</v>
      </c>
      <c r="V16" s="111" t="s">
        <v>56</v>
      </c>
      <c r="W16" s="111" t="s">
        <v>56</v>
      </c>
      <c r="X16" s="111" t="s">
        <v>56</v>
      </c>
      <c r="Y16" s="111" t="s">
        <v>56</v>
      </c>
      <c r="Z16" s="111" t="s">
        <v>56</v>
      </c>
      <c r="AA16" s="111" t="s">
        <v>56</v>
      </c>
      <c r="AB16" s="111" t="s">
        <v>56</v>
      </c>
      <c r="AC16" s="111" t="s">
        <v>56</v>
      </c>
      <c r="AD16" s="111" t="s">
        <v>56</v>
      </c>
      <c r="AE16" s="111" t="s">
        <v>56</v>
      </c>
      <c r="AF16" s="111" t="s">
        <v>56</v>
      </c>
      <c r="AG16" s="111" t="s">
        <v>56</v>
      </c>
      <c r="AH16" s="131">
        <f t="shared" si="0"/>
        <v>1</v>
      </c>
      <c r="AI16" s="131">
        <f t="shared" si="1"/>
        <v>0</v>
      </c>
      <c r="AJ16" s="131">
        <f t="shared" si="2"/>
        <v>1</v>
      </c>
    </row>
    <row r="17" spans="2:36">
      <c r="B17" s="111">
        <f t="shared" si="3"/>
        <v>8</v>
      </c>
      <c r="C17" s="130" t="s">
        <v>353</v>
      </c>
      <c r="D17" s="131" t="s">
        <v>56</v>
      </c>
      <c r="E17" s="131" t="s">
        <v>56</v>
      </c>
      <c r="F17" s="131" t="s">
        <v>56</v>
      </c>
      <c r="G17" s="131" t="s">
        <v>56</v>
      </c>
      <c r="H17" s="131" t="s">
        <v>56</v>
      </c>
      <c r="I17" s="131" t="s">
        <v>56</v>
      </c>
      <c r="J17" s="131" t="s">
        <v>56</v>
      </c>
      <c r="K17" s="131" t="s">
        <v>56</v>
      </c>
      <c r="L17" s="131" t="s">
        <v>56</v>
      </c>
      <c r="M17" s="131" t="s">
        <v>56</v>
      </c>
      <c r="N17" s="131">
        <v>1</v>
      </c>
      <c r="O17" s="111" t="s">
        <v>56</v>
      </c>
      <c r="P17" s="111">
        <v>10</v>
      </c>
      <c r="Q17" s="111" t="s">
        <v>56</v>
      </c>
      <c r="R17" s="111" t="s">
        <v>56</v>
      </c>
      <c r="S17" s="111" t="s">
        <v>56</v>
      </c>
      <c r="T17" s="111" t="s">
        <v>56</v>
      </c>
      <c r="U17" s="111" t="s">
        <v>56</v>
      </c>
      <c r="V17" s="131">
        <v>1</v>
      </c>
      <c r="W17" s="111" t="s">
        <v>56</v>
      </c>
      <c r="X17" s="131">
        <v>1</v>
      </c>
      <c r="Y17" s="111" t="s">
        <v>56</v>
      </c>
      <c r="Z17" s="111" t="s">
        <v>56</v>
      </c>
      <c r="AA17" s="111" t="s">
        <v>56</v>
      </c>
      <c r="AB17" s="111" t="s">
        <v>56</v>
      </c>
      <c r="AC17" s="111" t="s">
        <v>56</v>
      </c>
      <c r="AD17" s="131">
        <v>1</v>
      </c>
      <c r="AE17" s="111" t="s">
        <v>56</v>
      </c>
      <c r="AF17" s="111">
        <v>1</v>
      </c>
      <c r="AG17" s="111" t="s">
        <v>56</v>
      </c>
      <c r="AH17" s="131">
        <f t="shared" si="0"/>
        <v>15</v>
      </c>
      <c r="AI17" s="131">
        <f t="shared" si="1"/>
        <v>0</v>
      </c>
      <c r="AJ17" s="131">
        <f t="shared" si="2"/>
        <v>15</v>
      </c>
    </row>
    <row r="18" spans="2:36">
      <c r="B18" s="111">
        <f t="shared" si="3"/>
        <v>9</v>
      </c>
      <c r="C18" s="130" t="s">
        <v>253</v>
      </c>
      <c r="D18" s="131">
        <v>35</v>
      </c>
      <c r="E18" s="211" t="s">
        <v>56</v>
      </c>
      <c r="F18" s="131">
        <v>6</v>
      </c>
      <c r="G18" s="211" t="s">
        <v>56</v>
      </c>
      <c r="H18" s="211" t="s">
        <v>56</v>
      </c>
      <c r="I18" s="211" t="s">
        <v>56</v>
      </c>
      <c r="J18" s="131">
        <v>3</v>
      </c>
      <c r="K18" s="211" t="s">
        <v>56</v>
      </c>
      <c r="L18" s="131">
        <v>4</v>
      </c>
      <c r="M18" s="211" t="s">
        <v>56</v>
      </c>
      <c r="N18" s="211" t="s">
        <v>56</v>
      </c>
      <c r="O18" s="211" t="s">
        <v>56</v>
      </c>
      <c r="P18" s="111" t="s">
        <v>56</v>
      </c>
      <c r="Q18" s="111" t="s">
        <v>56</v>
      </c>
      <c r="R18" s="111" t="s">
        <v>56</v>
      </c>
      <c r="S18" s="111" t="s">
        <v>56</v>
      </c>
      <c r="T18" s="111" t="s">
        <v>56</v>
      </c>
      <c r="U18" s="111" t="s">
        <v>56</v>
      </c>
      <c r="V18" s="111" t="s">
        <v>56</v>
      </c>
      <c r="W18" s="111" t="s">
        <v>56</v>
      </c>
      <c r="X18" s="131">
        <v>2</v>
      </c>
      <c r="Y18" s="111" t="s">
        <v>56</v>
      </c>
      <c r="Z18" s="111" t="s">
        <v>56</v>
      </c>
      <c r="AA18" s="111" t="s">
        <v>56</v>
      </c>
      <c r="AB18" s="131">
        <v>29</v>
      </c>
      <c r="AC18" s="111" t="s">
        <v>56</v>
      </c>
      <c r="AD18" s="111" t="s">
        <v>56</v>
      </c>
      <c r="AE18" s="111" t="s">
        <v>56</v>
      </c>
      <c r="AF18" s="111" t="s">
        <v>56</v>
      </c>
      <c r="AG18" s="111" t="s">
        <v>56</v>
      </c>
      <c r="AH18" s="131">
        <f t="shared" si="0"/>
        <v>79</v>
      </c>
      <c r="AI18" s="131">
        <f t="shared" si="1"/>
        <v>0</v>
      </c>
      <c r="AJ18" s="131">
        <f t="shared" si="2"/>
        <v>79</v>
      </c>
    </row>
    <row r="19" spans="2:36">
      <c r="B19" s="111">
        <f t="shared" si="3"/>
        <v>10</v>
      </c>
      <c r="C19" s="130" t="s">
        <v>256</v>
      </c>
      <c r="D19" s="131">
        <v>1</v>
      </c>
      <c r="E19" s="211" t="s">
        <v>56</v>
      </c>
      <c r="F19" s="131">
        <v>2</v>
      </c>
      <c r="G19" s="211" t="s">
        <v>56</v>
      </c>
      <c r="H19" s="131">
        <v>1</v>
      </c>
      <c r="I19" s="131"/>
      <c r="J19" s="131">
        <v>4</v>
      </c>
      <c r="K19" s="131">
        <v>1</v>
      </c>
      <c r="L19" s="131">
        <v>3</v>
      </c>
      <c r="M19" s="131" t="s">
        <v>56</v>
      </c>
      <c r="N19" s="131">
        <v>3</v>
      </c>
      <c r="O19" s="211" t="s">
        <v>56</v>
      </c>
      <c r="P19" s="131">
        <v>5</v>
      </c>
      <c r="Q19" s="111" t="s">
        <v>56</v>
      </c>
      <c r="R19" s="111" t="s">
        <v>56</v>
      </c>
      <c r="S19" s="111" t="s">
        <v>56</v>
      </c>
      <c r="T19" s="111" t="s">
        <v>56</v>
      </c>
      <c r="U19" s="111" t="s">
        <v>56</v>
      </c>
      <c r="V19" s="131">
        <v>1</v>
      </c>
      <c r="W19" s="111" t="s">
        <v>56</v>
      </c>
      <c r="X19" s="111" t="s">
        <v>56</v>
      </c>
      <c r="Y19" s="111" t="s">
        <v>56</v>
      </c>
      <c r="Z19" s="111" t="s">
        <v>56</v>
      </c>
      <c r="AA19" s="111" t="s">
        <v>56</v>
      </c>
      <c r="AB19" s="131">
        <v>1</v>
      </c>
      <c r="AC19" s="111" t="s">
        <v>56</v>
      </c>
      <c r="AD19" s="131">
        <v>1</v>
      </c>
      <c r="AE19" s="111" t="s">
        <v>56</v>
      </c>
      <c r="AF19" s="111" t="s">
        <v>56</v>
      </c>
      <c r="AG19" s="111" t="s">
        <v>56</v>
      </c>
      <c r="AH19" s="131">
        <f t="shared" si="0"/>
        <v>22</v>
      </c>
      <c r="AI19" s="131">
        <f t="shared" si="1"/>
        <v>1</v>
      </c>
      <c r="AJ19" s="131">
        <f t="shared" si="2"/>
        <v>23</v>
      </c>
    </row>
    <row r="20" spans="2:36">
      <c r="B20" s="111">
        <f t="shared" si="3"/>
        <v>11</v>
      </c>
      <c r="C20" s="130" t="s">
        <v>308</v>
      </c>
      <c r="D20" s="211" t="s">
        <v>56</v>
      </c>
      <c r="E20" s="211" t="s">
        <v>56</v>
      </c>
      <c r="F20" s="131">
        <v>20</v>
      </c>
      <c r="G20" s="211" t="s">
        <v>56</v>
      </c>
      <c r="H20" s="211" t="s">
        <v>56</v>
      </c>
      <c r="I20" s="211" t="s">
        <v>56</v>
      </c>
      <c r="J20" s="211" t="s">
        <v>56</v>
      </c>
      <c r="K20" s="211" t="s">
        <v>56</v>
      </c>
      <c r="L20" s="211" t="s">
        <v>56</v>
      </c>
      <c r="M20" s="211" t="s">
        <v>56</v>
      </c>
      <c r="N20" s="211" t="s">
        <v>56</v>
      </c>
      <c r="O20" s="211" t="s">
        <v>56</v>
      </c>
      <c r="P20" s="111" t="s">
        <v>56</v>
      </c>
      <c r="Q20" s="111" t="s">
        <v>56</v>
      </c>
      <c r="R20" s="111" t="s">
        <v>56</v>
      </c>
      <c r="S20" s="111" t="s">
        <v>56</v>
      </c>
      <c r="T20" s="111" t="s">
        <v>56</v>
      </c>
      <c r="U20" s="111" t="s">
        <v>56</v>
      </c>
      <c r="V20" s="111" t="s">
        <v>56</v>
      </c>
      <c r="W20" s="111" t="s">
        <v>56</v>
      </c>
      <c r="X20" s="111" t="s">
        <v>56</v>
      </c>
      <c r="Y20" s="111" t="s">
        <v>56</v>
      </c>
      <c r="Z20" s="111" t="s">
        <v>56</v>
      </c>
      <c r="AA20" s="111" t="s">
        <v>56</v>
      </c>
      <c r="AB20" s="111" t="s">
        <v>56</v>
      </c>
      <c r="AC20" s="111" t="s">
        <v>56</v>
      </c>
      <c r="AD20" s="111" t="s">
        <v>56</v>
      </c>
      <c r="AE20" s="111" t="s">
        <v>56</v>
      </c>
      <c r="AF20" s="111" t="s">
        <v>56</v>
      </c>
      <c r="AG20" s="111" t="s">
        <v>56</v>
      </c>
      <c r="AH20" s="131">
        <f t="shared" si="0"/>
        <v>20</v>
      </c>
      <c r="AI20" s="131">
        <f t="shared" si="1"/>
        <v>0</v>
      </c>
      <c r="AJ20" s="131">
        <f t="shared" si="2"/>
        <v>20</v>
      </c>
    </row>
    <row r="21" spans="2:36">
      <c r="B21" s="111">
        <f t="shared" si="3"/>
        <v>12</v>
      </c>
      <c r="C21" s="132" t="s">
        <v>311</v>
      </c>
      <c r="D21" s="211" t="s">
        <v>56</v>
      </c>
      <c r="E21" s="211" t="s">
        <v>56</v>
      </c>
      <c r="F21" s="131">
        <v>18</v>
      </c>
      <c r="G21" s="211" t="s">
        <v>56</v>
      </c>
      <c r="H21" s="211" t="s">
        <v>56</v>
      </c>
      <c r="I21" s="211" t="s">
        <v>56</v>
      </c>
      <c r="J21" s="211" t="s">
        <v>56</v>
      </c>
      <c r="K21" s="211" t="s">
        <v>56</v>
      </c>
      <c r="L21" s="211" t="s">
        <v>56</v>
      </c>
      <c r="M21" s="211" t="s">
        <v>56</v>
      </c>
      <c r="N21" s="211" t="s">
        <v>56</v>
      </c>
      <c r="O21" s="211" t="s">
        <v>56</v>
      </c>
      <c r="P21" s="131">
        <v>1</v>
      </c>
      <c r="Q21" s="111" t="s">
        <v>56</v>
      </c>
      <c r="R21" s="111" t="s">
        <v>56</v>
      </c>
      <c r="S21" s="111" t="s">
        <v>56</v>
      </c>
      <c r="T21" s="131">
        <v>1</v>
      </c>
      <c r="U21" s="111" t="s">
        <v>56</v>
      </c>
      <c r="V21" s="131">
        <v>1</v>
      </c>
      <c r="W21" s="111" t="s">
        <v>56</v>
      </c>
      <c r="X21" s="111" t="s">
        <v>56</v>
      </c>
      <c r="Y21" s="111" t="s">
        <v>56</v>
      </c>
      <c r="Z21" s="111" t="s">
        <v>56</v>
      </c>
      <c r="AA21" s="111" t="s">
        <v>56</v>
      </c>
      <c r="AB21" s="131">
        <v>1</v>
      </c>
      <c r="AC21" s="111" t="s">
        <v>56</v>
      </c>
      <c r="AD21" s="111" t="s">
        <v>56</v>
      </c>
      <c r="AE21" s="111" t="s">
        <v>56</v>
      </c>
      <c r="AF21" s="111" t="s">
        <v>56</v>
      </c>
      <c r="AG21" s="111" t="s">
        <v>56</v>
      </c>
      <c r="AH21" s="131">
        <f t="shared" si="0"/>
        <v>22</v>
      </c>
      <c r="AI21" s="131">
        <f t="shared" si="1"/>
        <v>0</v>
      </c>
      <c r="AJ21" s="131">
        <f t="shared" si="2"/>
        <v>22</v>
      </c>
    </row>
    <row r="22" spans="2:36">
      <c r="B22" s="111">
        <f t="shared" si="3"/>
        <v>13</v>
      </c>
      <c r="C22" s="130" t="s">
        <v>318</v>
      </c>
      <c r="D22" s="211" t="s">
        <v>56</v>
      </c>
      <c r="E22" s="211" t="s">
        <v>56</v>
      </c>
      <c r="F22" s="131">
        <v>18</v>
      </c>
      <c r="G22" s="211" t="s">
        <v>56</v>
      </c>
      <c r="H22" s="211" t="s">
        <v>56</v>
      </c>
      <c r="I22" s="211" t="s">
        <v>56</v>
      </c>
      <c r="J22" s="211" t="s">
        <v>56</v>
      </c>
      <c r="K22" s="211" t="s">
        <v>56</v>
      </c>
      <c r="L22" s="211" t="s">
        <v>56</v>
      </c>
      <c r="M22" s="211" t="s">
        <v>56</v>
      </c>
      <c r="N22" s="211" t="s">
        <v>56</v>
      </c>
      <c r="O22" s="211" t="s">
        <v>56</v>
      </c>
      <c r="P22" s="111" t="s">
        <v>56</v>
      </c>
      <c r="Q22" s="111" t="s">
        <v>56</v>
      </c>
      <c r="R22" s="111" t="s">
        <v>56</v>
      </c>
      <c r="S22" s="111" t="s">
        <v>56</v>
      </c>
      <c r="T22" s="111" t="s">
        <v>56</v>
      </c>
      <c r="U22" s="111" t="s">
        <v>56</v>
      </c>
      <c r="V22" s="111" t="s">
        <v>56</v>
      </c>
      <c r="W22" s="111" t="s">
        <v>56</v>
      </c>
      <c r="X22" s="111" t="s">
        <v>56</v>
      </c>
      <c r="Y22" s="111" t="s">
        <v>56</v>
      </c>
      <c r="Z22" s="111" t="s">
        <v>56</v>
      </c>
      <c r="AA22" s="111" t="s">
        <v>56</v>
      </c>
      <c r="AB22" s="111" t="s">
        <v>56</v>
      </c>
      <c r="AC22" s="111" t="s">
        <v>56</v>
      </c>
      <c r="AD22" s="111" t="s">
        <v>56</v>
      </c>
      <c r="AE22" s="111" t="s">
        <v>56</v>
      </c>
      <c r="AF22" s="111" t="s">
        <v>56</v>
      </c>
      <c r="AG22" s="111" t="s">
        <v>56</v>
      </c>
      <c r="AH22" s="131">
        <f t="shared" si="0"/>
        <v>18</v>
      </c>
      <c r="AI22" s="131">
        <f t="shared" si="1"/>
        <v>0</v>
      </c>
      <c r="AJ22" s="131">
        <f t="shared" si="2"/>
        <v>18</v>
      </c>
    </row>
    <row r="23" spans="2:36">
      <c r="B23" s="111">
        <f t="shared" si="3"/>
        <v>14</v>
      </c>
      <c r="C23" s="130" t="s">
        <v>462</v>
      </c>
      <c r="D23" s="111" t="s">
        <v>56</v>
      </c>
      <c r="E23" s="111" t="s">
        <v>56</v>
      </c>
      <c r="F23" s="111" t="s">
        <v>56</v>
      </c>
      <c r="G23" s="111" t="s">
        <v>56</v>
      </c>
      <c r="H23" s="111" t="s">
        <v>56</v>
      </c>
      <c r="I23" s="111" t="s">
        <v>56</v>
      </c>
      <c r="J23" s="111" t="s">
        <v>56</v>
      </c>
      <c r="K23" s="111" t="s">
        <v>56</v>
      </c>
      <c r="L23" s="111" t="s">
        <v>56</v>
      </c>
      <c r="M23" s="111" t="s">
        <v>56</v>
      </c>
      <c r="N23" s="111" t="s">
        <v>56</v>
      </c>
      <c r="O23" s="111" t="s">
        <v>56</v>
      </c>
      <c r="P23" s="111" t="s">
        <v>56</v>
      </c>
      <c r="Q23" s="111" t="s">
        <v>56</v>
      </c>
      <c r="R23" s="111" t="s">
        <v>56</v>
      </c>
      <c r="S23" s="111" t="s">
        <v>56</v>
      </c>
      <c r="T23" s="111" t="s">
        <v>56</v>
      </c>
      <c r="U23" s="111" t="s">
        <v>56</v>
      </c>
      <c r="V23" s="111" t="s">
        <v>56</v>
      </c>
      <c r="W23" s="111" t="s">
        <v>56</v>
      </c>
      <c r="X23" s="111" t="s">
        <v>56</v>
      </c>
      <c r="Y23" s="111" t="s">
        <v>56</v>
      </c>
      <c r="Z23" s="111" t="s">
        <v>56</v>
      </c>
      <c r="AA23" s="111" t="s">
        <v>56</v>
      </c>
      <c r="AB23" s="111" t="s">
        <v>56</v>
      </c>
      <c r="AC23" s="111" t="s">
        <v>56</v>
      </c>
      <c r="AD23" s="111" t="s">
        <v>56</v>
      </c>
      <c r="AE23" s="111" t="s">
        <v>56</v>
      </c>
      <c r="AF23" s="111">
        <v>2</v>
      </c>
      <c r="AG23" s="111" t="s">
        <v>56</v>
      </c>
      <c r="AH23" s="131">
        <f t="shared" si="0"/>
        <v>2</v>
      </c>
      <c r="AI23" s="131">
        <f t="shared" si="1"/>
        <v>0</v>
      </c>
      <c r="AJ23" s="131">
        <f t="shared" si="2"/>
        <v>2</v>
      </c>
    </row>
    <row r="24" spans="2:36">
      <c r="B24" s="111">
        <f t="shared" si="3"/>
        <v>15</v>
      </c>
      <c r="C24" s="130" t="s">
        <v>325</v>
      </c>
      <c r="D24" s="131" t="s">
        <v>56</v>
      </c>
      <c r="E24" s="131" t="s">
        <v>56</v>
      </c>
      <c r="F24" s="131" t="s">
        <v>56</v>
      </c>
      <c r="G24" s="131" t="s">
        <v>56</v>
      </c>
      <c r="H24" s="131">
        <v>9</v>
      </c>
      <c r="I24" s="131" t="s">
        <v>56</v>
      </c>
      <c r="J24" s="111" t="s">
        <v>56</v>
      </c>
      <c r="K24" s="111" t="s">
        <v>56</v>
      </c>
      <c r="L24" s="211" t="s">
        <v>56</v>
      </c>
      <c r="M24" s="131" t="s">
        <v>56</v>
      </c>
      <c r="N24" s="211" t="s">
        <v>56</v>
      </c>
      <c r="O24" s="211" t="s">
        <v>56</v>
      </c>
      <c r="P24" s="111" t="s">
        <v>56</v>
      </c>
      <c r="Q24" s="111" t="s">
        <v>56</v>
      </c>
      <c r="R24" s="111" t="s">
        <v>56</v>
      </c>
      <c r="S24" s="111" t="s">
        <v>56</v>
      </c>
      <c r="T24" s="111" t="s">
        <v>56</v>
      </c>
      <c r="U24" s="111" t="s">
        <v>56</v>
      </c>
      <c r="V24" s="111" t="s">
        <v>56</v>
      </c>
      <c r="W24" s="111" t="s">
        <v>56</v>
      </c>
      <c r="X24" s="111" t="s">
        <v>56</v>
      </c>
      <c r="Y24" s="111" t="s">
        <v>56</v>
      </c>
      <c r="Z24" s="111" t="s">
        <v>56</v>
      </c>
      <c r="AA24" s="111" t="s">
        <v>56</v>
      </c>
      <c r="AB24" s="111" t="s">
        <v>56</v>
      </c>
      <c r="AC24" s="111" t="s">
        <v>56</v>
      </c>
      <c r="AD24" s="111" t="s">
        <v>56</v>
      </c>
      <c r="AE24" s="111" t="s">
        <v>56</v>
      </c>
      <c r="AF24" s="111" t="s">
        <v>56</v>
      </c>
      <c r="AG24" s="111" t="s">
        <v>56</v>
      </c>
      <c r="AH24" s="131">
        <f t="shared" si="0"/>
        <v>9</v>
      </c>
      <c r="AI24" s="131">
        <f t="shared" si="1"/>
        <v>0</v>
      </c>
      <c r="AJ24" s="131">
        <f t="shared" si="2"/>
        <v>9</v>
      </c>
    </row>
    <row r="25" spans="2:36">
      <c r="B25" s="111">
        <f t="shared" si="3"/>
        <v>16</v>
      </c>
      <c r="C25" s="130" t="s">
        <v>358</v>
      </c>
      <c r="D25" s="131" t="s">
        <v>56</v>
      </c>
      <c r="E25" s="131" t="s">
        <v>56</v>
      </c>
      <c r="F25" s="131" t="s">
        <v>56</v>
      </c>
      <c r="G25" s="131" t="s">
        <v>56</v>
      </c>
      <c r="H25" s="131" t="s">
        <v>56</v>
      </c>
      <c r="I25" s="131" t="s">
        <v>56</v>
      </c>
      <c r="J25" s="131" t="s">
        <v>56</v>
      </c>
      <c r="K25" s="131" t="s">
        <v>56</v>
      </c>
      <c r="L25" s="131" t="s">
        <v>56</v>
      </c>
      <c r="M25" s="131" t="s">
        <v>56</v>
      </c>
      <c r="N25" s="131">
        <v>2</v>
      </c>
      <c r="O25" s="111" t="s">
        <v>56</v>
      </c>
      <c r="P25" s="111" t="s">
        <v>56</v>
      </c>
      <c r="Q25" s="111" t="s">
        <v>56</v>
      </c>
      <c r="R25" s="111" t="s">
        <v>56</v>
      </c>
      <c r="S25" s="111" t="s">
        <v>56</v>
      </c>
      <c r="T25" s="111" t="s">
        <v>56</v>
      </c>
      <c r="U25" s="111" t="s">
        <v>56</v>
      </c>
      <c r="V25" s="111" t="s">
        <v>56</v>
      </c>
      <c r="W25" s="111" t="s">
        <v>56</v>
      </c>
      <c r="X25" s="111" t="s">
        <v>56</v>
      </c>
      <c r="Y25" s="111" t="s">
        <v>56</v>
      </c>
      <c r="Z25" s="111" t="s">
        <v>56</v>
      </c>
      <c r="AA25" s="111" t="s">
        <v>56</v>
      </c>
      <c r="AB25" s="111" t="s">
        <v>56</v>
      </c>
      <c r="AC25" s="111" t="s">
        <v>56</v>
      </c>
      <c r="AD25" s="111" t="s">
        <v>56</v>
      </c>
      <c r="AE25" s="111" t="s">
        <v>56</v>
      </c>
      <c r="AF25" s="111" t="s">
        <v>56</v>
      </c>
      <c r="AG25" s="111" t="s">
        <v>56</v>
      </c>
      <c r="AH25" s="131">
        <f t="shared" si="0"/>
        <v>2</v>
      </c>
      <c r="AI25" s="131">
        <f t="shared" si="1"/>
        <v>0</v>
      </c>
      <c r="AJ25" s="131">
        <f t="shared" si="2"/>
        <v>2</v>
      </c>
    </row>
    <row r="26" spans="2:36">
      <c r="B26" s="111">
        <f t="shared" si="3"/>
        <v>17</v>
      </c>
      <c r="C26" s="130" t="s">
        <v>360</v>
      </c>
      <c r="D26" s="131" t="s">
        <v>56</v>
      </c>
      <c r="E26" s="131" t="s">
        <v>56</v>
      </c>
      <c r="F26" s="131" t="s">
        <v>56</v>
      </c>
      <c r="G26" s="131" t="s">
        <v>56</v>
      </c>
      <c r="H26" s="131" t="s">
        <v>56</v>
      </c>
      <c r="I26" s="131" t="s">
        <v>56</v>
      </c>
      <c r="J26" s="131" t="s">
        <v>56</v>
      </c>
      <c r="K26" s="131" t="s">
        <v>56</v>
      </c>
      <c r="L26" s="131" t="s">
        <v>56</v>
      </c>
      <c r="M26" s="131" t="s">
        <v>56</v>
      </c>
      <c r="N26" s="131">
        <v>1</v>
      </c>
      <c r="O26" s="111" t="s">
        <v>56</v>
      </c>
      <c r="P26" s="111">
        <v>2</v>
      </c>
      <c r="Q26" s="111" t="s">
        <v>56</v>
      </c>
      <c r="R26" s="111" t="s">
        <v>56</v>
      </c>
      <c r="S26" s="111" t="s">
        <v>56</v>
      </c>
      <c r="T26" s="111" t="s">
        <v>56</v>
      </c>
      <c r="U26" s="111" t="s">
        <v>56</v>
      </c>
      <c r="V26" s="111" t="s">
        <v>56</v>
      </c>
      <c r="W26" s="111" t="s">
        <v>56</v>
      </c>
      <c r="X26" s="111" t="s">
        <v>56</v>
      </c>
      <c r="Y26" s="111" t="s">
        <v>56</v>
      </c>
      <c r="Z26" s="111" t="s">
        <v>56</v>
      </c>
      <c r="AA26" s="111" t="s">
        <v>56</v>
      </c>
      <c r="AB26" s="111" t="s">
        <v>56</v>
      </c>
      <c r="AC26" s="111" t="s">
        <v>56</v>
      </c>
      <c r="AD26" s="111" t="s">
        <v>56</v>
      </c>
      <c r="AE26" s="111" t="s">
        <v>56</v>
      </c>
      <c r="AF26" s="111" t="s">
        <v>56</v>
      </c>
      <c r="AG26" s="111" t="s">
        <v>56</v>
      </c>
      <c r="AH26" s="131">
        <f t="shared" si="0"/>
        <v>3</v>
      </c>
      <c r="AI26" s="131">
        <f t="shared" si="1"/>
        <v>0</v>
      </c>
      <c r="AJ26" s="131">
        <f t="shared" si="2"/>
        <v>3</v>
      </c>
    </row>
    <row r="27" spans="2:36">
      <c r="B27" s="111">
        <f t="shared" si="3"/>
        <v>18</v>
      </c>
      <c r="C27" s="130" t="s">
        <v>280</v>
      </c>
      <c r="D27" s="131" t="s">
        <v>56</v>
      </c>
      <c r="E27" s="131" t="s">
        <v>56</v>
      </c>
      <c r="F27" s="131" t="s">
        <v>56</v>
      </c>
      <c r="G27" s="131" t="s">
        <v>56</v>
      </c>
      <c r="H27" s="211" t="s">
        <v>56</v>
      </c>
      <c r="I27" s="211" t="s">
        <v>56</v>
      </c>
      <c r="J27" s="131">
        <v>4</v>
      </c>
      <c r="K27" s="131" t="s">
        <v>56</v>
      </c>
      <c r="L27" s="211" t="s">
        <v>56</v>
      </c>
      <c r="M27" s="211" t="s">
        <v>56</v>
      </c>
      <c r="N27" s="211" t="s">
        <v>56</v>
      </c>
      <c r="O27" s="211" t="s">
        <v>56</v>
      </c>
      <c r="P27" s="131">
        <v>4</v>
      </c>
      <c r="Q27" s="111" t="s">
        <v>56</v>
      </c>
      <c r="R27" s="111" t="s">
        <v>56</v>
      </c>
      <c r="S27" s="111" t="s">
        <v>56</v>
      </c>
      <c r="T27" s="131">
        <v>2</v>
      </c>
      <c r="U27" s="111" t="s">
        <v>56</v>
      </c>
      <c r="V27" s="131">
        <v>1</v>
      </c>
      <c r="W27" s="111" t="s">
        <v>56</v>
      </c>
      <c r="X27" s="111" t="s">
        <v>56</v>
      </c>
      <c r="Y27" s="111" t="s">
        <v>56</v>
      </c>
      <c r="Z27" s="131">
        <v>1</v>
      </c>
      <c r="AA27" s="111" t="s">
        <v>56</v>
      </c>
      <c r="AB27" s="111" t="s">
        <v>56</v>
      </c>
      <c r="AC27" s="111" t="s">
        <v>56</v>
      </c>
      <c r="AD27" s="111" t="s">
        <v>56</v>
      </c>
      <c r="AE27" s="111" t="s">
        <v>56</v>
      </c>
      <c r="AF27" s="111">
        <v>1</v>
      </c>
      <c r="AG27" s="111" t="s">
        <v>56</v>
      </c>
      <c r="AH27" s="131">
        <f t="shared" si="0"/>
        <v>13</v>
      </c>
      <c r="AI27" s="131">
        <f t="shared" si="1"/>
        <v>0</v>
      </c>
      <c r="AJ27" s="131">
        <f t="shared" si="2"/>
        <v>13</v>
      </c>
    </row>
    <row r="28" spans="2:36">
      <c r="B28" s="111">
        <f t="shared" si="3"/>
        <v>19</v>
      </c>
      <c r="C28" s="130" t="s">
        <v>574</v>
      </c>
      <c r="D28" s="111" t="s">
        <v>56</v>
      </c>
      <c r="E28" s="111" t="s">
        <v>56</v>
      </c>
      <c r="F28" s="111" t="s">
        <v>56</v>
      </c>
      <c r="G28" s="111" t="s">
        <v>56</v>
      </c>
      <c r="H28" s="111" t="s">
        <v>56</v>
      </c>
      <c r="I28" s="111" t="s">
        <v>56</v>
      </c>
      <c r="J28" s="111" t="s">
        <v>56</v>
      </c>
      <c r="K28" s="111" t="s">
        <v>56</v>
      </c>
      <c r="L28" s="111" t="s">
        <v>56</v>
      </c>
      <c r="M28" s="111" t="s">
        <v>56</v>
      </c>
      <c r="N28" s="111" t="s">
        <v>56</v>
      </c>
      <c r="O28" s="111" t="s">
        <v>56</v>
      </c>
      <c r="P28" s="111">
        <v>1</v>
      </c>
      <c r="Q28" s="111" t="s">
        <v>56</v>
      </c>
      <c r="R28" s="131">
        <v>1</v>
      </c>
      <c r="S28" s="111" t="s">
        <v>56</v>
      </c>
      <c r="T28" s="111">
        <v>1</v>
      </c>
      <c r="U28" s="111" t="s">
        <v>56</v>
      </c>
      <c r="V28" s="111" t="s">
        <v>56</v>
      </c>
      <c r="W28" s="111" t="s">
        <v>56</v>
      </c>
      <c r="X28" s="131">
        <v>1</v>
      </c>
      <c r="Y28" s="111" t="s">
        <v>56</v>
      </c>
      <c r="Z28" s="111" t="s">
        <v>56</v>
      </c>
      <c r="AA28" s="111" t="s">
        <v>56</v>
      </c>
      <c r="AB28" s="111" t="s">
        <v>56</v>
      </c>
      <c r="AC28" s="111" t="s">
        <v>56</v>
      </c>
      <c r="AD28" s="111" t="s">
        <v>56</v>
      </c>
      <c r="AE28" s="111" t="s">
        <v>56</v>
      </c>
      <c r="AF28" s="111" t="s">
        <v>56</v>
      </c>
      <c r="AG28" s="111" t="s">
        <v>56</v>
      </c>
      <c r="AH28" s="131">
        <f t="shared" si="0"/>
        <v>4</v>
      </c>
      <c r="AI28" s="131">
        <f t="shared" si="1"/>
        <v>0</v>
      </c>
      <c r="AJ28" s="131">
        <f t="shared" si="2"/>
        <v>4</v>
      </c>
    </row>
    <row r="29" spans="2:36">
      <c r="B29" s="111">
        <f t="shared" si="3"/>
        <v>20</v>
      </c>
      <c r="C29" s="130" t="s">
        <v>269</v>
      </c>
      <c r="D29" s="131" t="s">
        <v>56</v>
      </c>
      <c r="E29" s="131" t="s">
        <v>56</v>
      </c>
      <c r="F29" s="131" t="s">
        <v>56</v>
      </c>
      <c r="G29" s="131" t="s">
        <v>56</v>
      </c>
      <c r="H29" s="211" t="s">
        <v>56</v>
      </c>
      <c r="I29" s="211" t="s">
        <v>56</v>
      </c>
      <c r="J29" s="131">
        <v>4</v>
      </c>
      <c r="K29" s="131">
        <v>1</v>
      </c>
      <c r="L29" s="211" t="s">
        <v>56</v>
      </c>
      <c r="M29" s="211" t="s">
        <v>56</v>
      </c>
      <c r="N29" s="211" t="s">
        <v>56</v>
      </c>
      <c r="O29" s="211" t="s">
        <v>56</v>
      </c>
      <c r="P29" s="111" t="s">
        <v>56</v>
      </c>
      <c r="Q29" s="111" t="s">
        <v>56</v>
      </c>
      <c r="R29" s="111" t="s">
        <v>56</v>
      </c>
      <c r="S29" s="111" t="s">
        <v>56</v>
      </c>
      <c r="T29" s="111" t="s">
        <v>56</v>
      </c>
      <c r="U29" s="111" t="s">
        <v>56</v>
      </c>
      <c r="V29" s="131">
        <v>1</v>
      </c>
      <c r="W29" s="131">
        <v>3</v>
      </c>
      <c r="X29" s="111" t="s">
        <v>56</v>
      </c>
      <c r="Y29" s="111" t="s">
        <v>56</v>
      </c>
      <c r="Z29" s="111" t="s">
        <v>56</v>
      </c>
      <c r="AA29" s="111" t="s">
        <v>56</v>
      </c>
      <c r="AB29" s="111" t="s">
        <v>56</v>
      </c>
      <c r="AC29" s="111" t="s">
        <v>56</v>
      </c>
      <c r="AD29" s="111" t="s">
        <v>56</v>
      </c>
      <c r="AE29" s="111" t="s">
        <v>56</v>
      </c>
      <c r="AF29" s="111" t="s">
        <v>56</v>
      </c>
      <c r="AG29" s="111" t="s">
        <v>56</v>
      </c>
      <c r="AH29" s="131">
        <f t="shared" si="0"/>
        <v>5</v>
      </c>
      <c r="AI29" s="131">
        <f t="shared" si="1"/>
        <v>4</v>
      </c>
      <c r="AJ29" s="131">
        <f t="shared" si="2"/>
        <v>9</v>
      </c>
    </row>
    <row r="30" spans="2:36">
      <c r="B30" s="111">
        <f t="shared" si="3"/>
        <v>21</v>
      </c>
      <c r="C30" s="130" t="s">
        <v>273</v>
      </c>
      <c r="D30" s="131" t="s">
        <v>56</v>
      </c>
      <c r="E30" s="131" t="s">
        <v>56</v>
      </c>
      <c r="F30" s="131" t="s">
        <v>56</v>
      </c>
      <c r="G30" s="131" t="s">
        <v>56</v>
      </c>
      <c r="H30" s="211" t="s">
        <v>56</v>
      </c>
      <c r="I30" s="211" t="s">
        <v>56</v>
      </c>
      <c r="J30" s="131">
        <v>4</v>
      </c>
      <c r="K30" s="131">
        <v>2</v>
      </c>
      <c r="L30" s="211" t="s">
        <v>56</v>
      </c>
      <c r="M30" s="211" t="s">
        <v>56</v>
      </c>
      <c r="N30" s="211" t="s">
        <v>56</v>
      </c>
      <c r="O30" s="211" t="s">
        <v>56</v>
      </c>
      <c r="P30" s="111" t="s">
        <v>56</v>
      </c>
      <c r="Q30" s="111" t="s">
        <v>56</v>
      </c>
      <c r="R30" s="111" t="s">
        <v>56</v>
      </c>
      <c r="S30" s="111" t="s">
        <v>56</v>
      </c>
      <c r="T30" s="111" t="s">
        <v>56</v>
      </c>
      <c r="U30" s="111" t="s">
        <v>56</v>
      </c>
      <c r="V30" s="131">
        <v>3</v>
      </c>
      <c r="W30" s="111" t="s">
        <v>56</v>
      </c>
      <c r="X30" s="111" t="s">
        <v>56</v>
      </c>
      <c r="Y30" s="111" t="s">
        <v>56</v>
      </c>
      <c r="Z30" s="111" t="s">
        <v>56</v>
      </c>
      <c r="AA30" s="111" t="s">
        <v>56</v>
      </c>
      <c r="AB30" s="111" t="s">
        <v>56</v>
      </c>
      <c r="AC30" s="111" t="s">
        <v>56</v>
      </c>
      <c r="AD30" s="111" t="s">
        <v>56</v>
      </c>
      <c r="AE30" s="111" t="s">
        <v>56</v>
      </c>
      <c r="AF30" s="111" t="s">
        <v>56</v>
      </c>
      <c r="AG30" s="111" t="s">
        <v>56</v>
      </c>
      <c r="AH30" s="131">
        <f t="shared" si="0"/>
        <v>7</v>
      </c>
      <c r="AI30" s="131">
        <f t="shared" si="1"/>
        <v>2</v>
      </c>
      <c r="AJ30" s="131">
        <f t="shared" si="2"/>
        <v>9</v>
      </c>
    </row>
    <row r="31" spans="2:36">
      <c r="B31" s="111">
        <f t="shared" si="3"/>
        <v>22</v>
      </c>
      <c r="C31" s="130" t="s">
        <v>172</v>
      </c>
      <c r="D31" s="131">
        <v>5</v>
      </c>
      <c r="E31" s="211" t="s">
        <v>56</v>
      </c>
      <c r="F31" s="131">
        <v>4</v>
      </c>
      <c r="G31" s="211" t="s">
        <v>56</v>
      </c>
      <c r="H31" s="131">
        <v>2</v>
      </c>
      <c r="I31" s="211" t="s">
        <v>56</v>
      </c>
      <c r="J31" s="131">
        <v>2</v>
      </c>
      <c r="K31" s="211" t="s">
        <v>56</v>
      </c>
      <c r="L31" s="131">
        <v>1</v>
      </c>
      <c r="M31" s="211" t="s">
        <v>56</v>
      </c>
      <c r="N31" s="131">
        <v>1</v>
      </c>
      <c r="O31" s="211" t="s">
        <v>56</v>
      </c>
      <c r="P31" s="131">
        <v>2</v>
      </c>
      <c r="Q31" s="111" t="s">
        <v>56</v>
      </c>
      <c r="R31" s="131">
        <v>1</v>
      </c>
      <c r="S31" s="111" t="s">
        <v>56</v>
      </c>
      <c r="T31" s="131">
        <v>1</v>
      </c>
      <c r="U31" s="111" t="s">
        <v>56</v>
      </c>
      <c r="V31" s="131">
        <v>1</v>
      </c>
      <c r="W31" s="111" t="s">
        <v>56</v>
      </c>
      <c r="X31" s="131">
        <v>2</v>
      </c>
      <c r="Y31" s="111" t="s">
        <v>56</v>
      </c>
      <c r="Z31" s="131">
        <v>1</v>
      </c>
      <c r="AA31" s="111" t="s">
        <v>56</v>
      </c>
      <c r="AB31" s="131">
        <v>4</v>
      </c>
      <c r="AC31" s="111" t="s">
        <v>56</v>
      </c>
      <c r="AD31" s="131">
        <v>2</v>
      </c>
      <c r="AE31" s="111" t="s">
        <v>56</v>
      </c>
      <c r="AF31" s="111" t="s">
        <v>56</v>
      </c>
      <c r="AG31" s="111" t="s">
        <v>56</v>
      </c>
      <c r="AH31" s="131">
        <f t="shared" ref="AH31:AH52" si="4">SUM(D31,F31,H31,J31,L31,N31,P31,R31,T31,V31,X31,Z31,AB31,AD31,AF31)</f>
        <v>29</v>
      </c>
      <c r="AI31" s="131">
        <f t="shared" ref="AI31:AI52" si="5">SUM(E31,G31,I31,K31,M31,O31,Q31,S31,U31,W31,Y31,AA31,AC31,AE31,AG31)</f>
        <v>0</v>
      </c>
      <c r="AJ31" s="131">
        <f t="shared" ref="AJ31:AJ52" si="6">SUM(AH31:AI31)</f>
        <v>29</v>
      </c>
    </row>
    <row r="32" spans="2:36">
      <c r="B32" s="111">
        <f t="shared" si="3"/>
        <v>23</v>
      </c>
      <c r="C32" s="130" t="s">
        <v>250</v>
      </c>
      <c r="D32" s="131">
        <v>1</v>
      </c>
      <c r="E32" s="211" t="s">
        <v>56</v>
      </c>
      <c r="F32" s="211" t="s">
        <v>56</v>
      </c>
      <c r="G32" s="211" t="s">
        <v>56</v>
      </c>
      <c r="H32" s="211" t="s">
        <v>56</v>
      </c>
      <c r="I32" s="211" t="s">
        <v>56</v>
      </c>
      <c r="J32" s="211" t="s">
        <v>56</v>
      </c>
      <c r="K32" s="211" t="s">
        <v>56</v>
      </c>
      <c r="L32" s="211" t="s">
        <v>56</v>
      </c>
      <c r="M32" s="211" t="s">
        <v>56</v>
      </c>
      <c r="N32" s="211" t="s">
        <v>56</v>
      </c>
      <c r="O32" s="211" t="s">
        <v>56</v>
      </c>
      <c r="P32" s="111" t="s">
        <v>56</v>
      </c>
      <c r="Q32" s="111" t="s">
        <v>56</v>
      </c>
      <c r="R32" s="111" t="s">
        <v>56</v>
      </c>
      <c r="S32" s="111" t="s">
        <v>56</v>
      </c>
      <c r="T32" s="111" t="s">
        <v>56</v>
      </c>
      <c r="U32" s="111" t="s">
        <v>56</v>
      </c>
      <c r="V32" s="111" t="s">
        <v>56</v>
      </c>
      <c r="W32" s="111" t="s">
        <v>56</v>
      </c>
      <c r="X32" s="111" t="s">
        <v>56</v>
      </c>
      <c r="Y32" s="111" t="s">
        <v>56</v>
      </c>
      <c r="Z32" s="111" t="s">
        <v>56</v>
      </c>
      <c r="AA32" s="111" t="s">
        <v>56</v>
      </c>
      <c r="AB32" s="111" t="s">
        <v>56</v>
      </c>
      <c r="AC32" s="111" t="s">
        <v>56</v>
      </c>
      <c r="AD32" s="111" t="s">
        <v>56</v>
      </c>
      <c r="AE32" s="111" t="s">
        <v>56</v>
      </c>
      <c r="AF32" s="111" t="s">
        <v>56</v>
      </c>
      <c r="AG32" s="111" t="s">
        <v>56</v>
      </c>
      <c r="AH32" s="131">
        <f t="shared" si="4"/>
        <v>1</v>
      </c>
      <c r="AI32" s="131">
        <f t="shared" si="5"/>
        <v>0</v>
      </c>
      <c r="AJ32" s="131">
        <f t="shared" si="6"/>
        <v>1</v>
      </c>
    </row>
    <row r="33" spans="2:36">
      <c r="B33" s="111">
        <f t="shared" si="3"/>
        <v>24</v>
      </c>
      <c r="C33" s="130" t="s">
        <v>260</v>
      </c>
      <c r="D33" s="131">
        <v>1</v>
      </c>
      <c r="E33" s="211" t="s">
        <v>56</v>
      </c>
      <c r="F33" s="211" t="s">
        <v>56</v>
      </c>
      <c r="G33" s="211" t="s">
        <v>56</v>
      </c>
      <c r="H33" s="211" t="s">
        <v>56</v>
      </c>
      <c r="I33" s="211" t="s">
        <v>56</v>
      </c>
      <c r="J33" s="211" t="s">
        <v>56</v>
      </c>
      <c r="K33" s="211" t="s">
        <v>56</v>
      </c>
      <c r="L33" s="211" t="s">
        <v>56</v>
      </c>
      <c r="M33" s="211" t="s">
        <v>56</v>
      </c>
      <c r="N33" s="211" t="s">
        <v>56</v>
      </c>
      <c r="O33" s="211" t="s">
        <v>56</v>
      </c>
      <c r="P33" s="111" t="s">
        <v>56</v>
      </c>
      <c r="Q33" s="111" t="s">
        <v>56</v>
      </c>
      <c r="R33" s="111" t="s">
        <v>56</v>
      </c>
      <c r="S33" s="111" t="s">
        <v>56</v>
      </c>
      <c r="T33" s="111" t="s">
        <v>56</v>
      </c>
      <c r="U33" s="111" t="s">
        <v>56</v>
      </c>
      <c r="V33" s="111">
        <v>1</v>
      </c>
      <c r="W33" s="111" t="s">
        <v>56</v>
      </c>
      <c r="X33" s="111" t="s">
        <v>56</v>
      </c>
      <c r="Y33" s="111" t="s">
        <v>56</v>
      </c>
      <c r="Z33" s="111" t="s">
        <v>56</v>
      </c>
      <c r="AA33" s="111" t="s">
        <v>56</v>
      </c>
      <c r="AB33" s="111" t="s">
        <v>56</v>
      </c>
      <c r="AC33" s="111" t="s">
        <v>56</v>
      </c>
      <c r="AD33" s="111" t="s">
        <v>56</v>
      </c>
      <c r="AE33" s="111" t="s">
        <v>56</v>
      </c>
      <c r="AF33" s="111" t="s">
        <v>56</v>
      </c>
      <c r="AG33" s="111" t="s">
        <v>56</v>
      </c>
      <c r="AH33" s="131">
        <f t="shared" si="4"/>
        <v>2</v>
      </c>
      <c r="AI33" s="131">
        <f t="shared" si="5"/>
        <v>0</v>
      </c>
      <c r="AJ33" s="131">
        <f t="shared" si="6"/>
        <v>2</v>
      </c>
    </row>
    <row r="34" spans="2:36">
      <c r="B34" s="111">
        <f t="shared" si="3"/>
        <v>25</v>
      </c>
      <c r="C34" s="130" t="s">
        <v>262</v>
      </c>
      <c r="D34" s="131">
        <v>1</v>
      </c>
      <c r="E34" s="211" t="s">
        <v>56</v>
      </c>
      <c r="F34" s="211" t="s">
        <v>56</v>
      </c>
      <c r="G34" s="211" t="s">
        <v>56</v>
      </c>
      <c r="H34" s="131">
        <v>1</v>
      </c>
      <c r="I34" s="211" t="s">
        <v>56</v>
      </c>
      <c r="J34" s="131">
        <v>1</v>
      </c>
      <c r="K34" s="211" t="s">
        <v>56</v>
      </c>
      <c r="L34" s="131">
        <v>1</v>
      </c>
      <c r="M34" s="211" t="s">
        <v>56</v>
      </c>
      <c r="N34" s="211" t="s">
        <v>56</v>
      </c>
      <c r="O34" s="211" t="s">
        <v>56</v>
      </c>
      <c r="P34" s="111">
        <v>1</v>
      </c>
      <c r="Q34" s="111" t="s">
        <v>56</v>
      </c>
      <c r="R34" s="111" t="s">
        <v>56</v>
      </c>
      <c r="S34" s="111" t="s">
        <v>56</v>
      </c>
      <c r="T34" s="111" t="s">
        <v>56</v>
      </c>
      <c r="U34" s="111" t="s">
        <v>56</v>
      </c>
      <c r="V34" s="111" t="s">
        <v>56</v>
      </c>
      <c r="W34" s="111" t="s">
        <v>56</v>
      </c>
      <c r="X34" s="111" t="s">
        <v>56</v>
      </c>
      <c r="Y34" s="111" t="s">
        <v>56</v>
      </c>
      <c r="Z34" s="111" t="s">
        <v>56</v>
      </c>
      <c r="AA34" s="111" t="s">
        <v>56</v>
      </c>
      <c r="AB34" s="111">
        <v>1</v>
      </c>
      <c r="AC34" s="111" t="s">
        <v>56</v>
      </c>
      <c r="AD34" s="111">
        <v>1</v>
      </c>
      <c r="AE34" s="111" t="s">
        <v>56</v>
      </c>
      <c r="AF34" s="111">
        <v>1</v>
      </c>
      <c r="AG34" s="111" t="s">
        <v>56</v>
      </c>
      <c r="AH34" s="131">
        <f t="shared" si="4"/>
        <v>8</v>
      </c>
      <c r="AI34" s="131">
        <f t="shared" si="5"/>
        <v>0</v>
      </c>
      <c r="AJ34" s="131">
        <f t="shared" si="6"/>
        <v>8</v>
      </c>
    </row>
    <row r="35" spans="2:36">
      <c r="B35" s="111">
        <f t="shared" si="3"/>
        <v>26</v>
      </c>
      <c r="C35" s="130" t="s">
        <v>264</v>
      </c>
      <c r="D35" s="131">
        <v>1</v>
      </c>
      <c r="E35" s="211" t="s">
        <v>56</v>
      </c>
      <c r="F35" s="131">
        <v>1</v>
      </c>
      <c r="G35" s="211" t="s">
        <v>56</v>
      </c>
      <c r="H35" s="131">
        <v>1</v>
      </c>
      <c r="I35" s="211" t="s">
        <v>56</v>
      </c>
      <c r="J35" s="131">
        <v>1</v>
      </c>
      <c r="K35" s="211" t="s">
        <v>56</v>
      </c>
      <c r="L35" s="131">
        <v>1</v>
      </c>
      <c r="M35" s="211" t="s">
        <v>56</v>
      </c>
      <c r="N35" s="131">
        <v>1</v>
      </c>
      <c r="O35" s="211" t="s">
        <v>56</v>
      </c>
      <c r="P35" s="131">
        <v>1</v>
      </c>
      <c r="Q35" s="111" t="s">
        <v>56</v>
      </c>
      <c r="R35" s="111" t="s">
        <v>56</v>
      </c>
      <c r="S35" s="111" t="s">
        <v>56</v>
      </c>
      <c r="T35" s="111" t="s">
        <v>56</v>
      </c>
      <c r="U35" s="111" t="s">
        <v>56</v>
      </c>
      <c r="V35" s="111" t="s">
        <v>56</v>
      </c>
      <c r="W35" s="111" t="s">
        <v>56</v>
      </c>
      <c r="X35" s="111" t="s">
        <v>56</v>
      </c>
      <c r="Y35" s="111" t="s">
        <v>56</v>
      </c>
      <c r="Z35" s="111" t="s">
        <v>56</v>
      </c>
      <c r="AA35" s="111" t="s">
        <v>56</v>
      </c>
      <c r="AB35" s="131">
        <v>2</v>
      </c>
      <c r="AC35" s="111" t="s">
        <v>56</v>
      </c>
      <c r="AD35" s="131">
        <v>1</v>
      </c>
      <c r="AE35" s="111" t="s">
        <v>56</v>
      </c>
      <c r="AF35" s="111" t="s">
        <v>56</v>
      </c>
      <c r="AG35" s="111" t="s">
        <v>56</v>
      </c>
      <c r="AH35" s="131">
        <f t="shared" si="4"/>
        <v>10</v>
      </c>
      <c r="AI35" s="131">
        <f t="shared" si="5"/>
        <v>0</v>
      </c>
      <c r="AJ35" s="131">
        <f t="shared" si="6"/>
        <v>10</v>
      </c>
    </row>
    <row r="36" spans="2:36">
      <c r="B36" s="111">
        <f t="shared" si="3"/>
        <v>27</v>
      </c>
      <c r="C36" s="130" t="s">
        <v>271</v>
      </c>
      <c r="D36" s="131" t="s">
        <v>56</v>
      </c>
      <c r="E36" s="131" t="s">
        <v>56</v>
      </c>
      <c r="F36" s="131" t="s">
        <v>56</v>
      </c>
      <c r="G36" s="131" t="s">
        <v>56</v>
      </c>
      <c r="H36" s="211" t="s">
        <v>56</v>
      </c>
      <c r="I36" s="211" t="s">
        <v>56</v>
      </c>
      <c r="J36" s="131">
        <v>1</v>
      </c>
      <c r="K36" s="131" t="s">
        <v>56</v>
      </c>
      <c r="L36" s="131">
        <v>1</v>
      </c>
      <c r="M36" s="211" t="s">
        <v>56</v>
      </c>
      <c r="N36" s="211" t="s">
        <v>56</v>
      </c>
      <c r="O36" s="211" t="s">
        <v>56</v>
      </c>
      <c r="P36" s="111" t="s">
        <v>56</v>
      </c>
      <c r="Q36" s="111" t="s">
        <v>56</v>
      </c>
      <c r="R36" s="111" t="s">
        <v>56</v>
      </c>
      <c r="S36" s="111" t="s">
        <v>56</v>
      </c>
      <c r="T36" s="111" t="s">
        <v>56</v>
      </c>
      <c r="U36" s="111" t="s">
        <v>56</v>
      </c>
      <c r="V36" s="111" t="s">
        <v>56</v>
      </c>
      <c r="W36" s="111" t="s">
        <v>56</v>
      </c>
      <c r="X36" s="111" t="s">
        <v>56</v>
      </c>
      <c r="Y36" s="111" t="s">
        <v>56</v>
      </c>
      <c r="Z36" s="111" t="s">
        <v>56</v>
      </c>
      <c r="AA36" s="111" t="s">
        <v>56</v>
      </c>
      <c r="AB36" s="111" t="s">
        <v>56</v>
      </c>
      <c r="AC36" s="111" t="s">
        <v>56</v>
      </c>
      <c r="AD36" s="111" t="s">
        <v>56</v>
      </c>
      <c r="AE36" s="111" t="s">
        <v>56</v>
      </c>
      <c r="AF36" s="111" t="s">
        <v>56</v>
      </c>
      <c r="AG36" s="111" t="s">
        <v>56</v>
      </c>
      <c r="AH36" s="131">
        <f t="shared" si="4"/>
        <v>2</v>
      </c>
      <c r="AI36" s="131">
        <f t="shared" si="5"/>
        <v>0</v>
      </c>
      <c r="AJ36" s="131">
        <f t="shared" si="6"/>
        <v>2</v>
      </c>
    </row>
    <row r="37" spans="2:36">
      <c r="B37" s="111">
        <f t="shared" si="3"/>
        <v>28</v>
      </c>
      <c r="C37" s="130" t="s">
        <v>275</v>
      </c>
      <c r="D37" s="131" t="s">
        <v>56</v>
      </c>
      <c r="E37" s="131" t="s">
        <v>56</v>
      </c>
      <c r="F37" s="131" t="s">
        <v>56</v>
      </c>
      <c r="G37" s="131" t="s">
        <v>56</v>
      </c>
      <c r="H37" s="211" t="s">
        <v>56</v>
      </c>
      <c r="I37" s="211" t="s">
        <v>56</v>
      </c>
      <c r="J37" s="131">
        <v>1</v>
      </c>
      <c r="K37" s="131" t="s">
        <v>56</v>
      </c>
      <c r="L37" s="211" t="s">
        <v>56</v>
      </c>
      <c r="M37" s="211" t="s">
        <v>56</v>
      </c>
      <c r="N37" s="211" t="s">
        <v>56</v>
      </c>
      <c r="O37" s="211" t="s">
        <v>56</v>
      </c>
      <c r="P37" s="111" t="s">
        <v>56</v>
      </c>
      <c r="Q37" s="111" t="s">
        <v>56</v>
      </c>
      <c r="R37" s="111" t="s">
        <v>56</v>
      </c>
      <c r="S37" s="111" t="s">
        <v>56</v>
      </c>
      <c r="T37" s="111" t="s">
        <v>56</v>
      </c>
      <c r="U37" s="111" t="s">
        <v>56</v>
      </c>
      <c r="V37" s="111" t="s">
        <v>56</v>
      </c>
      <c r="W37" s="111" t="s">
        <v>56</v>
      </c>
      <c r="X37" s="111" t="s">
        <v>56</v>
      </c>
      <c r="Y37" s="111" t="s">
        <v>56</v>
      </c>
      <c r="Z37" s="111" t="s">
        <v>56</v>
      </c>
      <c r="AA37" s="111" t="s">
        <v>56</v>
      </c>
      <c r="AB37" s="111" t="s">
        <v>56</v>
      </c>
      <c r="AC37" s="111" t="s">
        <v>56</v>
      </c>
      <c r="AD37" s="111" t="s">
        <v>56</v>
      </c>
      <c r="AE37" s="111" t="s">
        <v>56</v>
      </c>
      <c r="AF37" s="111" t="s">
        <v>56</v>
      </c>
      <c r="AG37" s="111" t="s">
        <v>56</v>
      </c>
      <c r="AH37" s="131">
        <f t="shared" si="4"/>
        <v>1</v>
      </c>
      <c r="AI37" s="131">
        <f t="shared" si="5"/>
        <v>0</v>
      </c>
      <c r="AJ37" s="131">
        <f t="shared" si="6"/>
        <v>1</v>
      </c>
    </row>
    <row r="38" spans="2:36">
      <c r="B38" s="111">
        <f t="shared" si="3"/>
        <v>29</v>
      </c>
      <c r="C38" s="130" t="s">
        <v>277</v>
      </c>
      <c r="D38" s="131" t="s">
        <v>56</v>
      </c>
      <c r="E38" s="131" t="s">
        <v>56</v>
      </c>
      <c r="F38" s="131" t="s">
        <v>56</v>
      </c>
      <c r="G38" s="131" t="s">
        <v>56</v>
      </c>
      <c r="H38" s="211" t="s">
        <v>56</v>
      </c>
      <c r="I38" s="211" t="s">
        <v>56</v>
      </c>
      <c r="J38" s="131">
        <v>5</v>
      </c>
      <c r="K38" s="131" t="s">
        <v>56</v>
      </c>
      <c r="L38" s="211" t="s">
        <v>56</v>
      </c>
      <c r="M38" s="211" t="s">
        <v>56</v>
      </c>
      <c r="N38" s="211" t="s">
        <v>56</v>
      </c>
      <c r="O38" s="211" t="s">
        <v>56</v>
      </c>
      <c r="P38" s="131">
        <v>1</v>
      </c>
      <c r="Q38" s="111" t="s">
        <v>56</v>
      </c>
      <c r="R38" s="111" t="s">
        <v>56</v>
      </c>
      <c r="S38" s="111" t="s">
        <v>56</v>
      </c>
      <c r="T38" s="131">
        <v>1</v>
      </c>
      <c r="U38" s="111" t="s">
        <v>56</v>
      </c>
      <c r="V38" s="131">
        <v>2</v>
      </c>
      <c r="W38" s="111" t="s">
        <v>56</v>
      </c>
      <c r="X38" s="131">
        <v>1</v>
      </c>
      <c r="Y38" s="111" t="s">
        <v>56</v>
      </c>
      <c r="Z38" s="131">
        <v>2</v>
      </c>
      <c r="AA38" s="111" t="s">
        <v>56</v>
      </c>
      <c r="AB38" s="111" t="s">
        <v>56</v>
      </c>
      <c r="AC38" s="111" t="s">
        <v>56</v>
      </c>
      <c r="AD38" s="111" t="s">
        <v>56</v>
      </c>
      <c r="AE38" s="111" t="s">
        <v>56</v>
      </c>
      <c r="AF38" s="111" t="s">
        <v>56</v>
      </c>
      <c r="AG38" s="111" t="s">
        <v>56</v>
      </c>
      <c r="AH38" s="131">
        <f t="shared" si="4"/>
        <v>12</v>
      </c>
      <c r="AI38" s="131">
        <f t="shared" si="5"/>
        <v>0</v>
      </c>
      <c r="AJ38" s="131">
        <f t="shared" si="6"/>
        <v>12</v>
      </c>
    </row>
    <row r="39" spans="2:36">
      <c r="B39" s="111">
        <f t="shared" si="3"/>
        <v>30</v>
      </c>
      <c r="C39" s="130" t="s">
        <v>452</v>
      </c>
      <c r="D39" s="131" t="s">
        <v>56</v>
      </c>
      <c r="E39" s="131" t="s">
        <v>56</v>
      </c>
      <c r="F39" s="131" t="s">
        <v>56</v>
      </c>
      <c r="G39" s="131" t="s">
        <v>56</v>
      </c>
      <c r="H39" s="211" t="s">
        <v>56</v>
      </c>
      <c r="I39" s="211" t="s">
        <v>56</v>
      </c>
      <c r="J39" s="131">
        <v>1</v>
      </c>
      <c r="K39" s="131" t="s">
        <v>56</v>
      </c>
      <c r="L39" s="131">
        <v>1</v>
      </c>
      <c r="M39" s="211" t="s">
        <v>56</v>
      </c>
      <c r="N39" s="211" t="s">
        <v>56</v>
      </c>
      <c r="O39" s="211" t="s">
        <v>56</v>
      </c>
      <c r="P39" s="111" t="s">
        <v>56</v>
      </c>
      <c r="Q39" s="111" t="s">
        <v>56</v>
      </c>
      <c r="R39" s="111" t="s">
        <v>56</v>
      </c>
      <c r="S39" s="111" t="s">
        <v>56</v>
      </c>
      <c r="T39" s="111" t="s">
        <v>56</v>
      </c>
      <c r="U39" s="111" t="s">
        <v>56</v>
      </c>
      <c r="V39" s="111" t="s">
        <v>56</v>
      </c>
      <c r="W39" s="111" t="s">
        <v>56</v>
      </c>
      <c r="X39" s="111" t="s">
        <v>56</v>
      </c>
      <c r="Y39" s="111" t="s">
        <v>56</v>
      </c>
      <c r="Z39" s="111" t="s">
        <v>56</v>
      </c>
      <c r="AA39" s="111" t="s">
        <v>56</v>
      </c>
      <c r="AB39" s="111" t="s">
        <v>56</v>
      </c>
      <c r="AC39" s="111" t="s">
        <v>56</v>
      </c>
      <c r="AD39" s="111" t="s">
        <v>56</v>
      </c>
      <c r="AE39" s="111" t="s">
        <v>56</v>
      </c>
      <c r="AF39" s="111">
        <v>1</v>
      </c>
      <c r="AG39" s="111" t="s">
        <v>56</v>
      </c>
      <c r="AH39" s="131">
        <f t="shared" si="4"/>
        <v>3</v>
      </c>
      <c r="AI39" s="131">
        <f t="shared" si="5"/>
        <v>0</v>
      </c>
      <c r="AJ39" s="131">
        <f t="shared" si="6"/>
        <v>3</v>
      </c>
    </row>
    <row r="40" spans="2:36">
      <c r="B40" s="111">
        <f t="shared" si="3"/>
        <v>31</v>
      </c>
      <c r="C40" s="130" t="s">
        <v>288</v>
      </c>
      <c r="D40" s="131" t="s">
        <v>56</v>
      </c>
      <c r="E40" s="131" t="s">
        <v>56</v>
      </c>
      <c r="F40" s="131" t="s">
        <v>56</v>
      </c>
      <c r="G40" s="131" t="s">
        <v>56</v>
      </c>
      <c r="H40" s="131">
        <v>1</v>
      </c>
      <c r="I40" s="211" t="s">
        <v>56</v>
      </c>
      <c r="J40" s="131">
        <v>1</v>
      </c>
      <c r="K40" s="131" t="s">
        <v>56</v>
      </c>
      <c r="L40" s="211" t="s">
        <v>56</v>
      </c>
      <c r="M40" s="211" t="s">
        <v>56</v>
      </c>
      <c r="N40" s="211" t="s">
        <v>56</v>
      </c>
      <c r="O40" s="211" t="s">
        <v>56</v>
      </c>
      <c r="P40" s="111" t="s">
        <v>56</v>
      </c>
      <c r="Q40" s="111" t="s">
        <v>56</v>
      </c>
      <c r="R40" s="111" t="s">
        <v>56</v>
      </c>
      <c r="S40" s="111" t="s">
        <v>56</v>
      </c>
      <c r="T40" s="111" t="s">
        <v>56</v>
      </c>
      <c r="U40" s="111" t="s">
        <v>56</v>
      </c>
      <c r="V40" s="111" t="s">
        <v>56</v>
      </c>
      <c r="W40" s="111" t="s">
        <v>56</v>
      </c>
      <c r="X40" s="111" t="s">
        <v>56</v>
      </c>
      <c r="Y40" s="111" t="s">
        <v>56</v>
      </c>
      <c r="Z40" s="111" t="s">
        <v>56</v>
      </c>
      <c r="AA40" s="111" t="s">
        <v>56</v>
      </c>
      <c r="AB40" s="111" t="s">
        <v>56</v>
      </c>
      <c r="AC40" s="111" t="s">
        <v>56</v>
      </c>
      <c r="AD40" s="111" t="s">
        <v>56</v>
      </c>
      <c r="AE40" s="111" t="s">
        <v>56</v>
      </c>
      <c r="AF40" s="111">
        <v>6</v>
      </c>
      <c r="AG40" s="111" t="s">
        <v>56</v>
      </c>
      <c r="AH40" s="131">
        <f t="shared" si="4"/>
        <v>8</v>
      </c>
      <c r="AI40" s="131">
        <f t="shared" si="5"/>
        <v>0</v>
      </c>
      <c r="AJ40" s="131">
        <f t="shared" si="6"/>
        <v>8</v>
      </c>
    </row>
    <row r="41" spans="2:36">
      <c r="B41" s="111">
        <f t="shared" si="3"/>
        <v>32</v>
      </c>
      <c r="C41" s="130" t="s">
        <v>575</v>
      </c>
      <c r="D41" s="131" t="s">
        <v>56</v>
      </c>
      <c r="E41" s="131" t="s">
        <v>56</v>
      </c>
      <c r="F41" s="131" t="s">
        <v>56</v>
      </c>
      <c r="G41" s="131" t="s">
        <v>56</v>
      </c>
      <c r="H41" s="211" t="s">
        <v>56</v>
      </c>
      <c r="I41" s="211" t="s">
        <v>56</v>
      </c>
      <c r="J41" s="131">
        <v>1</v>
      </c>
      <c r="K41" s="131" t="s">
        <v>56</v>
      </c>
      <c r="L41" s="211" t="s">
        <v>56</v>
      </c>
      <c r="M41" s="211" t="s">
        <v>56</v>
      </c>
      <c r="N41" s="211" t="s">
        <v>56</v>
      </c>
      <c r="O41" s="211" t="s">
        <v>56</v>
      </c>
      <c r="P41" s="111" t="s">
        <v>56</v>
      </c>
      <c r="Q41" s="111" t="s">
        <v>56</v>
      </c>
      <c r="R41" s="111" t="s">
        <v>56</v>
      </c>
      <c r="S41" s="111" t="s">
        <v>56</v>
      </c>
      <c r="T41" s="111" t="s">
        <v>56</v>
      </c>
      <c r="U41" s="111" t="s">
        <v>56</v>
      </c>
      <c r="V41" s="111" t="s">
        <v>56</v>
      </c>
      <c r="W41" s="111" t="s">
        <v>56</v>
      </c>
      <c r="X41" s="111" t="s">
        <v>56</v>
      </c>
      <c r="Y41" s="111" t="s">
        <v>56</v>
      </c>
      <c r="Z41" s="111" t="s">
        <v>56</v>
      </c>
      <c r="AA41" s="111" t="s">
        <v>56</v>
      </c>
      <c r="AB41" s="111" t="s">
        <v>56</v>
      </c>
      <c r="AC41" s="111" t="s">
        <v>56</v>
      </c>
      <c r="AD41" s="111" t="s">
        <v>56</v>
      </c>
      <c r="AE41" s="111" t="s">
        <v>56</v>
      </c>
      <c r="AF41" s="111" t="s">
        <v>56</v>
      </c>
      <c r="AG41" s="111" t="s">
        <v>56</v>
      </c>
      <c r="AH41" s="131">
        <f t="shared" si="4"/>
        <v>1</v>
      </c>
      <c r="AI41" s="131">
        <f t="shared" si="5"/>
        <v>0</v>
      </c>
      <c r="AJ41" s="131">
        <f t="shared" si="6"/>
        <v>1</v>
      </c>
    </row>
    <row r="42" spans="2:36">
      <c r="B42" s="111">
        <f t="shared" si="3"/>
        <v>33</v>
      </c>
      <c r="C42" s="130" t="s">
        <v>576</v>
      </c>
      <c r="D42" s="131" t="s">
        <v>56</v>
      </c>
      <c r="E42" s="131" t="s">
        <v>56</v>
      </c>
      <c r="F42" s="131" t="s">
        <v>56</v>
      </c>
      <c r="G42" s="131" t="s">
        <v>56</v>
      </c>
      <c r="H42" s="131" t="s">
        <v>56</v>
      </c>
      <c r="I42" s="131" t="s">
        <v>56</v>
      </c>
      <c r="J42" s="131" t="s">
        <v>56</v>
      </c>
      <c r="K42" s="131" t="s">
        <v>56</v>
      </c>
      <c r="L42" s="111">
        <v>1</v>
      </c>
      <c r="M42" s="111" t="s">
        <v>56</v>
      </c>
      <c r="N42" s="211" t="s">
        <v>56</v>
      </c>
      <c r="O42" s="211" t="s">
        <v>56</v>
      </c>
      <c r="P42" s="111" t="s">
        <v>56</v>
      </c>
      <c r="Q42" s="111" t="s">
        <v>56</v>
      </c>
      <c r="R42" s="111" t="s">
        <v>56</v>
      </c>
      <c r="S42" s="111" t="s">
        <v>56</v>
      </c>
      <c r="T42" s="111" t="s">
        <v>56</v>
      </c>
      <c r="U42" s="111" t="s">
        <v>56</v>
      </c>
      <c r="V42" s="111" t="s">
        <v>56</v>
      </c>
      <c r="W42" s="111" t="s">
        <v>56</v>
      </c>
      <c r="X42" s="111" t="s">
        <v>56</v>
      </c>
      <c r="Y42" s="111" t="s">
        <v>56</v>
      </c>
      <c r="Z42" s="111" t="s">
        <v>56</v>
      </c>
      <c r="AA42" s="111" t="s">
        <v>56</v>
      </c>
      <c r="AB42" s="111" t="s">
        <v>56</v>
      </c>
      <c r="AC42" s="111" t="s">
        <v>56</v>
      </c>
      <c r="AD42" s="111" t="s">
        <v>56</v>
      </c>
      <c r="AE42" s="111" t="s">
        <v>56</v>
      </c>
      <c r="AF42" s="111">
        <v>1</v>
      </c>
      <c r="AG42" s="111" t="s">
        <v>56</v>
      </c>
      <c r="AH42" s="131">
        <f t="shared" si="4"/>
        <v>2</v>
      </c>
      <c r="AI42" s="131">
        <f t="shared" si="5"/>
        <v>0</v>
      </c>
      <c r="AJ42" s="131">
        <f t="shared" si="6"/>
        <v>2</v>
      </c>
    </row>
    <row r="43" spans="2:36">
      <c r="B43" s="111">
        <f t="shared" si="3"/>
        <v>34</v>
      </c>
      <c r="C43" s="130" t="s">
        <v>341</v>
      </c>
      <c r="D43" s="131" t="s">
        <v>56</v>
      </c>
      <c r="E43" s="131" t="s">
        <v>56</v>
      </c>
      <c r="F43" s="131" t="s">
        <v>56</v>
      </c>
      <c r="G43" s="131" t="s">
        <v>56</v>
      </c>
      <c r="H43" s="131" t="s">
        <v>56</v>
      </c>
      <c r="I43" s="131" t="s">
        <v>56</v>
      </c>
      <c r="J43" s="131" t="s">
        <v>56</v>
      </c>
      <c r="K43" s="131" t="s">
        <v>56</v>
      </c>
      <c r="L43" s="111">
        <v>1</v>
      </c>
      <c r="M43" s="111" t="s">
        <v>56</v>
      </c>
      <c r="N43" s="211" t="s">
        <v>56</v>
      </c>
      <c r="O43" s="211" t="s">
        <v>56</v>
      </c>
      <c r="P43" s="111" t="s">
        <v>56</v>
      </c>
      <c r="Q43" s="111" t="s">
        <v>56</v>
      </c>
      <c r="R43" s="111" t="s">
        <v>56</v>
      </c>
      <c r="S43" s="111" t="s">
        <v>56</v>
      </c>
      <c r="T43" s="111" t="s">
        <v>56</v>
      </c>
      <c r="U43" s="111" t="s">
        <v>56</v>
      </c>
      <c r="V43" s="111" t="s">
        <v>56</v>
      </c>
      <c r="W43" s="111" t="s">
        <v>56</v>
      </c>
      <c r="X43" s="111" t="s">
        <v>56</v>
      </c>
      <c r="Y43" s="111" t="s">
        <v>56</v>
      </c>
      <c r="Z43" s="111" t="s">
        <v>56</v>
      </c>
      <c r="AA43" s="111" t="s">
        <v>56</v>
      </c>
      <c r="AB43" s="111" t="s">
        <v>56</v>
      </c>
      <c r="AC43" s="111" t="s">
        <v>56</v>
      </c>
      <c r="AD43" s="111" t="s">
        <v>56</v>
      </c>
      <c r="AE43" s="111" t="s">
        <v>56</v>
      </c>
      <c r="AF43" s="111" t="s">
        <v>56</v>
      </c>
      <c r="AG43" s="111" t="s">
        <v>56</v>
      </c>
      <c r="AH43" s="131">
        <f t="shared" si="4"/>
        <v>1</v>
      </c>
      <c r="AI43" s="131">
        <f t="shared" si="5"/>
        <v>0</v>
      </c>
      <c r="AJ43" s="131">
        <f t="shared" si="6"/>
        <v>1</v>
      </c>
    </row>
    <row r="44" spans="2:36">
      <c r="B44" s="111">
        <f t="shared" si="3"/>
        <v>35</v>
      </c>
      <c r="C44" s="130" t="s">
        <v>343</v>
      </c>
      <c r="D44" s="131" t="s">
        <v>56</v>
      </c>
      <c r="E44" s="131" t="s">
        <v>56</v>
      </c>
      <c r="F44" s="131" t="s">
        <v>56</v>
      </c>
      <c r="G44" s="131" t="s">
        <v>56</v>
      </c>
      <c r="H44" s="131" t="s">
        <v>56</v>
      </c>
      <c r="I44" s="131" t="s">
        <v>56</v>
      </c>
      <c r="J44" s="131" t="s">
        <v>56</v>
      </c>
      <c r="K44" s="131" t="s">
        <v>56</v>
      </c>
      <c r="L44" s="111">
        <v>1</v>
      </c>
      <c r="M44" s="111" t="s">
        <v>56</v>
      </c>
      <c r="N44" s="211" t="s">
        <v>56</v>
      </c>
      <c r="O44" s="211" t="s">
        <v>56</v>
      </c>
      <c r="P44" s="111" t="s">
        <v>56</v>
      </c>
      <c r="Q44" s="111" t="s">
        <v>56</v>
      </c>
      <c r="R44" s="111" t="s">
        <v>56</v>
      </c>
      <c r="S44" s="111" t="s">
        <v>56</v>
      </c>
      <c r="T44" s="111" t="s">
        <v>56</v>
      </c>
      <c r="U44" s="111" t="s">
        <v>56</v>
      </c>
      <c r="V44" s="111" t="s">
        <v>56</v>
      </c>
      <c r="W44" s="111" t="s">
        <v>56</v>
      </c>
      <c r="X44" s="111" t="s">
        <v>56</v>
      </c>
      <c r="Y44" s="111" t="s">
        <v>56</v>
      </c>
      <c r="Z44" s="111" t="s">
        <v>56</v>
      </c>
      <c r="AA44" s="111" t="s">
        <v>56</v>
      </c>
      <c r="AB44" s="111" t="s">
        <v>56</v>
      </c>
      <c r="AC44" s="111" t="s">
        <v>56</v>
      </c>
      <c r="AD44" s="111" t="s">
        <v>56</v>
      </c>
      <c r="AE44" s="111" t="s">
        <v>56</v>
      </c>
      <c r="AF44" s="111" t="s">
        <v>56</v>
      </c>
      <c r="AG44" s="111" t="s">
        <v>56</v>
      </c>
      <c r="AH44" s="131">
        <f t="shared" si="4"/>
        <v>1</v>
      </c>
      <c r="AI44" s="131">
        <f t="shared" si="5"/>
        <v>0</v>
      </c>
      <c r="AJ44" s="131">
        <f t="shared" si="6"/>
        <v>1</v>
      </c>
    </row>
    <row r="45" spans="2:36">
      <c r="B45" s="111">
        <f t="shared" si="3"/>
        <v>36</v>
      </c>
      <c r="C45" s="130" t="s">
        <v>349</v>
      </c>
      <c r="D45" s="131" t="s">
        <v>56</v>
      </c>
      <c r="E45" s="131" t="s">
        <v>56</v>
      </c>
      <c r="F45" s="131" t="s">
        <v>56</v>
      </c>
      <c r="G45" s="131" t="s">
        <v>56</v>
      </c>
      <c r="H45" s="131" t="s">
        <v>56</v>
      </c>
      <c r="I45" s="131" t="s">
        <v>56</v>
      </c>
      <c r="J45" s="131" t="s">
        <v>56</v>
      </c>
      <c r="K45" s="131" t="s">
        <v>56</v>
      </c>
      <c r="L45" s="131" t="s">
        <v>56</v>
      </c>
      <c r="M45" s="131" t="s">
        <v>56</v>
      </c>
      <c r="N45" s="131">
        <v>1</v>
      </c>
      <c r="O45" s="111" t="s">
        <v>56</v>
      </c>
      <c r="P45" s="111">
        <v>1</v>
      </c>
      <c r="Q45" s="111" t="s">
        <v>56</v>
      </c>
      <c r="R45" s="111" t="s">
        <v>56</v>
      </c>
      <c r="S45" s="111" t="s">
        <v>56</v>
      </c>
      <c r="T45" s="111" t="s">
        <v>56</v>
      </c>
      <c r="U45" s="111" t="s">
        <v>56</v>
      </c>
      <c r="V45" s="111" t="s">
        <v>56</v>
      </c>
      <c r="W45" s="111" t="s">
        <v>56</v>
      </c>
      <c r="X45" s="111" t="s">
        <v>56</v>
      </c>
      <c r="Y45" s="111" t="s">
        <v>56</v>
      </c>
      <c r="Z45" s="111" t="s">
        <v>56</v>
      </c>
      <c r="AA45" s="111" t="s">
        <v>56</v>
      </c>
      <c r="AB45" s="111" t="s">
        <v>56</v>
      </c>
      <c r="AC45" s="111" t="s">
        <v>56</v>
      </c>
      <c r="AD45" s="111" t="s">
        <v>56</v>
      </c>
      <c r="AE45" s="111" t="s">
        <v>56</v>
      </c>
      <c r="AF45" s="111" t="s">
        <v>56</v>
      </c>
      <c r="AG45" s="111" t="s">
        <v>56</v>
      </c>
      <c r="AH45" s="131">
        <f t="shared" si="4"/>
        <v>2</v>
      </c>
      <c r="AI45" s="131">
        <f t="shared" si="5"/>
        <v>0</v>
      </c>
      <c r="AJ45" s="131">
        <f t="shared" si="6"/>
        <v>2</v>
      </c>
    </row>
    <row r="46" spans="2:36">
      <c r="B46" s="111">
        <f t="shared" si="3"/>
        <v>37</v>
      </c>
      <c r="C46" s="130" t="s">
        <v>366</v>
      </c>
      <c r="D46" s="131" t="s">
        <v>56</v>
      </c>
      <c r="E46" s="131" t="s">
        <v>56</v>
      </c>
      <c r="F46" s="131" t="s">
        <v>56</v>
      </c>
      <c r="G46" s="131" t="s">
        <v>56</v>
      </c>
      <c r="H46" s="131" t="s">
        <v>56</v>
      </c>
      <c r="I46" s="131" t="s">
        <v>56</v>
      </c>
      <c r="J46" s="131" t="s">
        <v>56</v>
      </c>
      <c r="K46" s="131" t="s">
        <v>56</v>
      </c>
      <c r="L46" s="131" t="s">
        <v>56</v>
      </c>
      <c r="M46" s="131" t="s">
        <v>56</v>
      </c>
      <c r="N46" s="111" t="s">
        <v>56</v>
      </c>
      <c r="O46" s="111" t="s">
        <v>56</v>
      </c>
      <c r="P46" s="111">
        <v>1</v>
      </c>
      <c r="Q46" s="111" t="s">
        <v>56</v>
      </c>
      <c r="R46" s="111" t="s">
        <v>56</v>
      </c>
      <c r="S46" s="111" t="s">
        <v>56</v>
      </c>
      <c r="T46" s="111" t="s">
        <v>56</v>
      </c>
      <c r="U46" s="111" t="s">
        <v>56</v>
      </c>
      <c r="V46" s="111" t="s">
        <v>56</v>
      </c>
      <c r="W46" s="111" t="s">
        <v>56</v>
      </c>
      <c r="X46" s="111" t="s">
        <v>56</v>
      </c>
      <c r="Y46" s="111" t="s">
        <v>56</v>
      </c>
      <c r="Z46" s="111" t="s">
        <v>56</v>
      </c>
      <c r="AA46" s="111" t="s">
        <v>56</v>
      </c>
      <c r="AB46" s="111" t="s">
        <v>56</v>
      </c>
      <c r="AC46" s="111" t="s">
        <v>56</v>
      </c>
      <c r="AD46" s="111" t="s">
        <v>56</v>
      </c>
      <c r="AE46" s="111" t="s">
        <v>56</v>
      </c>
      <c r="AF46" s="111" t="s">
        <v>56</v>
      </c>
      <c r="AG46" s="111" t="s">
        <v>56</v>
      </c>
      <c r="AH46" s="131">
        <f t="shared" si="4"/>
        <v>1</v>
      </c>
      <c r="AI46" s="131">
        <f t="shared" si="5"/>
        <v>0</v>
      </c>
      <c r="AJ46" s="131">
        <f t="shared" si="6"/>
        <v>1</v>
      </c>
    </row>
    <row r="47" spans="2:36">
      <c r="B47" s="111">
        <f t="shared" si="3"/>
        <v>38</v>
      </c>
      <c r="C47" s="130" t="s">
        <v>393</v>
      </c>
      <c r="D47" s="131" t="s">
        <v>56</v>
      </c>
      <c r="E47" s="131" t="s">
        <v>56</v>
      </c>
      <c r="F47" s="131" t="s">
        <v>56</v>
      </c>
      <c r="G47" s="131" t="s">
        <v>56</v>
      </c>
      <c r="H47" s="131" t="s">
        <v>56</v>
      </c>
      <c r="I47" s="131" t="s">
        <v>56</v>
      </c>
      <c r="J47" s="131" t="s">
        <v>56</v>
      </c>
      <c r="K47" s="131" t="s">
        <v>56</v>
      </c>
      <c r="L47" s="131" t="s">
        <v>56</v>
      </c>
      <c r="M47" s="131" t="s">
        <v>56</v>
      </c>
      <c r="N47" s="131" t="s">
        <v>56</v>
      </c>
      <c r="O47" s="131" t="s">
        <v>56</v>
      </c>
      <c r="P47" s="131" t="s">
        <v>56</v>
      </c>
      <c r="Q47" s="131" t="s">
        <v>56</v>
      </c>
      <c r="R47" s="131" t="s">
        <v>56</v>
      </c>
      <c r="S47" s="111" t="s">
        <v>56</v>
      </c>
      <c r="T47" s="111">
        <v>1</v>
      </c>
      <c r="U47" s="111" t="s">
        <v>56</v>
      </c>
      <c r="V47" s="111" t="s">
        <v>56</v>
      </c>
      <c r="W47" s="111" t="s">
        <v>56</v>
      </c>
      <c r="X47" s="111" t="s">
        <v>56</v>
      </c>
      <c r="Y47" s="111" t="s">
        <v>56</v>
      </c>
      <c r="Z47" s="111" t="s">
        <v>56</v>
      </c>
      <c r="AA47" s="111" t="s">
        <v>56</v>
      </c>
      <c r="AB47" s="111" t="s">
        <v>56</v>
      </c>
      <c r="AC47" s="111" t="s">
        <v>56</v>
      </c>
      <c r="AD47" s="111" t="s">
        <v>56</v>
      </c>
      <c r="AE47" s="111" t="s">
        <v>56</v>
      </c>
      <c r="AF47" s="111" t="s">
        <v>56</v>
      </c>
      <c r="AG47" s="111" t="s">
        <v>56</v>
      </c>
      <c r="AH47" s="131">
        <f t="shared" si="4"/>
        <v>1</v>
      </c>
      <c r="AI47" s="131">
        <f t="shared" si="5"/>
        <v>0</v>
      </c>
      <c r="AJ47" s="131">
        <f t="shared" si="6"/>
        <v>1</v>
      </c>
    </row>
    <row r="48" spans="2:36">
      <c r="B48" s="111">
        <f t="shared" si="3"/>
        <v>39</v>
      </c>
      <c r="C48" s="130" t="s">
        <v>395</v>
      </c>
      <c r="D48" s="131" t="s">
        <v>56</v>
      </c>
      <c r="E48" s="131" t="s">
        <v>56</v>
      </c>
      <c r="F48" s="131" t="s">
        <v>56</v>
      </c>
      <c r="G48" s="131" t="s">
        <v>56</v>
      </c>
      <c r="H48" s="131" t="s">
        <v>56</v>
      </c>
      <c r="I48" s="131" t="s">
        <v>56</v>
      </c>
      <c r="J48" s="131" t="s">
        <v>56</v>
      </c>
      <c r="K48" s="131" t="s">
        <v>56</v>
      </c>
      <c r="L48" s="131" t="s">
        <v>56</v>
      </c>
      <c r="M48" s="131" t="s">
        <v>56</v>
      </c>
      <c r="N48" s="131" t="s">
        <v>56</v>
      </c>
      <c r="O48" s="131" t="s">
        <v>56</v>
      </c>
      <c r="P48" s="131" t="s">
        <v>56</v>
      </c>
      <c r="Q48" s="131" t="s">
        <v>56</v>
      </c>
      <c r="R48" s="131" t="s">
        <v>56</v>
      </c>
      <c r="S48" s="111" t="s">
        <v>56</v>
      </c>
      <c r="T48" s="111">
        <v>2</v>
      </c>
      <c r="U48" s="111" t="s">
        <v>56</v>
      </c>
      <c r="V48" s="111" t="s">
        <v>56</v>
      </c>
      <c r="W48" s="111" t="s">
        <v>56</v>
      </c>
      <c r="X48" s="111" t="s">
        <v>56</v>
      </c>
      <c r="Y48" s="111" t="s">
        <v>56</v>
      </c>
      <c r="Z48" s="111" t="s">
        <v>56</v>
      </c>
      <c r="AA48" s="111" t="s">
        <v>56</v>
      </c>
      <c r="AB48" s="111" t="s">
        <v>56</v>
      </c>
      <c r="AC48" s="111" t="s">
        <v>56</v>
      </c>
      <c r="AD48" s="111" t="s">
        <v>56</v>
      </c>
      <c r="AE48" s="111" t="s">
        <v>56</v>
      </c>
      <c r="AF48" s="111" t="s">
        <v>56</v>
      </c>
      <c r="AG48" s="111" t="s">
        <v>56</v>
      </c>
      <c r="AH48" s="131">
        <f t="shared" si="4"/>
        <v>2</v>
      </c>
      <c r="AI48" s="131">
        <f t="shared" si="5"/>
        <v>0</v>
      </c>
      <c r="AJ48" s="131">
        <f t="shared" si="6"/>
        <v>2</v>
      </c>
    </row>
    <row r="49" spans="2:36">
      <c r="B49" s="111">
        <f t="shared" si="3"/>
        <v>40</v>
      </c>
      <c r="C49" s="130" t="s">
        <v>402</v>
      </c>
      <c r="D49" s="131" t="s">
        <v>56</v>
      </c>
      <c r="E49" s="131" t="s">
        <v>56</v>
      </c>
      <c r="F49" s="131" t="s">
        <v>56</v>
      </c>
      <c r="G49" s="131" t="s">
        <v>56</v>
      </c>
      <c r="H49" s="131" t="s">
        <v>56</v>
      </c>
      <c r="I49" s="131" t="s">
        <v>56</v>
      </c>
      <c r="J49" s="131" t="s">
        <v>56</v>
      </c>
      <c r="K49" s="131" t="s">
        <v>56</v>
      </c>
      <c r="L49" s="131" t="s">
        <v>56</v>
      </c>
      <c r="M49" s="131" t="s">
        <v>56</v>
      </c>
      <c r="N49" s="131" t="s">
        <v>56</v>
      </c>
      <c r="O49" s="131" t="s">
        <v>56</v>
      </c>
      <c r="P49" s="131" t="s">
        <v>56</v>
      </c>
      <c r="Q49" s="131" t="s">
        <v>56</v>
      </c>
      <c r="R49" s="131" t="s">
        <v>56</v>
      </c>
      <c r="S49" s="111" t="s">
        <v>56</v>
      </c>
      <c r="T49" s="111" t="s">
        <v>56</v>
      </c>
      <c r="U49" s="111" t="s">
        <v>56</v>
      </c>
      <c r="V49" s="111" t="s">
        <v>56</v>
      </c>
      <c r="W49" s="111">
        <v>1</v>
      </c>
      <c r="X49" s="111" t="s">
        <v>56</v>
      </c>
      <c r="Y49" s="111" t="s">
        <v>56</v>
      </c>
      <c r="Z49" s="111" t="s">
        <v>56</v>
      </c>
      <c r="AA49" s="111" t="s">
        <v>56</v>
      </c>
      <c r="AB49" s="111" t="s">
        <v>56</v>
      </c>
      <c r="AC49" s="111" t="s">
        <v>56</v>
      </c>
      <c r="AD49" s="111" t="s">
        <v>56</v>
      </c>
      <c r="AE49" s="111" t="s">
        <v>56</v>
      </c>
      <c r="AF49" s="111" t="s">
        <v>56</v>
      </c>
      <c r="AG49" s="111" t="s">
        <v>56</v>
      </c>
      <c r="AH49" s="131">
        <f t="shared" si="4"/>
        <v>0</v>
      </c>
      <c r="AI49" s="131">
        <f t="shared" si="5"/>
        <v>1</v>
      </c>
      <c r="AJ49" s="131">
        <f t="shared" si="6"/>
        <v>1</v>
      </c>
    </row>
    <row r="50" spans="2:36">
      <c r="B50" s="111">
        <f t="shared" si="3"/>
        <v>41</v>
      </c>
      <c r="C50" s="130" t="s">
        <v>404</v>
      </c>
      <c r="D50" s="131" t="s">
        <v>56</v>
      </c>
      <c r="E50" s="131" t="s">
        <v>56</v>
      </c>
      <c r="F50" s="131" t="s">
        <v>56</v>
      </c>
      <c r="G50" s="131" t="s">
        <v>56</v>
      </c>
      <c r="H50" s="131" t="s">
        <v>56</v>
      </c>
      <c r="I50" s="131" t="s">
        <v>56</v>
      </c>
      <c r="J50" s="131" t="s">
        <v>56</v>
      </c>
      <c r="K50" s="131" t="s">
        <v>56</v>
      </c>
      <c r="L50" s="131" t="s">
        <v>56</v>
      </c>
      <c r="M50" s="131" t="s">
        <v>56</v>
      </c>
      <c r="N50" s="131" t="s">
        <v>56</v>
      </c>
      <c r="O50" s="131" t="s">
        <v>56</v>
      </c>
      <c r="P50" s="131" t="s">
        <v>56</v>
      </c>
      <c r="Q50" s="131" t="s">
        <v>56</v>
      </c>
      <c r="R50" s="131" t="s">
        <v>56</v>
      </c>
      <c r="S50" s="111" t="s">
        <v>56</v>
      </c>
      <c r="T50" s="111" t="s">
        <v>56</v>
      </c>
      <c r="U50" s="111" t="s">
        <v>56</v>
      </c>
      <c r="V50" s="111">
        <v>1</v>
      </c>
      <c r="W50" s="111">
        <v>1</v>
      </c>
      <c r="X50" s="111" t="s">
        <v>56</v>
      </c>
      <c r="Y50" s="111" t="s">
        <v>56</v>
      </c>
      <c r="Z50" s="111" t="s">
        <v>56</v>
      </c>
      <c r="AA50" s="111" t="s">
        <v>56</v>
      </c>
      <c r="AB50" s="111" t="s">
        <v>56</v>
      </c>
      <c r="AC50" s="111" t="s">
        <v>56</v>
      </c>
      <c r="AD50" s="111" t="s">
        <v>56</v>
      </c>
      <c r="AE50" s="111" t="s">
        <v>56</v>
      </c>
      <c r="AF50" s="111" t="s">
        <v>56</v>
      </c>
      <c r="AG50" s="111" t="s">
        <v>56</v>
      </c>
      <c r="AH50" s="131">
        <f t="shared" si="4"/>
        <v>1</v>
      </c>
      <c r="AI50" s="131">
        <f t="shared" si="5"/>
        <v>1</v>
      </c>
      <c r="AJ50" s="131">
        <f t="shared" si="6"/>
        <v>2</v>
      </c>
    </row>
    <row r="51" spans="2:36">
      <c r="B51" s="111">
        <f t="shared" si="3"/>
        <v>42</v>
      </c>
      <c r="C51" s="130" t="s">
        <v>407</v>
      </c>
      <c r="D51" s="131" t="s">
        <v>56</v>
      </c>
      <c r="E51" s="131" t="s">
        <v>56</v>
      </c>
      <c r="F51" s="131" t="s">
        <v>56</v>
      </c>
      <c r="G51" s="131" t="s">
        <v>56</v>
      </c>
      <c r="H51" s="131" t="s">
        <v>56</v>
      </c>
      <c r="I51" s="131" t="s">
        <v>56</v>
      </c>
      <c r="J51" s="131" t="s">
        <v>56</v>
      </c>
      <c r="K51" s="131" t="s">
        <v>56</v>
      </c>
      <c r="L51" s="131" t="s">
        <v>56</v>
      </c>
      <c r="M51" s="131" t="s">
        <v>56</v>
      </c>
      <c r="N51" s="131" t="s">
        <v>56</v>
      </c>
      <c r="O51" s="131" t="s">
        <v>56</v>
      </c>
      <c r="P51" s="131" t="s">
        <v>56</v>
      </c>
      <c r="Q51" s="131" t="s">
        <v>56</v>
      </c>
      <c r="R51" s="131" t="s">
        <v>56</v>
      </c>
      <c r="S51" s="111" t="s">
        <v>56</v>
      </c>
      <c r="T51" s="111" t="s">
        <v>56</v>
      </c>
      <c r="U51" s="111" t="s">
        <v>56</v>
      </c>
      <c r="V51" s="111" t="s">
        <v>56</v>
      </c>
      <c r="W51" s="111">
        <v>1</v>
      </c>
      <c r="X51" s="111" t="s">
        <v>56</v>
      </c>
      <c r="Y51" s="111" t="s">
        <v>56</v>
      </c>
      <c r="Z51" s="111" t="s">
        <v>56</v>
      </c>
      <c r="AA51" s="111" t="s">
        <v>56</v>
      </c>
      <c r="AB51" s="111" t="s">
        <v>56</v>
      </c>
      <c r="AC51" s="111" t="s">
        <v>56</v>
      </c>
      <c r="AD51" s="111" t="s">
        <v>56</v>
      </c>
      <c r="AE51" s="111" t="s">
        <v>56</v>
      </c>
      <c r="AF51" s="111" t="s">
        <v>56</v>
      </c>
      <c r="AG51" s="111" t="s">
        <v>56</v>
      </c>
      <c r="AH51" s="131">
        <f t="shared" si="4"/>
        <v>0</v>
      </c>
      <c r="AI51" s="131">
        <f t="shared" si="5"/>
        <v>1</v>
      </c>
      <c r="AJ51" s="131">
        <f t="shared" si="6"/>
        <v>1</v>
      </c>
    </row>
    <row r="52" spans="2:36">
      <c r="B52" s="111">
        <f t="shared" si="3"/>
        <v>43</v>
      </c>
      <c r="C52" s="130" t="s">
        <v>410</v>
      </c>
      <c r="D52" s="131" t="s">
        <v>56</v>
      </c>
      <c r="E52" s="131" t="s">
        <v>56</v>
      </c>
      <c r="F52" s="131" t="s">
        <v>56</v>
      </c>
      <c r="G52" s="131" t="s">
        <v>56</v>
      </c>
      <c r="H52" s="131" t="s">
        <v>56</v>
      </c>
      <c r="I52" s="131" t="s">
        <v>56</v>
      </c>
      <c r="J52" s="131" t="s">
        <v>56</v>
      </c>
      <c r="K52" s="131" t="s">
        <v>56</v>
      </c>
      <c r="L52" s="131" t="s">
        <v>56</v>
      </c>
      <c r="M52" s="131" t="s">
        <v>56</v>
      </c>
      <c r="N52" s="131" t="s">
        <v>56</v>
      </c>
      <c r="O52" s="131" t="s">
        <v>56</v>
      </c>
      <c r="P52" s="131" t="s">
        <v>56</v>
      </c>
      <c r="Q52" s="131" t="s">
        <v>56</v>
      </c>
      <c r="R52" s="131" t="s">
        <v>56</v>
      </c>
      <c r="S52" s="111" t="s">
        <v>56</v>
      </c>
      <c r="T52" s="111" t="s">
        <v>56</v>
      </c>
      <c r="U52" s="111" t="s">
        <v>56</v>
      </c>
      <c r="V52" s="111">
        <v>4</v>
      </c>
      <c r="W52" s="111" t="s">
        <v>56</v>
      </c>
      <c r="X52" s="111" t="s">
        <v>56</v>
      </c>
      <c r="Y52" s="111" t="s">
        <v>56</v>
      </c>
      <c r="Z52" s="111" t="s">
        <v>56</v>
      </c>
      <c r="AA52" s="111" t="s">
        <v>56</v>
      </c>
      <c r="AB52" s="111" t="s">
        <v>56</v>
      </c>
      <c r="AC52" s="111" t="s">
        <v>56</v>
      </c>
      <c r="AD52" s="111" t="s">
        <v>56</v>
      </c>
      <c r="AE52" s="111" t="s">
        <v>56</v>
      </c>
      <c r="AF52" s="111" t="s">
        <v>56</v>
      </c>
      <c r="AG52" s="111" t="s">
        <v>56</v>
      </c>
      <c r="AH52" s="131">
        <f t="shared" si="4"/>
        <v>4</v>
      </c>
      <c r="AI52" s="131">
        <f t="shared" si="5"/>
        <v>0</v>
      </c>
      <c r="AJ52" s="131">
        <f t="shared" si="6"/>
        <v>4</v>
      </c>
    </row>
    <row r="53" spans="2:36">
      <c r="B53" s="120"/>
    </row>
    <row r="54" spans="2:36">
      <c r="B54" s="120"/>
    </row>
    <row r="55" spans="2:36">
      <c r="B55" s="120"/>
    </row>
    <row r="56" spans="2:36">
      <c r="B56" s="120"/>
    </row>
    <row r="57" spans="2:36">
      <c r="B57" s="120"/>
    </row>
    <row r="58" spans="2:36">
      <c r="B58" s="120"/>
    </row>
    <row r="59" spans="2:36">
      <c r="B59" s="120"/>
    </row>
    <row r="60" spans="2:36">
      <c r="B60" s="120"/>
    </row>
    <row r="61" spans="2:36">
      <c r="B61" s="120"/>
    </row>
    <row r="62" spans="2:36">
      <c r="B62" s="120"/>
    </row>
    <row r="63" spans="2:36">
      <c r="B63" s="120"/>
    </row>
    <row r="64" spans="2:36">
      <c r="B64" s="120"/>
    </row>
    <row r="65" spans="2:2">
      <c r="B65" s="120"/>
    </row>
    <row r="66" spans="2:2">
      <c r="B66" s="120"/>
    </row>
    <row r="67" spans="2:2">
      <c r="B67" s="120"/>
    </row>
    <row r="68" spans="2:2">
      <c r="B68" s="120"/>
    </row>
    <row r="69" spans="2:2">
      <c r="B69" s="120"/>
    </row>
    <row r="70" spans="2:2">
      <c r="B70" s="120"/>
    </row>
    <row r="71" spans="2:2">
      <c r="B71" s="120"/>
    </row>
    <row r="72" spans="2:2">
      <c r="B72" s="120"/>
    </row>
    <row r="73" spans="2:2">
      <c r="B73" s="120"/>
    </row>
    <row r="74" spans="2:2">
      <c r="B74" s="120"/>
    </row>
    <row r="75" spans="2:2">
      <c r="B75" s="120"/>
    </row>
    <row r="76" spans="2:2">
      <c r="B76" s="120"/>
    </row>
    <row r="77" spans="2:2">
      <c r="B77" s="120"/>
    </row>
    <row r="78" spans="2:2">
      <c r="B78" s="120"/>
    </row>
    <row r="79" spans="2:2">
      <c r="B79" s="120"/>
    </row>
    <row r="80" spans="2:2">
      <c r="B80" s="120"/>
    </row>
    <row r="81" spans="2:2">
      <c r="B81" s="120"/>
    </row>
    <row r="82" spans="2:2">
      <c r="B82" s="120"/>
    </row>
    <row r="83" spans="2:2">
      <c r="B83" s="120"/>
    </row>
    <row r="84" spans="2:2">
      <c r="B84" s="120"/>
    </row>
    <row r="85" spans="2:2">
      <c r="B85" s="120"/>
    </row>
    <row r="86" spans="2:2">
      <c r="B86" s="120"/>
    </row>
    <row r="87" spans="2:2">
      <c r="B87" s="120"/>
    </row>
    <row r="88" spans="2:2">
      <c r="B88" s="120"/>
    </row>
    <row r="89" spans="2:2">
      <c r="B89" s="120"/>
    </row>
    <row r="90" spans="2:2">
      <c r="B90" s="120"/>
    </row>
    <row r="91" spans="2:2">
      <c r="B91" s="120"/>
    </row>
    <row r="92" spans="2:2">
      <c r="B92" s="120"/>
    </row>
    <row r="93" spans="2:2">
      <c r="B93" s="120"/>
    </row>
    <row r="94" spans="2:2">
      <c r="B94" s="120"/>
    </row>
    <row r="95" spans="2:2">
      <c r="B95" s="120"/>
    </row>
    <row r="96" spans="2:2">
      <c r="B96" s="120"/>
    </row>
    <row r="97" spans="2:2">
      <c r="B97" s="120"/>
    </row>
    <row r="98" spans="2:2">
      <c r="B98" s="120"/>
    </row>
    <row r="99" spans="2:2">
      <c r="B99" s="120"/>
    </row>
    <row r="100" spans="2:2">
      <c r="B100" s="120"/>
    </row>
    <row r="101" spans="2:2">
      <c r="B101" s="120"/>
    </row>
    <row r="102" spans="2:2">
      <c r="B102" s="120"/>
    </row>
    <row r="103" spans="2:2">
      <c r="B103" s="120"/>
    </row>
    <row r="104" spans="2:2">
      <c r="B104" s="120"/>
    </row>
    <row r="105" spans="2:2">
      <c r="B105" s="120"/>
    </row>
    <row r="106" spans="2:2">
      <c r="B106" s="120"/>
    </row>
    <row r="107" spans="2:2">
      <c r="B107" s="120"/>
    </row>
    <row r="108" spans="2:2">
      <c r="B108" s="120"/>
    </row>
    <row r="109" spans="2:2">
      <c r="B109" s="120"/>
    </row>
    <row r="110" spans="2:2">
      <c r="B110" s="120"/>
    </row>
    <row r="111" spans="2:2">
      <c r="B111" s="120"/>
    </row>
    <row r="112" spans="2:2">
      <c r="B112" s="120"/>
    </row>
    <row r="113" spans="2:2">
      <c r="B113" s="120"/>
    </row>
    <row r="114" spans="2:2">
      <c r="B114" s="120"/>
    </row>
    <row r="115" spans="2:2">
      <c r="B115" s="120"/>
    </row>
    <row r="116" spans="2:2">
      <c r="B116" s="120"/>
    </row>
    <row r="117" spans="2:2">
      <c r="B117" s="120"/>
    </row>
    <row r="118" spans="2:2">
      <c r="B118" s="120"/>
    </row>
    <row r="119" spans="2:2">
      <c r="B119" s="120"/>
    </row>
    <row r="120" spans="2:2">
      <c r="B120" s="120"/>
    </row>
    <row r="121" spans="2:2">
      <c r="B121" s="120"/>
    </row>
    <row r="122" spans="2:2">
      <c r="B122" s="120"/>
    </row>
    <row r="123" spans="2:2">
      <c r="B123" s="120"/>
    </row>
    <row r="124" spans="2:2">
      <c r="B124" s="120"/>
    </row>
    <row r="125" spans="2:2">
      <c r="B125" s="120"/>
    </row>
    <row r="126" spans="2:2">
      <c r="B126" s="120"/>
    </row>
    <row r="127" spans="2:2">
      <c r="B127" s="120"/>
    </row>
    <row r="128" spans="2:2">
      <c r="B128" s="120"/>
    </row>
    <row r="129" spans="2:2">
      <c r="B129" s="120"/>
    </row>
    <row r="130" spans="2:2">
      <c r="B130" s="120"/>
    </row>
    <row r="131" spans="2:2">
      <c r="B131" s="120"/>
    </row>
    <row r="132" spans="2:2">
      <c r="B132" s="120"/>
    </row>
    <row r="133" spans="2:2">
      <c r="B133" s="120"/>
    </row>
    <row r="134" spans="2:2">
      <c r="B134" s="120"/>
    </row>
    <row r="135" spans="2:2">
      <c r="B135" s="120"/>
    </row>
    <row r="136" spans="2:2">
      <c r="B136" s="120"/>
    </row>
    <row r="137" spans="2:2">
      <c r="B137" s="120"/>
    </row>
  </sheetData>
  <mergeCells count="23">
    <mergeCell ref="AJ7:AJ9"/>
    <mergeCell ref="B2:AJ5"/>
    <mergeCell ref="AF8:AG8"/>
    <mergeCell ref="B7:B9"/>
    <mergeCell ref="C7:C9"/>
    <mergeCell ref="AH8:AH9"/>
    <mergeCell ref="AI8:AI9"/>
    <mergeCell ref="D7:AG7"/>
    <mergeCell ref="AH7:AI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B1:P123"/>
  <sheetViews>
    <sheetView topLeftCell="A19" zoomScale="85" zoomScaleNormal="85" workbookViewId="0">
      <selection activeCell="P3" sqref="P1:R1048576"/>
    </sheetView>
  </sheetViews>
  <sheetFormatPr defaultColWidth="8.6640625" defaultRowHeight="14.4"/>
  <cols>
    <col min="1" max="1" width="1.6640625" style="1" customWidth="1"/>
    <col min="2" max="2" width="7.109375" style="1" customWidth="1"/>
    <col min="3" max="3" width="29" style="1" customWidth="1"/>
    <col min="4" max="4" width="12.44140625" style="1" customWidth="1"/>
    <col min="5" max="5" width="7.109375" style="1" customWidth="1"/>
    <col min="6" max="7" width="7" style="1" customWidth="1"/>
    <col min="8" max="13" width="9" style="1" customWidth="1"/>
    <col min="14" max="14" width="19.33203125" style="1" customWidth="1"/>
    <col min="15" max="15" width="65.88671875" style="1" customWidth="1"/>
    <col min="16" max="16384" width="8.6640625" style="1"/>
  </cols>
  <sheetData>
    <row r="1" spans="2:16" ht="7.5" customHeight="1"/>
    <row r="2" spans="2:16" ht="14.4" customHeight="1">
      <c r="B2" s="297" t="s">
        <v>577</v>
      </c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</row>
    <row r="3" spans="2:16" ht="18.600000000000001" customHeight="1">
      <c r="B3" s="297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</row>
    <row r="4" spans="2:16" ht="18.600000000000001" customHeight="1">
      <c r="B4" s="297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</row>
    <row r="5" spans="2:16" ht="21.6" customHeight="1">
      <c r="B5" s="297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</row>
    <row r="6" spans="2:16" ht="9" customHeight="1"/>
    <row r="7" spans="2:16" s="109" customFormat="1" ht="21" customHeight="1">
      <c r="B7" s="263" t="s">
        <v>32</v>
      </c>
      <c r="C7" s="263" t="s">
        <v>1</v>
      </c>
      <c r="D7" s="266" t="s">
        <v>230</v>
      </c>
      <c r="E7" s="291" t="s">
        <v>231</v>
      </c>
      <c r="F7" s="289" t="s">
        <v>232</v>
      </c>
      <c r="G7" s="290"/>
      <c r="H7" s="289" t="s">
        <v>233</v>
      </c>
      <c r="I7" s="290"/>
      <c r="J7" s="299" t="s">
        <v>578</v>
      </c>
      <c r="K7" s="299"/>
      <c r="L7" s="299"/>
      <c r="M7" s="294" t="s">
        <v>579</v>
      </c>
      <c r="N7" s="263" t="s">
        <v>234</v>
      </c>
      <c r="O7" s="263" t="s">
        <v>2</v>
      </c>
      <c r="P7" s="122"/>
    </row>
    <row r="8" spans="2:16" s="109" customFormat="1" ht="21" customHeight="1">
      <c r="B8" s="264"/>
      <c r="C8" s="264"/>
      <c r="D8" s="267"/>
      <c r="E8" s="292"/>
      <c r="F8" s="266" t="s">
        <v>237</v>
      </c>
      <c r="G8" s="266" t="s">
        <v>238</v>
      </c>
      <c r="H8" s="266" t="s">
        <v>239</v>
      </c>
      <c r="I8" s="266" t="s">
        <v>240</v>
      </c>
      <c r="J8" s="299"/>
      <c r="K8" s="299"/>
      <c r="L8" s="299"/>
      <c r="M8" s="295"/>
      <c r="N8" s="264"/>
      <c r="O8" s="264"/>
      <c r="P8" s="122"/>
    </row>
    <row r="9" spans="2:16" s="109" customFormat="1" ht="21" customHeight="1">
      <c r="B9" s="265"/>
      <c r="C9" s="265"/>
      <c r="D9" s="268"/>
      <c r="E9" s="293"/>
      <c r="F9" s="268"/>
      <c r="G9" s="268"/>
      <c r="H9" s="268"/>
      <c r="I9" s="268"/>
      <c r="J9" s="110" t="s">
        <v>3</v>
      </c>
      <c r="K9" s="110" t="s">
        <v>4</v>
      </c>
      <c r="L9" s="110" t="s">
        <v>5</v>
      </c>
      <c r="M9" s="296"/>
      <c r="N9" s="265"/>
      <c r="O9" s="265"/>
      <c r="P9" s="122"/>
    </row>
    <row r="10" spans="2:16" s="109" customFormat="1" ht="34.5" customHeight="1">
      <c r="B10" s="111">
        <v>1</v>
      </c>
      <c r="C10" s="112" t="s">
        <v>28</v>
      </c>
      <c r="D10" s="111" t="s">
        <v>580</v>
      </c>
      <c r="E10" s="219" t="s">
        <v>244</v>
      </c>
      <c r="F10" s="111">
        <v>22</v>
      </c>
      <c r="G10" s="111">
        <v>18</v>
      </c>
      <c r="H10" s="111">
        <v>4</v>
      </c>
      <c r="I10" s="219" t="s">
        <v>56</v>
      </c>
      <c r="J10" s="111">
        <v>16</v>
      </c>
      <c r="K10" s="111">
        <v>4</v>
      </c>
      <c r="L10" s="111">
        <f>J10+K10</f>
        <v>20</v>
      </c>
      <c r="M10" s="123">
        <f>L10-F10</f>
        <v>-2</v>
      </c>
      <c r="N10" s="219" t="s">
        <v>581</v>
      </c>
      <c r="O10" s="220" t="s">
        <v>484</v>
      </c>
    </row>
    <row r="11" spans="2:16" s="109" customFormat="1" ht="34.5" customHeight="1">
      <c r="B11" s="111">
        <v>2</v>
      </c>
      <c r="C11" s="112" t="s">
        <v>6</v>
      </c>
      <c r="D11" s="111">
        <v>2023</v>
      </c>
      <c r="E11" s="219" t="s">
        <v>244</v>
      </c>
      <c r="F11" s="111">
        <v>9</v>
      </c>
      <c r="G11" s="111">
        <v>9</v>
      </c>
      <c r="H11" s="219" t="s">
        <v>56</v>
      </c>
      <c r="I11" s="219" t="s">
        <v>56</v>
      </c>
      <c r="J11" s="111">
        <v>9</v>
      </c>
      <c r="K11" s="111">
        <v>0</v>
      </c>
      <c r="L11" s="111">
        <f t="shared" ref="L11:L36" si="0">J11+K11</f>
        <v>9</v>
      </c>
      <c r="M11" s="123">
        <f t="shared" ref="M11:M36" si="1">L11-F11</f>
        <v>0</v>
      </c>
      <c r="N11" s="219" t="s">
        <v>581</v>
      </c>
      <c r="O11" s="220" t="s">
        <v>485</v>
      </c>
    </row>
    <row r="12" spans="2:16" s="109" customFormat="1" ht="34.5" customHeight="1">
      <c r="B12" s="111">
        <v>3</v>
      </c>
      <c r="C12" s="112" t="s">
        <v>7</v>
      </c>
      <c r="D12" s="111" t="s">
        <v>582</v>
      </c>
      <c r="E12" s="219" t="s">
        <v>244</v>
      </c>
      <c r="F12" s="111">
        <v>9</v>
      </c>
      <c r="G12" s="111">
        <v>9</v>
      </c>
      <c r="H12" s="219" t="s">
        <v>56</v>
      </c>
      <c r="I12" s="219" t="s">
        <v>56</v>
      </c>
      <c r="J12" s="111">
        <v>10</v>
      </c>
      <c r="K12" s="111">
        <v>0</v>
      </c>
      <c r="L12" s="111">
        <f t="shared" si="0"/>
        <v>10</v>
      </c>
      <c r="M12" s="123">
        <f t="shared" si="1"/>
        <v>1</v>
      </c>
      <c r="N12" s="219" t="s">
        <v>581</v>
      </c>
      <c r="O12" s="220" t="s">
        <v>486</v>
      </c>
    </row>
    <row r="13" spans="2:16" s="109" customFormat="1" ht="34.5" customHeight="1">
      <c r="B13" s="111">
        <v>4</v>
      </c>
      <c r="C13" s="112" t="s">
        <v>8</v>
      </c>
      <c r="D13" s="111" t="s">
        <v>582</v>
      </c>
      <c r="E13" s="219" t="s">
        <v>244</v>
      </c>
      <c r="F13" s="111">
        <v>8</v>
      </c>
      <c r="G13" s="219" t="s">
        <v>56</v>
      </c>
      <c r="H13" s="111">
        <v>3</v>
      </c>
      <c r="I13" s="111">
        <v>5</v>
      </c>
      <c r="J13" s="111">
        <v>5</v>
      </c>
      <c r="K13" s="111">
        <v>0</v>
      </c>
      <c r="L13" s="111">
        <f t="shared" si="0"/>
        <v>5</v>
      </c>
      <c r="M13" s="123">
        <f t="shared" si="1"/>
        <v>-3</v>
      </c>
      <c r="N13" s="219" t="s">
        <v>581</v>
      </c>
      <c r="O13" s="220" t="s">
        <v>487</v>
      </c>
    </row>
    <row r="14" spans="2:16" s="109" customFormat="1" ht="34.5" customHeight="1">
      <c r="B14" s="111">
        <v>5</v>
      </c>
      <c r="C14" s="112" t="s">
        <v>9</v>
      </c>
      <c r="D14" s="111">
        <v>2011</v>
      </c>
      <c r="E14" s="219" t="s">
        <v>244</v>
      </c>
      <c r="F14" s="111">
        <v>44</v>
      </c>
      <c r="G14" s="111">
        <v>41</v>
      </c>
      <c r="H14" s="219" t="s">
        <v>56</v>
      </c>
      <c r="I14" s="111">
        <v>3</v>
      </c>
      <c r="J14" s="111">
        <v>14</v>
      </c>
      <c r="K14" s="111">
        <v>0</v>
      </c>
      <c r="L14" s="111">
        <f t="shared" si="0"/>
        <v>14</v>
      </c>
      <c r="M14" s="123">
        <f t="shared" si="1"/>
        <v>-30</v>
      </c>
      <c r="N14" s="219" t="s">
        <v>581</v>
      </c>
      <c r="O14" s="220" t="s">
        <v>488</v>
      </c>
    </row>
    <row r="15" spans="2:16" s="109" customFormat="1" ht="34.5" customHeight="1">
      <c r="B15" s="111">
        <v>6</v>
      </c>
      <c r="C15" s="112" t="s">
        <v>489</v>
      </c>
      <c r="D15" s="111">
        <v>2011</v>
      </c>
      <c r="E15" s="219" t="s">
        <v>244</v>
      </c>
      <c r="F15" s="111">
        <v>7</v>
      </c>
      <c r="G15" s="111">
        <v>7</v>
      </c>
      <c r="H15" s="219" t="s">
        <v>56</v>
      </c>
      <c r="I15" s="219" t="s">
        <v>56</v>
      </c>
      <c r="J15" s="111">
        <v>0</v>
      </c>
      <c r="K15" s="111">
        <v>0</v>
      </c>
      <c r="L15" s="111">
        <f t="shared" si="0"/>
        <v>0</v>
      </c>
      <c r="M15" s="123">
        <f t="shared" si="1"/>
        <v>-7</v>
      </c>
      <c r="N15" s="219" t="s">
        <v>581</v>
      </c>
      <c r="O15" s="124"/>
    </row>
    <row r="16" spans="2:16" s="109" customFormat="1" ht="34.5" customHeight="1">
      <c r="B16" s="111">
        <v>7</v>
      </c>
      <c r="C16" s="112" t="s">
        <v>490</v>
      </c>
      <c r="D16" s="219" t="s">
        <v>582</v>
      </c>
      <c r="E16" s="219" t="s">
        <v>244</v>
      </c>
      <c r="F16" s="111">
        <v>8</v>
      </c>
      <c r="G16" s="111">
        <v>8</v>
      </c>
      <c r="H16" s="219" t="s">
        <v>56</v>
      </c>
      <c r="I16" s="219" t="s">
        <v>56</v>
      </c>
      <c r="J16" s="111">
        <v>0</v>
      </c>
      <c r="K16" s="111">
        <v>0</v>
      </c>
      <c r="L16" s="111">
        <f t="shared" si="0"/>
        <v>0</v>
      </c>
      <c r="M16" s="123">
        <f t="shared" si="1"/>
        <v>-8</v>
      </c>
      <c r="N16" s="219" t="s">
        <v>581</v>
      </c>
      <c r="O16" s="124"/>
    </row>
    <row r="17" spans="2:15" s="109" customFormat="1" ht="34.5" customHeight="1">
      <c r="B17" s="111">
        <v>8</v>
      </c>
      <c r="C17" s="112" t="s">
        <v>491</v>
      </c>
      <c r="D17" s="111">
        <v>2017</v>
      </c>
      <c r="E17" s="219" t="s">
        <v>244</v>
      </c>
      <c r="F17" s="111">
        <v>6</v>
      </c>
      <c r="G17" s="111">
        <v>6</v>
      </c>
      <c r="H17" s="219" t="s">
        <v>56</v>
      </c>
      <c r="I17" s="219" t="s">
        <v>56</v>
      </c>
      <c r="J17" s="111">
        <v>0</v>
      </c>
      <c r="K17" s="111">
        <v>0</v>
      </c>
      <c r="L17" s="111">
        <f t="shared" si="0"/>
        <v>0</v>
      </c>
      <c r="M17" s="123">
        <f t="shared" si="1"/>
        <v>-6</v>
      </c>
      <c r="N17" s="219" t="s">
        <v>581</v>
      </c>
      <c r="O17" s="124"/>
    </row>
    <row r="18" spans="2:15" s="109" customFormat="1" ht="34.5" customHeight="1">
      <c r="B18" s="111">
        <v>9</v>
      </c>
      <c r="C18" s="112" t="s">
        <v>10</v>
      </c>
      <c r="D18" s="219" t="s">
        <v>56</v>
      </c>
      <c r="E18" s="219" t="s">
        <v>244</v>
      </c>
      <c r="F18" s="111">
        <v>13</v>
      </c>
      <c r="G18" s="111">
        <v>13</v>
      </c>
      <c r="H18" s="219" t="s">
        <v>56</v>
      </c>
      <c r="I18" s="219" t="s">
        <v>56</v>
      </c>
      <c r="J18" s="111">
        <v>0</v>
      </c>
      <c r="K18" s="111">
        <v>0</v>
      </c>
      <c r="L18" s="111">
        <f t="shared" si="0"/>
        <v>0</v>
      </c>
      <c r="M18" s="123">
        <f t="shared" si="1"/>
        <v>-13</v>
      </c>
      <c r="N18" s="219" t="s">
        <v>581</v>
      </c>
      <c r="O18" s="124"/>
    </row>
    <row r="19" spans="2:15" s="109" customFormat="1" ht="34.5" customHeight="1">
      <c r="B19" s="111">
        <v>10</v>
      </c>
      <c r="C19" s="112" t="s">
        <v>11</v>
      </c>
      <c r="D19" s="111">
        <v>2021</v>
      </c>
      <c r="E19" s="219" t="s">
        <v>244</v>
      </c>
      <c r="F19" s="111">
        <v>10</v>
      </c>
      <c r="G19" s="111">
        <v>10</v>
      </c>
      <c r="H19" s="219" t="s">
        <v>56</v>
      </c>
      <c r="I19" s="219" t="s">
        <v>56</v>
      </c>
      <c r="J19" s="111">
        <v>0</v>
      </c>
      <c r="K19" s="111">
        <v>0</v>
      </c>
      <c r="L19" s="111">
        <f t="shared" si="0"/>
        <v>0</v>
      </c>
      <c r="M19" s="123">
        <f t="shared" si="1"/>
        <v>-10</v>
      </c>
      <c r="N19" s="219" t="s">
        <v>581</v>
      </c>
      <c r="O19" s="124"/>
    </row>
    <row r="20" spans="2:15" s="109" customFormat="1" ht="34.5" customHeight="1">
      <c r="B20" s="111">
        <v>11</v>
      </c>
      <c r="C20" s="112" t="s">
        <v>12</v>
      </c>
      <c r="D20" s="219" t="s">
        <v>56</v>
      </c>
      <c r="E20" s="219" t="s">
        <v>244</v>
      </c>
      <c r="F20" s="111">
        <v>22</v>
      </c>
      <c r="G20" s="111">
        <v>22</v>
      </c>
      <c r="H20" s="219" t="s">
        <v>56</v>
      </c>
      <c r="I20" s="219" t="s">
        <v>56</v>
      </c>
      <c r="J20" s="111">
        <v>0</v>
      </c>
      <c r="K20" s="111">
        <v>0</v>
      </c>
      <c r="L20" s="111">
        <f t="shared" si="0"/>
        <v>0</v>
      </c>
      <c r="M20" s="123">
        <f t="shared" si="1"/>
        <v>-22</v>
      </c>
      <c r="N20" s="219" t="s">
        <v>581</v>
      </c>
      <c r="O20" s="124"/>
    </row>
    <row r="21" spans="2:15" s="109" customFormat="1" ht="34.5" customHeight="1">
      <c r="B21" s="111">
        <v>12</v>
      </c>
      <c r="C21" s="113" t="s">
        <v>13</v>
      </c>
      <c r="D21" s="219" t="s">
        <v>56</v>
      </c>
      <c r="E21" s="219" t="s">
        <v>244</v>
      </c>
      <c r="F21" s="111">
        <v>3</v>
      </c>
      <c r="G21" s="111">
        <v>3</v>
      </c>
      <c r="H21" s="219" t="s">
        <v>56</v>
      </c>
      <c r="I21" s="219" t="s">
        <v>56</v>
      </c>
      <c r="J21" s="111">
        <v>0</v>
      </c>
      <c r="K21" s="111">
        <v>0</v>
      </c>
      <c r="L21" s="111">
        <f t="shared" si="0"/>
        <v>0</v>
      </c>
      <c r="M21" s="123">
        <f t="shared" si="1"/>
        <v>-3</v>
      </c>
      <c r="N21" s="219" t="s">
        <v>581</v>
      </c>
      <c r="O21" s="124"/>
    </row>
    <row r="22" spans="2:15" s="109" customFormat="1" ht="34.5" customHeight="1">
      <c r="B22" s="111">
        <v>13</v>
      </c>
      <c r="C22" s="112" t="s">
        <v>14</v>
      </c>
      <c r="D22" s="111">
        <v>2011</v>
      </c>
      <c r="E22" s="219" t="s">
        <v>244</v>
      </c>
      <c r="F22" s="111">
        <v>27</v>
      </c>
      <c r="G22" s="111">
        <v>27</v>
      </c>
      <c r="H22" s="219" t="s">
        <v>56</v>
      </c>
      <c r="I22" s="219" t="s">
        <v>56</v>
      </c>
      <c r="J22" s="111">
        <v>90</v>
      </c>
      <c r="K22" s="111">
        <v>0</v>
      </c>
      <c r="L22" s="111">
        <f t="shared" si="0"/>
        <v>90</v>
      </c>
      <c r="M22" s="123">
        <f t="shared" si="1"/>
        <v>63</v>
      </c>
      <c r="N22" s="219" t="s">
        <v>581</v>
      </c>
      <c r="O22" s="124"/>
    </row>
    <row r="23" spans="2:15" s="109" customFormat="1" ht="34.5" customHeight="1">
      <c r="B23" s="111">
        <v>14</v>
      </c>
      <c r="C23" s="112" t="s">
        <v>15</v>
      </c>
      <c r="D23" s="111">
        <v>2011</v>
      </c>
      <c r="E23" s="219" t="s">
        <v>244</v>
      </c>
      <c r="F23" s="111">
        <v>38</v>
      </c>
      <c r="G23" s="111" t="s">
        <v>492</v>
      </c>
      <c r="H23" s="111" t="s">
        <v>56</v>
      </c>
      <c r="I23" s="219" t="s">
        <v>56</v>
      </c>
      <c r="J23" s="111">
        <v>50</v>
      </c>
      <c r="K23" s="111">
        <v>0</v>
      </c>
      <c r="L23" s="111">
        <f t="shared" si="0"/>
        <v>50</v>
      </c>
      <c r="M23" s="123">
        <f t="shared" si="1"/>
        <v>12</v>
      </c>
      <c r="N23" s="219" t="s">
        <v>581</v>
      </c>
      <c r="O23" s="124"/>
    </row>
    <row r="24" spans="2:15" s="109" customFormat="1" ht="34.5" customHeight="1">
      <c r="B24" s="111">
        <v>15</v>
      </c>
      <c r="C24" s="112" t="s">
        <v>16</v>
      </c>
      <c r="D24" s="111">
        <v>2021</v>
      </c>
      <c r="E24" s="219" t="s">
        <v>244</v>
      </c>
      <c r="F24" s="111">
        <v>10</v>
      </c>
      <c r="G24" s="111">
        <v>10</v>
      </c>
      <c r="H24" s="111" t="s">
        <v>56</v>
      </c>
      <c r="I24" s="219" t="s">
        <v>56</v>
      </c>
      <c r="J24" s="111">
        <v>4</v>
      </c>
      <c r="K24" s="111">
        <v>0</v>
      </c>
      <c r="L24" s="111">
        <f t="shared" si="0"/>
        <v>4</v>
      </c>
      <c r="M24" s="123">
        <f t="shared" si="1"/>
        <v>-6</v>
      </c>
      <c r="N24" s="219" t="s">
        <v>581</v>
      </c>
      <c r="O24" s="124" t="s">
        <v>486</v>
      </c>
    </row>
    <row r="25" spans="2:15" s="109" customFormat="1" ht="34.5" customHeight="1">
      <c r="B25" s="111">
        <v>16</v>
      </c>
      <c r="C25" s="112" t="s">
        <v>17</v>
      </c>
      <c r="D25" s="111">
        <v>2021</v>
      </c>
      <c r="E25" s="219" t="s">
        <v>244</v>
      </c>
      <c r="F25" s="111">
        <v>3</v>
      </c>
      <c r="G25" s="111">
        <v>3</v>
      </c>
      <c r="H25" s="111" t="s">
        <v>56</v>
      </c>
      <c r="I25" s="219" t="s">
        <v>56</v>
      </c>
      <c r="J25" s="111">
        <v>0</v>
      </c>
      <c r="K25" s="111">
        <v>0</v>
      </c>
      <c r="L25" s="111">
        <f t="shared" si="0"/>
        <v>0</v>
      </c>
      <c r="M25" s="123">
        <f t="shared" si="1"/>
        <v>-3</v>
      </c>
      <c r="N25" s="219" t="s">
        <v>581</v>
      </c>
      <c r="O25" s="124"/>
    </row>
    <row r="26" spans="2:15" s="109" customFormat="1" ht="34.5" customHeight="1">
      <c r="B26" s="111">
        <v>17</v>
      </c>
      <c r="C26" s="112" t="s">
        <v>18</v>
      </c>
      <c r="D26" s="111" t="s">
        <v>583</v>
      </c>
      <c r="E26" s="219" t="s">
        <v>244</v>
      </c>
      <c r="F26" s="111">
        <v>24</v>
      </c>
      <c r="G26" s="111">
        <v>18</v>
      </c>
      <c r="H26" s="111">
        <v>6</v>
      </c>
      <c r="I26" s="219" t="s">
        <v>56</v>
      </c>
      <c r="J26" s="111">
        <v>14</v>
      </c>
      <c r="K26" s="111">
        <v>12</v>
      </c>
      <c r="L26" s="111">
        <f t="shared" si="0"/>
        <v>26</v>
      </c>
      <c r="M26" s="123">
        <f t="shared" si="1"/>
        <v>2</v>
      </c>
      <c r="N26" s="219" t="s">
        <v>581</v>
      </c>
      <c r="O26" s="124" t="s">
        <v>493</v>
      </c>
    </row>
    <row r="27" spans="2:15" s="109" customFormat="1" ht="34.5" customHeight="1">
      <c r="B27" s="111">
        <v>18</v>
      </c>
      <c r="C27" s="112" t="s">
        <v>19</v>
      </c>
      <c r="D27" s="111" t="s">
        <v>583</v>
      </c>
      <c r="E27" s="219" t="s">
        <v>244</v>
      </c>
      <c r="F27" s="111">
        <v>14</v>
      </c>
      <c r="G27" s="111">
        <v>3</v>
      </c>
      <c r="H27" s="111">
        <v>8</v>
      </c>
      <c r="I27" s="111">
        <v>3</v>
      </c>
      <c r="J27" s="111">
        <v>2</v>
      </c>
      <c r="K27" s="111">
        <v>13</v>
      </c>
      <c r="L27" s="111">
        <f t="shared" si="0"/>
        <v>15</v>
      </c>
      <c r="M27" s="123">
        <f t="shared" si="1"/>
        <v>1</v>
      </c>
      <c r="N27" s="219" t="s">
        <v>581</v>
      </c>
      <c r="O27" s="220" t="s">
        <v>494</v>
      </c>
    </row>
    <row r="28" spans="2:15" s="109" customFormat="1" ht="34.5" customHeight="1">
      <c r="B28" s="111">
        <v>19</v>
      </c>
      <c r="C28" s="112" t="s">
        <v>20</v>
      </c>
      <c r="D28" s="111">
        <v>2011</v>
      </c>
      <c r="E28" s="219" t="s">
        <v>244</v>
      </c>
      <c r="F28" s="111">
        <v>10</v>
      </c>
      <c r="G28" s="111">
        <v>10</v>
      </c>
      <c r="H28" s="111" t="s">
        <v>56</v>
      </c>
      <c r="I28" s="219" t="s">
        <v>56</v>
      </c>
      <c r="J28" s="111">
        <v>0</v>
      </c>
      <c r="K28" s="111">
        <v>20</v>
      </c>
      <c r="L28" s="111">
        <f t="shared" si="0"/>
        <v>20</v>
      </c>
      <c r="M28" s="123">
        <f t="shared" si="1"/>
        <v>10</v>
      </c>
      <c r="N28" s="219" t="s">
        <v>581</v>
      </c>
      <c r="O28" s="124"/>
    </row>
    <row r="29" spans="2:15" s="109" customFormat="1" ht="34.5" customHeight="1">
      <c r="B29" s="111">
        <v>20</v>
      </c>
      <c r="C29" s="112" t="s">
        <v>21</v>
      </c>
      <c r="D29" s="111">
        <v>2024</v>
      </c>
      <c r="E29" s="219" t="s">
        <v>244</v>
      </c>
      <c r="F29" s="111">
        <v>27</v>
      </c>
      <c r="G29" s="111">
        <v>22</v>
      </c>
      <c r="H29" s="111">
        <v>5</v>
      </c>
      <c r="I29" s="219" t="s">
        <v>56</v>
      </c>
      <c r="J29" s="111">
        <v>0</v>
      </c>
      <c r="K29" s="111">
        <v>27</v>
      </c>
      <c r="L29" s="111">
        <f t="shared" si="0"/>
        <v>27</v>
      </c>
      <c r="M29" s="123">
        <f t="shared" si="1"/>
        <v>0</v>
      </c>
      <c r="N29" s="219" t="s">
        <v>581</v>
      </c>
      <c r="O29" s="220" t="s">
        <v>495</v>
      </c>
    </row>
    <row r="30" spans="2:15" s="109" customFormat="1" ht="34.5" customHeight="1">
      <c r="B30" s="111">
        <v>21</v>
      </c>
      <c r="C30" s="112" t="s">
        <v>22</v>
      </c>
      <c r="D30" s="111">
        <v>2011</v>
      </c>
      <c r="E30" s="219" t="s">
        <v>244</v>
      </c>
      <c r="F30" s="111">
        <v>86</v>
      </c>
      <c r="G30" s="111">
        <v>57</v>
      </c>
      <c r="H30" s="111">
        <v>10</v>
      </c>
      <c r="I30" s="111">
        <v>19</v>
      </c>
      <c r="J30" s="111">
        <v>0</v>
      </c>
      <c r="K30" s="111">
        <v>30</v>
      </c>
      <c r="L30" s="111">
        <f t="shared" si="0"/>
        <v>30</v>
      </c>
      <c r="M30" s="123">
        <f t="shared" si="1"/>
        <v>-56</v>
      </c>
      <c r="N30" s="219" t="s">
        <v>581</v>
      </c>
      <c r="O30" s="220" t="s">
        <v>584</v>
      </c>
    </row>
    <row r="31" spans="2:15" s="109" customFormat="1" ht="34.5" customHeight="1">
      <c r="B31" s="111">
        <v>22</v>
      </c>
      <c r="C31" s="112" t="s">
        <v>23</v>
      </c>
      <c r="D31" s="111">
        <v>2011</v>
      </c>
      <c r="E31" s="219" t="s">
        <v>244</v>
      </c>
      <c r="F31" s="111">
        <v>62</v>
      </c>
      <c r="G31" s="111">
        <v>62</v>
      </c>
      <c r="H31" s="219" t="s">
        <v>56</v>
      </c>
      <c r="I31" s="219" t="s">
        <v>56</v>
      </c>
      <c r="J31" s="111">
        <v>25</v>
      </c>
      <c r="K31" s="111">
        <v>10</v>
      </c>
      <c r="L31" s="111">
        <f t="shared" si="0"/>
        <v>35</v>
      </c>
      <c r="M31" s="123">
        <f t="shared" si="1"/>
        <v>-27</v>
      </c>
      <c r="N31" s="219" t="s">
        <v>581</v>
      </c>
      <c r="O31" s="124"/>
    </row>
    <row r="32" spans="2:15" s="109" customFormat="1" ht="34.5" customHeight="1">
      <c r="B32" s="111">
        <v>23</v>
      </c>
      <c r="C32" s="112" t="s">
        <v>24</v>
      </c>
      <c r="D32" s="111">
        <v>2021</v>
      </c>
      <c r="E32" s="219" t="s">
        <v>244</v>
      </c>
      <c r="F32" s="111">
        <v>2</v>
      </c>
      <c r="G32" s="111">
        <v>2</v>
      </c>
      <c r="H32" s="219" t="s">
        <v>56</v>
      </c>
      <c r="I32" s="219" t="s">
        <v>56</v>
      </c>
      <c r="J32" s="111">
        <v>0</v>
      </c>
      <c r="K32" s="111">
        <v>1</v>
      </c>
      <c r="L32" s="111">
        <f t="shared" si="0"/>
        <v>1</v>
      </c>
      <c r="M32" s="123">
        <f t="shared" si="1"/>
        <v>-1</v>
      </c>
      <c r="N32" s="219" t="s">
        <v>581</v>
      </c>
      <c r="O32" s="124"/>
    </row>
    <row r="33" spans="2:15" s="109" customFormat="1" ht="34.5" customHeight="1">
      <c r="B33" s="111">
        <v>24</v>
      </c>
      <c r="C33" s="112" t="s">
        <v>25</v>
      </c>
      <c r="D33" s="111">
        <v>2011</v>
      </c>
      <c r="E33" s="219" t="s">
        <v>244</v>
      </c>
      <c r="F33" s="111">
        <v>12</v>
      </c>
      <c r="G33" s="111">
        <v>12</v>
      </c>
      <c r="H33" s="219" t="s">
        <v>56</v>
      </c>
      <c r="I33" s="219" t="s">
        <v>56</v>
      </c>
      <c r="J33" s="111">
        <v>0</v>
      </c>
      <c r="K33" s="111">
        <v>0</v>
      </c>
      <c r="L33" s="111">
        <f t="shared" si="0"/>
        <v>0</v>
      </c>
      <c r="M33" s="123">
        <f t="shared" si="1"/>
        <v>-12</v>
      </c>
      <c r="N33" s="219" t="s">
        <v>581</v>
      </c>
      <c r="O33" s="124"/>
    </row>
    <row r="34" spans="2:15" s="109" customFormat="1" ht="34.5" customHeight="1">
      <c r="B34" s="111">
        <v>25</v>
      </c>
      <c r="C34" s="112" t="s">
        <v>496</v>
      </c>
      <c r="D34" s="111">
        <v>2021</v>
      </c>
      <c r="E34" s="219" t="s">
        <v>244</v>
      </c>
      <c r="F34" s="111">
        <v>2</v>
      </c>
      <c r="G34" s="111">
        <v>2</v>
      </c>
      <c r="H34" s="219" t="s">
        <v>56</v>
      </c>
      <c r="I34" s="219" t="s">
        <v>56</v>
      </c>
      <c r="J34" s="111">
        <v>0</v>
      </c>
      <c r="K34" s="111">
        <v>0</v>
      </c>
      <c r="L34" s="111">
        <f t="shared" si="0"/>
        <v>0</v>
      </c>
      <c r="M34" s="123">
        <f t="shared" si="1"/>
        <v>-2</v>
      </c>
      <c r="N34" s="219" t="s">
        <v>581</v>
      </c>
      <c r="O34" s="124"/>
    </row>
    <row r="35" spans="2:15" s="109" customFormat="1" ht="34.5" customHeight="1">
      <c r="B35" s="111">
        <v>26</v>
      </c>
      <c r="C35" s="112" t="s">
        <v>26</v>
      </c>
      <c r="D35" s="219" t="s">
        <v>56</v>
      </c>
      <c r="E35" s="219" t="s">
        <v>244</v>
      </c>
      <c r="F35" s="111">
        <v>13</v>
      </c>
      <c r="G35" s="111">
        <v>6</v>
      </c>
      <c r="H35" s="111">
        <v>3</v>
      </c>
      <c r="I35" s="111">
        <v>4</v>
      </c>
      <c r="J35" s="111">
        <v>3</v>
      </c>
      <c r="K35" s="111">
        <v>1</v>
      </c>
      <c r="L35" s="111">
        <f t="shared" si="0"/>
        <v>4</v>
      </c>
      <c r="M35" s="123">
        <f t="shared" si="1"/>
        <v>-9</v>
      </c>
      <c r="N35" s="219" t="s">
        <v>581</v>
      </c>
      <c r="O35" s="220" t="s">
        <v>497</v>
      </c>
    </row>
    <row r="36" spans="2:15" s="109" customFormat="1" ht="34.5" customHeight="1">
      <c r="B36" s="111">
        <v>27</v>
      </c>
      <c r="C36" s="112" t="s">
        <v>27</v>
      </c>
      <c r="D36" s="111">
        <v>2017</v>
      </c>
      <c r="E36" s="219" t="s">
        <v>244</v>
      </c>
      <c r="F36" s="111">
        <v>122</v>
      </c>
      <c r="G36" s="111">
        <v>122</v>
      </c>
      <c r="H36" s="219" t="s">
        <v>56</v>
      </c>
      <c r="I36" s="219" t="s">
        <v>56</v>
      </c>
      <c r="J36" s="111">
        <v>50</v>
      </c>
      <c r="K36" s="111">
        <v>0</v>
      </c>
      <c r="L36" s="111">
        <f t="shared" si="0"/>
        <v>50</v>
      </c>
      <c r="M36" s="123">
        <f t="shared" si="1"/>
        <v>-72</v>
      </c>
      <c r="N36" s="219" t="s">
        <v>581</v>
      </c>
      <c r="O36" s="124"/>
    </row>
    <row r="37" spans="2:15"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25"/>
    </row>
    <row r="38" spans="2:15">
      <c r="B38" s="227" t="s">
        <v>468</v>
      </c>
      <c r="C38" s="228"/>
      <c r="D38" s="46"/>
      <c r="E38" s="228" t="s">
        <v>469</v>
      </c>
      <c r="F38" s="228"/>
      <c r="G38" s="228"/>
      <c r="H38" s="228"/>
      <c r="I38" s="228"/>
      <c r="J38" s="45"/>
      <c r="K38" s="45"/>
      <c r="L38" s="45"/>
      <c r="M38" s="45"/>
      <c r="N38" s="229" t="s">
        <v>470</v>
      </c>
      <c r="O38" s="230"/>
    </row>
    <row r="39" spans="2:15">
      <c r="B39" s="116"/>
      <c r="C39" s="45"/>
      <c r="D39" s="46"/>
      <c r="E39" s="45"/>
      <c r="F39" s="45"/>
      <c r="G39" s="45"/>
      <c r="H39" s="46"/>
      <c r="I39" s="46"/>
      <c r="J39" s="46"/>
      <c r="K39" s="46"/>
      <c r="L39" s="46"/>
      <c r="M39" s="46"/>
      <c r="N39" s="51"/>
      <c r="O39" s="126"/>
    </row>
    <row r="40" spans="2:15">
      <c r="B40" s="116"/>
      <c r="C40" s="45"/>
      <c r="D40" s="46"/>
      <c r="E40" s="45"/>
      <c r="F40" s="45"/>
      <c r="G40" s="45"/>
      <c r="H40" s="46"/>
      <c r="I40" s="46"/>
      <c r="J40" s="46"/>
      <c r="K40" s="46"/>
      <c r="L40" s="46"/>
      <c r="M40" s="46"/>
      <c r="N40" s="51"/>
      <c r="O40" s="126"/>
    </row>
    <row r="41" spans="2:15" s="25" customFormat="1">
      <c r="B41" s="117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127"/>
    </row>
    <row r="42" spans="2:15" s="25" customFormat="1">
      <c r="B42" s="117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127"/>
    </row>
    <row r="43" spans="2:15">
      <c r="B43" s="11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128"/>
    </row>
    <row r="44" spans="2:15">
      <c r="B44" s="11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128"/>
    </row>
    <row r="45" spans="2:15">
      <c r="B45" s="231" t="s">
        <v>471</v>
      </c>
      <c r="C45" s="232"/>
      <c r="D45" s="118"/>
      <c r="E45" s="233" t="s">
        <v>472</v>
      </c>
      <c r="F45" s="233"/>
      <c r="G45" s="233"/>
      <c r="H45" s="233"/>
      <c r="I45" s="233"/>
      <c r="J45" s="119"/>
      <c r="K45" s="119"/>
      <c r="L45" s="119"/>
      <c r="M45" s="119"/>
      <c r="N45" s="233" t="s">
        <v>473</v>
      </c>
      <c r="O45" s="234"/>
    </row>
    <row r="46" spans="2:15">
      <c r="B46" s="120"/>
    </row>
    <row r="47" spans="2:15">
      <c r="B47" s="120"/>
    </row>
    <row r="48" spans="2:15">
      <c r="B48" s="120"/>
    </row>
    <row r="49" spans="2:2">
      <c r="B49" s="120"/>
    </row>
    <row r="50" spans="2:2">
      <c r="B50" s="120"/>
    </row>
    <row r="51" spans="2:2">
      <c r="B51" s="120"/>
    </row>
    <row r="52" spans="2:2">
      <c r="B52" s="120"/>
    </row>
    <row r="53" spans="2:2">
      <c r="B53" s="120"/>
    </row>
    <row r="54" spans="2:2">
      <c r="B54" s="120"/>
    </row>
    <row r="55" spans="2:2">
      <c r="B55" s="120"/>
    </row>
    <row r="56" spans="2:2">
      <c r="B56" s="120"/>
    </row>
    <row r="57" spans="2:2">
      <c r="B57" s="120"/>
    </row>
    <row r="58" spans="2:2">
      <c r="B58" s="120"/>
    </row>
    <row r="59" spans="2:2">
      <c r="B59" s="120"/>
    </row>
    <row r="60" spans="2:2">
      <c r="B60" s="120"/>
    </row>
    <row r="61" spans="2:2">
      <c r="B61" s="120"/>
    </row>
    <row r="62" spans="2:2">
      <c r="B62" s="120"/>
    </row>
    <row r="63" spans="2:2">
      <c r="B63" s="120"/>
    </row>
    <row r="64" spans="2:2">
      <c r="B64" s="120"/>
    </row>
    <row r="65" spans="2:2">
      <c r="B65" s="120"/>
    </row>
    <row r="66" spans="2:2">
      <c r="B66" s="120"/>
    </row>
    <row r="67" spans="2:2">
      <c r="B67" s="120"/>
    </row>
    <row r="68" spans="2:2">
      <c r="B68" s="120"/>
    </row>
    <row r="69" spans="2:2">
      <c r="B69" s="120"/>
    </row>
    <row r="70" spans="2:2">
      <c r="B70" s="120"/>
    </row>
    <row r="71" spans="2:2">
      <c r="B71" s="120"/>
    </row>
    <row r="72" spans="2:2">
      <c r="B72" s="120"/>
    </row>
    <row r="73" spans="2:2">
      <c r="B73" s="120"/>
    </row>
    <row r="74" spans="2:2">
      <c r="B74" s="120"/>
    </row>
    <row r="75" spans="2:2">
      <c r="B75" s="120"/>
    </row>
    <row r="76" spans="2:2">
      <c r="B76" s="120"/>
    </row>
    <row r="77" spans="2:2">
      <c r="B77" s="120"/>
    </row>
    <row r="78" spans="2:2">
      <c r="B78" s="120"/>
    </row>
    <row r="79" spans="2:2">
      <c r="B79" s="120"/>
    </row>
    <row r="80" spans="2:2">
      <c r="B80" s="120"/>
    </row>
    <row r="81" spans="2:2">
      <c r="B81" s="120"/>
    </row>
    <row r="82" spans="2:2">
      <c r="B82" s="120"/>
    </row>
    <row r="83" spans="2:2">
      <c r="B83" s="120"/>
    </row>
    <row r="84" spans="2:2">
      <c r="B84" s="120"/>
    </row>
    <row r="85" spans="2:2">
      <c r="B85" s="120"/>
    </row>
    <row r="86" spans="2:2">
      <c r="B86" s="120"/>
    </row>
    <row r="87" spans="2:2">
      <c r="B87" s="120"/>
    </row>
    <row r="88" spans="2:2">
      <c r="B88" s="120"/>
    </row>
    <row r="89" spans="2:2">
      <c r="B89" s="120"/>
    </row>
    <row r="90" spans="2:2">
      <c r="B90" s="120"/>
    </row>
    <row r="91" spans="2:2">
      <c r="B91" s="120"/>
    </row>
    <row r="92" spans="2:2">
      <c r="B92" s="120"/>
    </row>
    <row r="93" spans="2:2">
      <c r="B93" s="120"/>
    </row>
    <row r="94" spans="2:2">
      <c r="B94" s="120"/>
    </row>
    <row r="95" spans="2:2">
      <c r="B95" s="120"/>
    </row>
    <row r="96" spans="2:2">
      <c r="B96" s="120"/>
    </row>
    <row r="97" spans="2:2">
      <c r="B97" s="120"/>
    </row>
    <row r="98" spans="2:2">
      <c r="B98" s="120"/>
    </row>
    <row r="99" spans="2:2">
      <c r="B99" s="120"/>
    </row>
    <row r="100" spans="2:2">
      <c r="B100" s="120"/>
    </row>
    <row r="101" spans="2:2">
      <c r="B101" s="120"/>
    </row>
    <row r="102" spans="2:2">
      <c r="B102" s="120"/>
    </row>
    <row r="103" spans="2:2">
      <c r="B103" s="120"/>
    </row>
    <row r="104" spans="2:2">
      <c r="B104" s="120"/>
    </row>
    <row r="105" spans="2:2">
      <c r="B105" s="120"/>
    </row>
    <row r="106" spans="2:2">
      <c r="B106" s="120"/>
    </row>
    <row r="107" spans="2:2">
      <c r="B107" s="120"/>
    </row>
    <row r="108" spans="2:2">
      <c r="B108" s="120"/>
    </row>
    <row r="109" spans="2:2">
      <c r="B109" s="120"/>
    </row>
    <row r="110" spans="2:2">
      <c r="B110" s="120"/>
    </row>
    <row r="111" spans="2:2">
      <c r="B111" s="120"/>
    </row>
    <row r="112" spans="2:2">
      <c r="B112" s="120"/>
    </row>
    <row r="113" spans="2:2">
      <c r="B113" s="120"/>
    </row>
    <row r="114" spans="2:2">
      <c r="B114" s="120"/>
    </row>
    <row r="115" spans="2:2">
      <c r="B115" s="120"/>
    </row>
    <row r="116" spans="2:2">
      <c r="B116" s="120"/>
    </row>
    <row r="117" spans="2:2">
      <c r="B117" s="120"/>
    </row>
    <row r="118" spans="2:2">
      <c r="B118" s="120"/>
    </row>
    <row r="119" spans="2:2">
      <c r="B119" s="120"/>
    </row>
    <row r="120" spans="2:2">
      <c r="B120" s="120"/>
    </row>
    <row r="121" spans="2:2">
      <c r="B121" s="120"/>
    </row>
    <row r="122" spans="2:2">
      <c r="B122" s="120"/>
    </row>
    <row r="123" spans="2:2">
      <c r="B123" s="120"/>
    </row>
  </sheetData>
  <mergeCells count="21">
    <mergeCell ref="B2:O5"/>
    <mergeCell ref="J7:L8"/>
    <mergeCell ref="B45:C45"/>
    <mergeCell ref="E45:I45"/>
    <mergeCell ref="N45:O45"/>
    <mergeCell ref="B7:B9"/>
    <mergeCell ref="C7:C9"/>
    <mergeCell ref="D7:D9"/>
    <mergeCell ref="E7:E9"/>
    <mergeCell ref="F8:F9"/>
    <mergeCell ref="G8:G9"/>
    <mergeCell ref="H8:H9"/>
    <mergeCell ref="I8:I9"/>
    <mergeCell ref="M7:M9"/>
    <mergeCell ref="N7:N9"/>
    <mergeCell ref="O7:O9"/>
    <mergeCell ref="F7:G7"/>
    <mergeCell ref="H7:I7"/>
    <mergeCell ref="B38:C38"/>
    <mergeCell ref="E38:I38"/>
    <mergeCell ref="N38:O38"/>
  </mergeCells>
  <printOptions horizontalCentered="1"/>
  <pageMargins left="0" right="0" top="0.39370078740157499" bottom="0" header="0.31496062992126" footer="0.31496062992126"/>
  <pageSetup paperSize="9" scale="5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  <pageSetUpPr fitToPage="1"/>
  </sheetPr>
  <dimension ref="B1:AU319"/>
  <sheetViews>
    <sheetView showGridLines="0" tabSelected="1" topLeftCell="A16" zoomScale="85" zoomScaleNormal="85" workbookViewId="0">
      <selection activeCell="AK2" sqref="B2:AK2"/>
    </sheetView>
  </sheetViews>
  <sheetFormatPr defaultColWidth="9" defaultRowHeight="14.4"/>
  <cols>
    <col min="1" max="1" width="2" customWidth="1"/>
    <col min="2" max="2" width="5.109375" style="67" customWidth="1"/>
    <col min="3" max="3" width="40" style="67" customWidth="1"/>
    <col min="4" max="4" width="14.109375" style="68" hidden="1" customWidth="1"/>
    <col min="5" max="5" width="9.109375" style="67" hidden="1" customWidth="1"/>
    <col min="6" max="8" width="11.5546875" style="67" hidden="1" customWidth="1"/>
    <col min="9" max="9" width="13.6640625" style="67" hidden="1" customWidth="1"/>
    <col min="10" max="11" width="12.6640625" style="69" hidden="1" customWidth="1"/>
    <col min="12" max="12" width="13" style="69" hidden="1" customWidth="1"/>
    <col min="13" max="13" width="11.5546875" style="69" hidden="1" customWidth="1"/>
    <col min="14" max="14" width="15.5546875" style="70" hidden="1" customWidth="1"/>
    <col min="15" max="15" width="15.5546875" style="69" hidden="1" customWidth="1"/>
    <col min="16" max="16" width="11.33203125" style="69" hidden="1" customWidth="1"/>
    <col min="17" max="18" width="9.6640625" style="69" hidden="1" customWidth="1"/>
    <col min="19" max="19" width="11.5546875" style="69" hidden="1" customWidth="1"/>
    <col min="20" max="20" width="8.88671875" style="69" hidden="1" customWidth="1"/>
    <col min="21" max="21" width="7.33203125" style="69" hidden="1" customWidth="1"/>
    <col min="22" max="22" width="8.109375" style="69" hidden="1" customWidth="1"/>
    <col min="23" max="23" width="7" style="69" hidden="1" customWidth="1"/>
    <col min="24" max="24" width="8.88671875" style="69" hidden="1" customWidth="1"/>
    <col min="25" max="25" width="7.33203125" style="69" hidden="1" customWidth="1"/>
    <col min="26" max="26" width="8.109375" style="69" hidden="1" customWidth="1"/>
    <col min="27" max="27" width="7" style="69" hidden="1" customWidth="1"/>
    <col min="28" max="28" width="11.33203125" style="69" hidden="1" customWidth="1"/>
    <col min="29" max="30" width="9.6640625" style="69" hidden="1" customWidth="1"/>
    <col min="31" max="31" width="11.5546875" style="69" hidden="1" customWidth="1"/>
    <col min="32" max="35" width="11.5546875" style="69" customWidth="1"/>
    <col min="36" max="36" width="14.5546875" style="67" customWidth="1"/>
    <col min="37" max="37" width="32.88671875" style="67" customWidth="1"/>
    <col min="38" max="38" width="30.5546875" style="68" hidden="1" customWidth="1"/>
    <col min="39" max="39" width="20.88671875" style="67" hidden="1" customWidth="1"/>
  </cols>
  <sheetData>
    <row r="1" spans="2:39" ht="55.5" customHeight="1">
      <c r="B1" s="221" t="s">
        <v>29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/>
    </row>
    <row r="2" spans="2:39" ht="24.75" customHeight="1">
      <c r="B2" s="71"/>
      <c r="C2" s="71"/>
      <c r="D2" s="71"/>
      <c r="E2" s="71"/>
      <c r="F2" s="71"/>
      <c r="G2" s="71"/>
      <c r="H2" s="71"/>
      <c r="I2" s="71"/>
      <c r="J2" s="222" t="s">
        <v>30</v>
      </c>
      <c r="K2" s="222"/>
      <c r="L2" s="222"/>
      <c r="M2" s="222"/>
      <c r="N2" s="222"/>
      <c r="O2" s="222"/>
      <c r="P2" s="223" t="s">
        <v>31</v>
      </c>
      <c r="Q2" s="223"/>
      <c r="R2" s="223"/>
      <c r="S2" s="223"/>
      <c r="T2" s="300" t="s">
        <v>585</v>
      </c>
      <c r="U2" s="300"/>
      <c r="V2" s="300"/>
      <c r="W2" s="300"/>
      <c r="X2" s="300" t="s">
        <v>586</v>
      </c>
      <c r="Y2" s="300"/>
      <c r="Z2" s="300"/>
      <c r="AA2" s="300"/>
      <c r="AB2" s="300" t="s">
        <v>587</v>
      </c>
      <c r="AC2" s="300"/>
      <c r="AD2" s="300"/>
      <c r="AE2" s="300"/>
      <c r="AF2" s="300"/>
      <c r="AG2" s="300"/>
      <c r="AH2" s="300"/>
      <c r="AI2" s="300"/>
      <c r="AJ2" s="71"/>
      <c r="AK2" s="71"/>
      <c r="AL2" s="71"/>
      <c r="AM2" s="71"/>
    </row>
    <row r="3" spans="2:39" s="64" customFormat="1" ht="76.5" customHeight="1">
      <c r="B3" s="72" t="s">
        <v>32</v>
      </c>
      <c r="C3" s="73" t="s">
        <v>33</v>
      </c>
      <c r="D3" s="73" t="s">
        <v>34</v>
      </c>
      <c r="E3" s="73" t="s">
        <v>35</v>
      </c>
      <c r="F3" s="74" t="s">
        <v>36</v>
      </c>
      <c r="G3" s="74" t="s">
        <v>37</v>
      </c>
      <c r="H3" s="74" t="s">
        <v>38</v>
      </c>
      <c r="I3" s="79" t="s">
        <v>39</v>
      </c>
      <c r="J3" s="74" t="s">
        <v>40</v>
      </c>
      <c r="K3" s="74" t="s">
        <v>41</v>
      </c>
      <c r="L3" s="74" t="s">
        <v>42</v>
      </c>
      <c r="M3" s="74" t="s">
        <v>43</v>
      </c>
      <c r="N3" s="74" t="s">
        <v>44</v>
      </c>
      <c r="O3" s="74" t="s">
        <v>45</v>
      </c>
      <c r="P3" s="80" t="s">
        <v>46</v>
      </c>
      <c r="Q3" s="80" t="s">
        <v>47</v>
      </c>
      <c r="R3" s="80" t="s">
        <v>588</v>
      </c>
      <c r="S3" s="80" t="s">
        <v>48</v>
      </c>
      <c r="T3" s="81" t="s">
        <v>46</v>
      </c>
      <c r="U3" s="81" t="s">
        <v>47</v>
      </c>
      <c r="V3" s="81" t="s">
        <v>588</v>
      </c>
      <c r="W3" s="81" t="s">
        <v>48</v>
      </c>
      <c r="X3" s="81" t="s">
        <v>46</v>
      </c>
      <c r="Y3" s="81" t="s">
        <v>47</v>
      </c>
      <c r="Z3" s="81" t="s">
        <v>588</v>
      </c>
      <c r="AA3" s="81" t="s">
        <v>48</v>
      </c>
      <c r="AB3" s="81" t="s">
        <v>46</v>
      </c>
      <c r="AC3" s="81" t="s">
        <v>47</v>
      </c>
      <c r="AD3" s="81" t="s">
        <v>588</v>
      </c>
      <c r="AE3" s="81" t="s">
        <v>48</v>
      </c>
      <c r="AF3" s="92" t="s">
        <v>46</v>
      </c>
      <c r="AG3" s="92" t="s">
        <v>47</v>
      </c>
      <c r="AH3" s="92" t="s">
        <v>588</v>
      </c>
      <c r="AI3" s="92" t="s">
        <v>48</v>
      </c>
      <c r="AJ3" s="73" t="s">
        <v>49</v>
      </c>
      <c r="AK3" s="73" t="s">
        <v>50</v>
      </c>
      <c r="AL3" s="73" t="s">
        <v>51</v>
      </c>
      <c r="AM3" s="73" t="s">
        <v>52</v>
      </c>
    </row>
    <row r="4" spans="2:39" s="65" customFormat="1" ht="15.9" customHeight="1">
      <c r="B4" s="75">
        <f>SUBTOTAL(3,C4:$C$4)</f>
        <v>1</v>
      </c>
      <c r="C4" s="76" t="s">
        <v>54</v>
      </c>
      <c r="D4" s="77">
        <v>2010</v>
      </c>
      <c r="E4" s="77" t="s">
        <v>55</v>
      </c>
      <c r="F4" s="77">
        <v>8</v>
      </c>
      <c r="G4" s="77" t="s">
        <v>56</v>
      </c>
      <c r="H4" s="77" t="s">
        <v>56</v>
      </c>
      <c r="I4" s="79">
        <f t="shared" ref="I4:I67" si="0">F4</f>
        <v>8</v>
      </c>
      <c r="J4" s="77">
        <v>8</v>
      </c>
      <c r="K4" s="77" t="s">
        <v>56</v>
      </c>
      <c r="L4" s="77" t="s">
        <v>56</v>
      </c>
      <c r="M4" s="77">
        <f t="shared" ref="M4:M67" si="1">SUM(J4:L4)</f>
        <v>8</v>
      </c>
      <c r="N4" s="81">
        <f t="shared" ref="N4:N67" si="2">J4</f>
        <v>8</v>
      </c>
      <c r="O4" s="82" t="str">
        <f t="shared" ref="O4:O67" si="3">L4</f>
        <v>-</v>
      </c>
      <c r="P4" s="83">
        <v>8</v>
      </c>
      <c r="Q4" s="83">
        <v>0</v>
      </c>
      <c r="R4" s="83">
        <v>0</v>
      </c>
      <c r="S4" s="79">
        <f t="shared" ref="S4:S67" si="4">SUM(P4:R4)</f>
        <v>8</v>
      </c>
      <c r="T4" s="84">
        <v>8</v>
      </c>
      <c r="U4" s="84">
        <v>0</v>
      </c>
      <c r="V4" s="84">
        <v>0</v>
      </c>
      <c r="W4" s="85">
        <f t="shared" ref="W4:W67" si="5">SUM(T4:V4)</f>
        <v>8</v>
      </c>
      <c r="X4" s="86">
        <v>8</v>
      </c>
      <c r="Y4" s="86">
        <v>0</v>
      </c>
      <c r="Z4" s="86">
        <v>0</v>
      </c>
      <c r="AA4" s="88">
        <v>8</v>
      </c>
      <c r="AB4" s="89">
        <v>8</v>
      </c>
      <c r="AC4" s="89">
        <v>0</v>
      </c>
      <c r="AD4" s="89">
        <v>0</v>
      </c>
      <c r="AE4" s="90">
        <f t="shared" ref="AE4:AE67" si="6">SUM(AB4:AD4)</f>
        <v>8</v>
      </c>
      <c r="AF4" s="91">
        <v>8</v>
      </c>
      <c r="AG4" s="91">
        <v>0</v>
      </c>
      <c r="AH4" s="91">
        <v>0</v>
      </c>
      <c r="AI4" s="87">
        <f t="shared" ref="AI4:AI67" si="7">SUM(AF4:AH4)</f>
        <v>8</v>
      </c>
      <c r="AJ4" s="77" t="s">
        <v>57</v>
      </c>
      <c r="AK4" s="77" t="s">
        <v>58</v>
      </c>
      <c r="AL4" s="77"/>
      <c r="AM4" s="77"/>
    </row>
    <row r="5" spans="2:39" s="65" customFormat="1" ht="15.9" customHeight="1">
      <c r="B5" s="75">
        <f>SUBTOTAL(3,C$4:$C5)</f>
        <v>2</v>
      </c>
      <c r="C5" s="76" t="s">
        <v>59</v>
      </c>
      <c r="D5" s="77">
        <v>2015</v>
      </c>
      <c r="E5" s="77" t="s">
        <v>60</v>
      </c>
      <c r="F5" s="77">
        <v>8</v>
      </c>
      <c r="G5" s="77" t="s">
        <v>56</v>
      </c>
      <c r="H5" s="77" t="s">
        <v>56</v>
      </c>
      <c r="I5" s="79">
        <f t="shared" si="0"/>
        <v>8</v>
      </c>
      <c r="J5" s="77">
        <v>8</v>
      </c>
      <c r="K5" s="77" t="s">
        <v>56</v>
      </c>
      <c r="L5" s="77" t="s">
        <v>56</v>
      </c>
      <c r="M5" s="77">
        <f t="shared" si="1"/>
        <v>8</v>
      </c>
      <c r="N5" s="81">
        <f t="shared" si="2"/>
        <v>8</v>
      </c>
      <c r="O5" s="82" t="str">
        <f t="shared" si="3"/>
        <v>-</v>
      </c>
      <c r="P5" s="83">
        <v>8</v>
      </c>
      <c r="Q5" s="83">
        <v>0</v>
      </c>
      <c r="R5" s="83">
        <v>0</v>
      </c>
      <c r="S5" s="79">
        <f t="shared" si="4"/>
        <v>8</v>
      </c>
      <c r="T5" s="84">
        <v>8</v>
      </c>
      <c r="U5" s="84">
        <v>0</v>
      </c>
      <c r="V5" s="84">
        <v>0</v>
      </c>
      <c r="W5" s="85">
        <f t="shared" si="5"/>
        <v>8</v>
      </c>
      <c r="X5" s="86">
        <v>8</v>
      </c>
      <c r="Y5" s="86">
        <v>0</v>
      </c>
      <c r="Z5" s="86">
        <v>0</v>
      </c>
      <c r="AA5" s="88">
        <v>8</v>
      </c>
      <c r="AB5" s="89">
        <v>8</v>
      </c>
      <c r="AC5" s="89">
        <v>0</v>
      </c>
      <c r="AD5" s="89">
        <v>0</v>
      </c>
      <c r="AE5" s="90">
        <f t="shared" si="6"/>
        <v>8</v>
      </c>
      <c r="AF5" s="91">
        <v>8</v>
      </c>
      <c r="AG5" s="91">
        <v>0</v>
      </c>
      <c r="AH5" s="91">
        <v>0</v>
      </c>
      <c r="AI5" s="87">
        <f t="shared" si="7"/>
        <v>8</v>
      </c>
      <c r="AJ5" s="77" t="s">
        <v>57</v>
      </c>
      <c r="AK5" s="77" t="s">
        <v>58</v>
      </c>
      <c r="AL5" s="77"/>
      <c r="AM5" s="77"/>
    </row>
    <row r="6" spans="2:39" s="65" customFormat="1" ht="15.9" customHeight="1">
      <c r="B6" s="75">
        <f>SUBTOTAL(3,C$4:$C6)</f>
        <v>3</v>
      </c>
      <c r="C6" s="76" t="s">
        <v>61</v>
      </c>
      <c r="D6" s="78" t="s">
        <v>62</v>
      </c>
      <c r="E6" s="77" t="s">
        <v>63</v>
      </c>
      <c r="F6" s="77">
        <v>8</v>
      </c>
      <c r="G6" s="77" t="s">
        <v>56</v>
      </c>
      <c r="H6" s="77" t="s">
        <v>56</v>
      </c>
      <c r="I6" s="79">
        <f t="shared" si="0"/>
        <v>8</v>
      </c>
      <c r="J6" s="77">
        <v>8</v>
      </c>
      <c r="K6" s="77" t="s">
        <v>56</v>
      </c>
      <c r="L6" s="77" t="s">
        <v>56</v>
      </c>
      <c r="M6" s="77">
        <f t="shared" si="1"/>
        <v>8</v>
      </c>
      <c r="N6" s="81">
        <f t="shared" si="2"/>
        <v>8</v>
      </c>
      <c r="O6" s="82" t="str">
        <f t="shared" si="3"/>
        <v>-</v>
      </c>
      <c r="P6" s="83">
        <v>8</v>
      </c>
      <c r="Q6" s="83">
        <v>0</v>
      </c>
      <c r="R6" s="83">
        <v>0</v>
      </c>
      <c r="S6" s="79">
        <f t="shared" si="4"/>
        <v>8</v>
      </c>
      <c r="T6" s="84">
        <v>8</v>
      </c>
      <c r="U6" s="84">
        <v>0</v>
      </c>
      <c r="V6" s="84">
        <v>0</v>
      </c>
      <c r="W6" s="85">
        <f t="shared" si="5"/>
        <v>8</v>
      </c>
      <c r="X6" s="86">
        <v>8</v>
      </c>
      <c r="Y6" s="86">
        <v>0</v>
      </c>
      <c r="Z6" s="86">
        <v>0</v>
      </c>
      <c r="AA6" s="88">
        <v>8</v>
      </c>
      <c r="AB6" s="89">
        <v>8</v>
      </c>
      <c r="AC6" s="89">
        <v>0</v>
      </c>
      <c r="AD6" s="89">
        <v>0</v>
      </c>
      <c r="AE6" s="90">
        <f t="shared" si="6"/>
        <v>8</v>
      </c>
      <c r="AF6" s="91">
        <v>8</v>
      </c>
      <c r="AG6" s="91">
        <v>0</v>
      </c>
      <c r="AH6" s="91">
        <v>0</v>
      </c>
      <c r="AI6" s="87">
        <f t="shared" si="7"/>
        <v>8</v>
      </c>
      <c r="AJ6" s="77" t="s">
        <v>57</v>
      </c>
      <c r="AK6" s="77" t="s">
        <v>58</v>
      </c>
      <c r="AL6" s="77"/>
      <c r="AM6" s="77"/>
    </row>
    <row r="7" spans="2:39" s="65" customFormat="1" ht="15.9" customHeight="1">
      <c r="B7" s="75">
        <f>SUBTOTAL(3,C$4:$C7)</f>
        <v>4</v>
      </c>
      <c r="C7" s="76" t="s">
        <v>64</v>
      </c>
      <c r="D7" s="78" t="s">
        <v>62</v>
      </c>
      <c r="E7" s="77" t="s">
        <v>63</v>
      </c>
      <c r="F7" s="77">
        <v>8</v>
      </c>
      <c r="G7" s="77" t="s">
        <v>56</v>
      </c>
      <c r="H7" s="77" t="s">
        <v>56</v>
      </c>
      <c r="I7" s="79">
        <f t="shared" si="0"/>
        <v>8</v>
      </c>
      <c r="J7" s="77">
        <v>8</v>
      </c>
      <c r="K7" s="77" t="s">
        <v>56</v>
      </c>
      <c r="L7" s="77" t="s">
        <v>56</v>
      </c>
      <c r="M7" s="77">
        <f t="shared" si="1"/>
        <v>8</v>
      </c>
      <c r="N7" s="81">
        <f t="shared" si="2"/>
        <v>8</v>
      </c>
      <c r="O7" s="82" t="str">
        <f t="shared" si="3"/>
        <v>-</v>
      </c>
      <c r="P7" s="83">
        <v>8</v>
      </c>
      <c r="Q7" s="83">
        <v>0</v>
      </c>
      <c r="R7" s="83">
        <v>0</v>
      </c>
      <c r="S7" s="79">
        <f t="shared" si="4"/>
        <v>8</v>
      </c>
      <c r="T7" s="84">
        <v>8</v>
      </c>
      <c r="U7" s="84">
        <v>0</v>
      </c>
      <c r="V7" s="84">
        <v>0</v>
      </c>
      <c r="W7" s="85">
        <f t="shared" si="5"/>
        <v>8</v>
      </c>
      <c r="X7" s="86">
        <v>8</v>
      </c>
      <c r="Y7" s="86">
        <v>0</v>
      </c>
      <c r="Z7" s="86">
        <v>0</v>
      </c>
      <c r="AA7" s="88">
        <v>8</v>
      </c>
      <c r="AB7" s="89">
        <v>8</v>
      </c>
      <c r="AC7" s="89">
        <v>0</v>
      </c>
      <c r="AD7" s="89">
        <v>0</v>
      </c>
      <c r="AE7" s="90">
        <f t="shared" si="6"/>
        <v>8</v>
      </c>
      <c r="AF7" s="91">
        <v>8</v>
      </c>
      <c r="AG7" s="91">
        <v>0</v>
      </c>
      <c r="AH7" s="91">
        <v>0</v>
      </c>
      <c r="AI7" s="87">
        <f t="shared" si="7"/>
        <v>8</v>
      </c>
      <c r="AJ7" s="77" t="s">
        <v>57</v>
      </c>
      <c r="AK7" s="77" t="s">
        <v>58</v>
      </c>
      <c r="AL7" s="77"/>
      <c r="AM7" s="77"/>
    </row>
    <row r="8" spans="2:39" s="65" customFormat="1" ht="15.9" customHeight="1">
      <c r="B8" s="75">
        <f>SUBTOTAL(3,C$4:$C8)</f>
        <v>5</v>
      </c>
      <c r="C8" s="76" t="s">
        <v>65</v>
      </c>
      <c r="D8" s="77" t="s">
        <v>66</v>
      </c>
      <c r="E8" s="77" t="s">
        <v>67</v>
      </c>
      <c r="F8" s="77">
        <v>8</v>
      </c>
      <c r="G8" s="77" t="s">
        <v>56</v>
      </c>
      <c r="H8" s="77" t="s">
        <v>56</v>
      </c>
      <c r="I8" s="79">
        <f t="shared" si="0"/>
        <v>8</v>
      </c>
      <c r="J8" s="77">
        <v>8</v>
      </c>
      <c r="K8" s="77" t="s">
        <v>56</v>
      </c>
      <c r="L8" s="77" t="s">
        <v>56</v>
      </c>
      <c r="M8" s="77">
        <f t="shared" si="1"/>
        <v>8</v>
      </c>
      <c r="N8" s="81">
        <f t="shared" si="2"/>
        <v>8</v>
      </c>
      <c r="O8" s="82" t="str">
        <f t="shared" si="3"/>
        <v>-</v>
      </c>
      <c r="P8" s="83">
        <v>8</v>
      </c>
      <c r="Q8" s="83">
        <v>0</v>
      </c>
      <c r="R8" s="83">
        <v>0</v>
      </c>
      <c r="S8" s="79">
        <f t="shared" si="4"/>
        <v>8</v>
      </c>
      <c r="T8" s="84">
        <v>8</v>
      </c>
      <c r="U8" s="84">
        <v>0</v>
      </c>
      <c r="V8" s="84">
        <v>0</v>
      </c>
      <c r="W8" s="85">
        <f t="shared" si="5"/>
        <v>8</v>
      </c>
      <c r="X8" s="86">
        <v>8</v>
      </c>
      <c r="Y8" s="86">
        <v>0</v>
      </c>
      <c r="Z8" s="86">
        <v>0</v>
      </c>
      <c r="AA8" s="88">
        <v>8</v>
      </c>
      <c r="AB8" s="89">
        <v>8</v>
      </c>
      <c r="AC8" s="89">
        <v>0</v>
      </c>
      <c r="AD8" s="89">
        <v>0</v>
      </c>
      <c r="AE8" s="90">
        <f t="shared" si="6"/>
        <v>8</v>
      </c>
      <c r="AF8" s="91">
        <v>8</v>
      </c>
      <c r="AG8" s="91">
        <v>0</v>
      </c>
      <c r="AH8" s="91">
        <v>0</v>
      </c>
      <c r="AI8" s="87">
        <f t="shared" si="7"/>
        <v>8</v>
      </c>
      <c r="AJ8" s="77" t="s">
        <v>57</v>
      </c>
      <c r="AK8" s="77" t="s">
        <v>58</v>
      </c>
      <c r="AL8" s="77"/>
      <c r="AM8" s="77"/>
    </row>
    <row r="9" spans="2:39" s="65" customFormat="1" ht="15.9" customHeight="1">
      <c r="B9" s="75">
        <f>SUBTOTAL(3,C$4:$C9)</f>
        <v>6</v>
      </c>
      <c r="C9" s="76" t="s">
        <v>68</v>
      </c>
      <c r="D9" s="77">
        <v>2010</v>
      </c>
      <c r="E9" s="77" t="s">
        <v>55</v>
      </c>
      <c r="F9" s="77">
        <v>4</v>
      </c>
      <c r="G9" s="77" t="s">
        <v>56</v>
      </c>
      <c r="H9" s="77" t="s">
        <v>56</v>
      </c>
      <c r="I9" s="79">
        <f t="shared" si="0"/>
        <v>4</v>
      </c>
      <c r="J9" s="77">
        <v>4</v>
      </c>
      <c r="K9" s="77" t="s">
        <v>56</v>
      </c>
      <c r="L9" s="77" t="s">
        <v>56</v>
      </c>
      <c r="M9" s="77">
        <f t="shared" si="1"/>
        <v>4</v>
      </c>
      <c r="N9" s="81">
        <f t="shared" si="2"/>
        <v>4</v>
      </c>
      <c r="O9" s="82" t="str">
        <f t="shared" si="3"/>
        <v>-</v>
      </c>
      <c r="P9" s="83">
        <v>4</v>
      </c>
      <c r="Q9" s="83">
        <v>0</v>
      </c>
      <c r="R9" s="83">
        <v>0</v>
      </c>
      <c r="S9" s="79">
        <f t="shared" si="4"/>
        <v>4</v>
      </c>
      <c r="T9" s="84">
        <v>4</v>
      </c>
      <c r="U9" s="84">
        <v>0</v>
      </c>
      <c r="V9" s="84">
        <v>0</v>
      </c>
      <c r="W9" s="85">
        <f t="shared" si="5"/>
        <v>4</v>
      </c>
      <c r="X9" s="86">
        <v>4</v>
      </c>
      <c r="Y9" s="86">
        <v>0</v>
      </c>
      <c r="Z9" s="86">
        <v>0</v>
      </c>
      <c r="AA9" s="88">
        <v>4</v>
      </c>
      <c r="AB9" s="89">
        <v>4</v>
      </c>
      <c r="AC9" s="89">
        <v>0</v>
      </c>
      <c r="AD9" s="89">
        <v>0</v>
      </c>
      <c r="AE9" s="90">
        <f t="shared" si="6"/>
        <v>4</v>
      </c>
      <c r="AF9" s="91">
        <v>4</v>
      </c>
      <c r="AG9" s="91">
        <v>0</v>
      </c>
      <c r="AH9" s="91">
        <v>0</v>
      </c>
      <c r="AI9" s="87">
        <f t="shared" si="7"/>
        <v>4</v>
      </c>
      <c r="AJ9" s="77" t="s">
        <v>57</v>
      </c>
      <c r="AK9" s="77" t="s">
        <v>58</v>
      </c>
      <c r="AL9" s="77"/>
      <c r="AM9" s="77"/>
    </row>
    <row r="10" spans="2:39" s="65" customFormat="1" ht="15.9" customHeight="1">
      <c r="B10" s="75">
        <f>SUBTOTAL(3,C$4:$C10)</f>
        <v>7</v>
      </c>
      <c r="C10" s="76" t="s">
        <v>69</v>
      </c>
      <c r="D10" s="77">
        <v>2015</v>
      </c>
      <c r="E10" s="77" t="s">
        <v>55</v>
      </c>
      <c r="F10" s="77">
        <v>4</v>
      </c>
      <c r="G10" s="77" t="s">
        <v>56</v>
      </c>
      <c r="H10" s="77" t="s">
        <v>56</v>
      </c>
      <c r="I10" s="79">
        <f t="shared" si="0"/>
        <v>4</v>
      </c>
      <c r="J10" s="77">
        <v>4</v>
      </c>
      <c r="K10" s="77" t="s">
        <v>56</v>
      </c>
      <c r="L10" s="77" t="s">
        <v>56</v>
      </c>
      <c r="M10" s="77">
        <f t="shared" si="1"/>
        <v>4</v>
      </c>
      <c r="N10" s="81">
        <f t="shared" si="2"/>
        <v>4</v>
      </c>
      <c r="O10" s="82" t="str">
        <f t="shared" si="3"/>
        <v>-</v>
      </c>
      <c r="P10" s="83">
        <v>4</v>
      </c>
      <c r="Q10" s="83">
        <v>0</v>
      </c>
      <c r="R10" s="83">
        <v>0</v>
      </c>
      <c r="S10" s="79">
        <f t="shared" si="4"/>
        <v>4</v>
      </c>
      <c r="T10" s="84">
        <v>4</v>
      </c>
      <c r="U10" s="84">
        <v>0</v>
      </c>
      <c r="V10" s="84">
        <v>0</v>
      </c>
      <c r="W10" s="85">
        <f t="shared" si="5"/>
        <v>4</v>
      </c>
      <c r="X10" s="86">
        <v>4</v>
      </c>
      <c r="Y10" s="86">
        <v>0</v>
      </c>
      <c r="Z10" s="86">
        <v>0</v>
      </c>
      <c r="AA10" s="88">
        <v>4</v>
      </c>
      <c r="AB10" s="89">
        <v>4</v>
      </c>
      <c r="AC10" s="89">
        <v>0</v>
      </c>
      <c r="AD10" s="89">
        <v>0</v>
      </c>
      <c r="AE10" s="90">
        <f t="shared" si="6"/>
        <v>4</v>
      </c>
      <c r="AF10" s="93">
        <v>3</v>
      </c>
      <c r="AG10" s="93">
        <v>1</v>
      </c>
      <c r="AH10" s="91">
        <v>0</v>
      </c>
      <c r="AI10" s="87">
        <f t="shared" si="7"/>
        <v>4</v>
      </c>
      <c r="AJ10" s="77" t="s">
        <v>57</v>
      </c>
      <c r="AK10" s="77" t="s">
        <v>58</v>
      </c>
      <c r="AL10" s="77"/>
      <c r="AM10" s="77"/>
    </row>
    <row r="11" spans="2:39" s="65" customFormat="1" ht="15.9" customHeight="1">
      <c r="B11" s="75">
        <f>SUBTOTAL(3,C$4:$C11)</f>
        <v>8</v>
      </c>
      <c r="C11" s="76" t="s">
        <v>70</v>
      </c>
      <c r="D11" s="77">
        <v>2010</v>
      </c>
      <c r="E11" s="77" t="s">
        <v>71</v>
      </c>
      <c r="F11" s="77">
        <v>4</v>
      </c>
      <c r="G11" s="77" t="s">
        <v>56</v>
      </c>
      <c r="H11" s="77" t="s">
        <v>56</v>
      </c>
      <c r="I11" s="79">
        <f t="shared" si="0"/>
        <v>4</v>
      </c>
      <c r="J11" s="77">
        <v>4</v>
      </c>
      <c r="K11" s="77" t="s">
        <v>56</v>
      </c>
      <c r="L11" s="77" t="s">
        <v>56</v>
      </c>
      <c r="M11" s="77">
        <f t="shared" si="1"/>
        <v>4</v>
      </c>
      <c r="N11" s="81">
        <f t="shared" si="2"/>
        <v>4</v>
      </c>
      <c r="O11" s="82" t="str">
        <f t="shared" si="3"/>
        <v>-</v>
      </c>
      <c r="P11" s="83">
        <v>4</v>
      </c>
      <c r="Q11" s="83">
        <v>0</v>
      </c>
      <c r="R11" s="83">
        <v>0</v>
      </c>
      <c r="S11" s="79">
        <f t="shared" si="4"/>
        <v>4</v>
      </c>
      <c r="T11" s="84">
        <v>4</v>
      </c>
      <c r="U11" s="84">
        <v>0</v>
      </c>
      <c r="V11" s="84">
        <v>0</v>
      </c>
      <c r="W11" s="85">
        <f t="shared" si="5"/>
        <v>4</v>
      </c>
      <c r="X11" s="86">
        <v>4</v>
      </c>
      <c r="Y11" s="86">
        <v>0</v>
      </c>
      <c r="Z11" s="86">
        <v>0</v>
      </c>
      <c r="AA11" s="88">
        <v>4</v>
      </c>
      <c r="AB11" s="89">
        <v>4</v>
      </c>
      <c r="AC11" s="89">
        <v>0</v>
      </c>
      <c r="AD11" s="89">
        <v>0</v>
      </c>
      <c r="AE11" s="90">
        <f t="shared" si="6"/>
        <v>4</v>
      </c>
      <c r="AF11" s="91">
        <v>4</v>
      </c>
      <c r="AG11" s="91">
        <v>0</v>
      </c>
      <c r="AH11" s="91">
        <v>0</v>
      </c>
      <c r="AI11" s="87">
        <f t="shared" si="7"/>
        <v>4</v>
      </c>
      <c r="AJ11" s="77" t="s">
        <v>57</v>
      </c>
      <c r="AK11" s="77" t="s">
        <v>58</v>
      </c>
      <c r="AL11" s="77"/>
      <c r="AM11" s="77"/>
    </row>
    <row r="12" spans="2:39" s="65" customFormat="1" ht="15.9" customHeight="1">
      <c r="B12" s="75">
        <f>SUBTOTAL(3,C$4:$C12)</f>
        <v>9</v>
      </c>
      <c r="C12" s="76" t="s">
        <v>72</v>
      </c>
      <c r="D12" s="77">
        <v>2010</v>
      </c>
      <c r="E12" s="77" t="s">
        <v>67</v>
      </c>
      <c r="F12" s="77">
        <v>2</v>
      </c>
      <c r="G12" s="77" t="s">
        <v>56</v>
      </c>
      <c r="H12" s="77" t="s">
        <v>56</v>
      </c>
      <c r="I12" s="79">
        <f t="shared" si="0"/>
        <v>2</v>
      </c>
      <c r="J12" s="77">
        <v>2</v>
      </c>
      <c r="K12" s="77" t="s">
        <v>56</v>
      </c>
      <c r="L12" s="77" t="s">
        <v>56</v>
      </c>
      <c r="M12" s="77">
        <f t="shared" si="1"/>
        <v>2</v>
      </c>
      <c r="N12" s="81">
        <f t="shared" si="2"/>
        <v>2</v>
      </c>
      <c r="O12" s="82" t="str">
        <f t="shared" si="3"/>
        <v>-</v>
      </c>
      <c r="P12" s="83">
        <v>2</v>
      </c>
      <c r="Q12" s="83">
        <v>0</v>
      </c>
      <c r="R12" s="83">
        <v>0</v>
      </c>
      <c r="S12" s="79">
        <f t="shared" si="4"/>
        <v>2</v>
      </c>
      <c r="T12" s="84">
        <v>2</v>
      </c>
      <c r="U12" s="84">
        <v>0</v>
      </c>
      <c r="V12" s="84">
        <v>0</v>
      </c>
      <c r="W12" s="85">
        <f t="shared" si="5"/>
        <v>2</v>
      </c>
      <c r="X12" s="86">
        <v>2</v>
      </c>
      <c r="Y12" s="86">
        <v>0</v>
      </c>
      <c r="Z12" s="86">
        <v>0</v>
      </c>
      <c r="AA12" s="88">
        <v>2</v>
      </c>
      <c r="AB12" s="89">
        <v>2</v>
      </c>
      <c r="AC12" s="89">
        <v>0</v>
      </c>
      <c r="AD12" s="89">
        <v>0</v>
      </c>
      <c r="AE12" s="90">
        <f t="shared" si="6"/>
        <v>2</v>
      </c>
      <c r="AF12" s="91">
        <v>2</v>
      </c>
      <c r="AG12" s="91">
        <v>0</v>
      </c>
      <c r="AH12" s="91">
        <v>0</v>
      </c>
      <c r="AI12" s="87">
        <f t="shared" si="7"/>
        <v>2</v>
      </c>
      <c r="AJ12" s="77" t="s">
        <v>57</v>
      </c>
      <c r="AK12" s="77" t="s">
        <v>58</v>
      </c>
      <c r="AL12" s="77"/>
      <c r="AM12" s="77"/>
    </row>
    <row r="13" spans="2:39" s="65" customFormat="1" ht="15.9" customHeight="1">
      <c r="B13" s="75">
        <f>SUBTOTAL(3,C$4:$C13)</f>
        <v>10</v>
      </c>
      <c r="C13" s="76" t="s">
        <v>73</v>
      </c>
      <c r="D13" s="77">
        <v>2010</v>
      </c>
      <c r="E13" s="77" t="s">
        <v>63</v>
      </c>
      <c r="F13" s="77">
        <v>1</v>
      </c>
      <c r="G13" s="77" t="s">
        <v>56</v>
      </c>
      <c r="H13" s="77" t="s">
        <v>56</v>
      </c>
      <c r="I13" s="79">
        <f t="shared" si="0"/>
        <v>1</v>
      </c>
      <c r="J13" s="77">
        <v>2</v>
      </c>
      <c r="K13" s="77" t="s">
        <v>56</v>
      </c>
      <c r="L13" s="77" t="s">
        <v>56</v>
      </c>
      <c r="M13" s="77">
        <f t="shared" si="1"/>
        <v>2</v>
      </c>
      <c r="N13" s="81">
        <f t="shared" si="2"/>
        <v>2</v>
      </c>
      <c r="O13" s="82" t="str">
        <f t="shared" si="3"/>
        <v>-</v>
      </c>
      <c r="P13" s="83">
        <v>2</v>
      </c>
      <c r="Q13" s="83">
        <v>0</v>
      </c>
      <c r="R13" s="83">
        <v>0</v>
      </c>
      <c r="S13" s="79">
        <f t="shared" si="4"/>
        <v>2</v>
      </c>
      <c r="T13" s="84">
        <v>2</v>
      </c>
      <c r="U13" s="84">
        <v>0</v>
      </c>
      <c r="V13" s="84">
        <v>0</v>
      </c>
      <c r="W13" s="85">
        <f t="shared" si="5"/>
        <v>2</v>
      </c>
      <c r="X13" s="86">
        <v>2</v>
      </c>
      <c r="Y13" s="86">
        <v>0</v>
      </c>
      <c r="Z13" s="86">
        <v>0</v>
      </c>
      <c r="AA13" s="88">
        <v>2</v>
      </c>
      <c r="AB13" s="89">
        <v>2</v>
      </c>
      <c r="AC13" s="89">
        <v>0</v>
      </c>
      <c r="AD13" s="89">
        <v>0</v>
      </c>
      <c r="AE13" s="90">
        <f t="shared" si="6"/>
        <v>2</v>
      </c>
      <c r="AF13" s="91">
        <v>2</v>
      </c>
      <c r="AG13" s="91">
        <v>0</v>
      </c>
      <c r="AH13" s="91">
        <v>0</v>
      </c>
      <c r="AI13" s="87">
        <f t="shared" si="7"/>
        <v>2</v>
      </c>
      <c r="AJ13" s="77" t="s">
        <v>57</v>
      </c>
      <c r="AK13" s="77" t="s">
        <v>58</v>
      </c>
      <c r="AL13" s="77"/>
      <c r="AM13" s="77"/>
    </row>
    <row r="14" spans="2:39" s="65" customFormat="1" ht="15.9" customHeight="1">
      <c r="B14" s="75">
        <f>SUBTOTAL(3,C$4:$C14)</f>
        <v>11</v>
      </c>
      <c r="C14" s="76" t="s">
        <v>74</v>
      </c>
      <c r="D14" s="77">
        <v>2018</v>
      </c>
      <c r="E14" s="77" t="s">
        <v>60</v>
      </c>
      <c r="F14" s="77">
        <v>4</v>
      </c>
      <c r="G14" s="77" t="s">
        <v>56</v>
      </c>
      <c r="H14" s="77" t="s">
        <v>56</v>
      </c>
      <c r="I14" s="79">
        <f t="shared" si="0"/>
        <v>4</v>
      </c>
      <c r="J14" s="77">
        <v>4</v>
      </c>
      <c r="K14" s="77" t="s">
        <v>56</v>
      </c>
      <c r="L14" s="77" t="s">
        <v>56</v>
      </c>
      <c r="M14" s="77">
        <f t="shared" si="1"/>
        <v>4</v>
      </c>
      <c r="N14" s="81">
        <f t="shared" si="2"/>
        <v>4</v>
      </c>
      <c r="O14" s="82" t="str">
        <f t="shared" si="3"/>
        <v>-</v>
      </c>
      <c r="P14" s="83">
        <v>4</v>
      </c>
      <c r="Q14" s="83">
        <v>0</v>
      </c>
      <c r="R14" s="83">
        <v>0</v>
      </c>
      <c r="S14" s="79">
        <f t="shared" si="4"/>
        <v>4</v>
      </c>
      <c r="T14" s="84">
        <v>4</v>
      </c>
      <c r="U14" s="84">
        <v>0</v>
      </c>
      <c r="V14" s="84">
        <v>0</v>
      </c>
      <c r="W14" s="85">
        <f t="shared" si="5"/>
        <v>4</v>
      </c>
      <c r="X14" s="86">
        <v>4</v>
      </c>
      <c r="Y14" s="86">
        <v>0</v>
      </c>
      <c r="Z14" s="86">
        <v>0</v>
      </c>
      <c r="AA14" s="88">
        <v>4</v>
      </c>
      <c r="AB14" s="89">
        <v>4</v>
      </c>
      <c r="AC14" s="89">
        <v>0</v>
      </c>
      <c r="AD14" s="89">
        <v>0</v>
      </c>
      <c r="AE14" s="90">
        <f t="shared" si="6"/>
        <v>4</v>
      </c>
      <c r="AF14" s="91">
        <v>4</v>
      </c>
      <c r="AG14" s="91">
        <v>0</v>
      </c>
      <c r="AH14" s="91">
        <v>0</v>
      </c>
      <c r="AI14" s="87">
        <f t="shared" si="7"/>
        <v>4</v>
      </c>
      <c r="AJ14" s="77" t="s">
        <v>57</v>
      </c>
      <c r="AK14" s="77" t="s">
        <v>58</v>
      </c>
      <c r="AL14" s="77"/>
      <c r="AM14" s="77"/>
    </row>
    <row r="15" spans="2:39" s="65" customFormat="1" ht="15.9" customHeight="1">
      <c r="B15" s="75">
        <f>SUBTOTAL(3,C$4:$C15)</f>
        <v>12</v>
      </c>
      <c r="C15" s="76" t="s">
        <v>75</v>
      </c>
      <c r="D15" s="77">
        <v>2010</v>
      </c>
      <c r="E15" s="77" t="s">
        <v>60</v>
      </c>
      <c r="F15" s="77">
        <v>4</v>
      </c>
      <c r="G15" s="77" t="s">
        <v>56</v>
      </c>
      <c r="H15" s="77" t="s">
        <v>56</v>
      </c>
      <c r="I15" s="79">
        <f t="shared" si="0"/>
        <v>4</v>
      </c>
      <c r="J15" s="77">
        <v>4</v>
      </c>
      <c r="K15" s="77" t="s">
        <v>56</v>
      </c>
      <c r="L15" s="77" t="s">
        <v>56</v>
      </c>
      <c r="M15" s="77">
        <f t="shared" si="1"/>
        <v>4</v>
      </c>
      <c r="N15" s="81">
        <f t="shared" si="2"/>
        <v>4</v>
      </c>
      <c r="O15" s="82" t="str">
        <f t="shared" si="3"/>
        <v>-</v>
      </c>
      <c r="P15" s="83">
        <v>4</v>
      </c>
      <c r="Q15" s="83">
        <v>0</v>
      </c>
      <c r="R15" s="83">
        <v>0</v>
      </c>
      <c r="S15" s="79">
        <f t="shared" si="4"/>
        <v>4</v>
      </c>
      <c r="T15" s="84">
        <v>4</v>
      </c>
      <c r="U15" s="84">
        <v>0</v>
      </c>
      <c r="V15" s="84">
        <v>0</v>
      </c>
      <c r="W15" s="85">
        <f t="shared" si="5"/>
        <v>4</v>
      </c>
      <c r="X15" s="86">
        <v>4</v>
      </c>
      <c r="Y15" s="86">
        <v>0</v>
      </c>
      <c r="Z15" s="86">
        <v>0</v>
      </c>
      <c r="AA15" s="88">
        <v>4</v>
      </c>
      <c r="AB15" s="89">
        <v>4</v>
      </c>
      <c r="AC15" s="89">
        <v>0</v>
      </c>
      <c r="AD15" s="89">
        <v>0</v>
      </c>
      <c r="AE15" s="90">
        <f t="shared" si="6"/>
        <v>4</v>
      </c>
      <c r="AF15" s="91">
        <v>4</v>
      </c>
      <c r="AG15" s="91">
        <v>0</v>
      </c>
      <c r="AH15" s="91">
        <v>0</v>
      </c>
      <c r="AI15" s="87">
        <f t="shared" si="7"/>
        <v>4</v>
      </c>
      <c r="AJ15" s="77" t="s">
        <v>57</v>
      </c>
      <c r="AK15" s="77" t="s">
        <v>58</v>
      </c>
      <c r="AL15" s="77"/>
      <c r="AM15" s="77"/>
    </row>
    <row r="16" spans="2:39" s="65" customFormat="1" ht="15.9" customHeight="1">
      <c r="B16" s="75">
        <f>SUBTOTAL(3,C$4:$C16)</f>
        <v>13</v>
      </c>
      <c r="C16" s="76" t="s">
        <v>76</v>
      </c>
      <c r="D16" s="77">
        <v>2010</v>
      </c>
      <c r="E16" s="77" t="s">
        <v>60</v>
      </c>
      <c r="F16" s="77">
        <v>5</v>
      </c>
      <c r="G16" s="77" t="s">
        <v>56</v>
      </c>
      <c r="H16" s="77" t="s">
        <v>56</v>
      </c>
      <c r="I16" s="79">
        <f t="shared" si="0"/>
        <v>5</v>
      </c>
      <c r="J16" s="77">
        <v>5</v>
      </c>
      <c r="K16" s="77" t="s">
        <v>56</v>
      </c>
      <c r="L16" s="77" t="s">
        <v>56</v>
      </c>
      <c r="M16" s="77">
        <f t="shared" si="1"/>
        <v>5</v>
      </c>
      <c r="N16" s="81">
        <f t="shared" si="2"/>
        <v>5</v>
      </c>
      <c r="O16" s="82" t="str">
        <f t="shared" si="3"/>
        <v>-</v>
      </c>
      <c r="P16" s="83">
        <v>5</v>
      </c>
      <c r="Q16" s="83">
        <v>0</v>
      </c>
      <c r="R16" s="83">
        <v>0</v>
      </c>
      <c r="S16" s="79">
        <f t="shared" si="4"/>
        <v>5</v>
      </c>
      <c r="T16" s="84">
        <v>4</v>
      </c>
      <c r="U16" s="84">
        <v>1</v>
      </c>
      <c r="V16" s="84">
        <v>0</v>
      </c>
      <c r="W16" s="85">
        <f t="shared" si="5"/>
        <v>5</v>
      </c>
      <c r="X16" s="86">
        <v>5</v>
      </c>
      <c r="Y16" s="86">
        <v>0</v>
      </c>
      <c r="Z16" s="86">
        <v>0</v>
      </c>
      <c r="AA16" s="88">
        <v>5</v>
      </c>
      <c r="AB16" s="89">
        <v>5</v>
      </c>
      <c r="AC16" s="89">
        <v>0</v>
      </c>
      <c r="AD16" s="89">
        <v>0</v>
      </c>
      <c r="AE16" s="90">
        <f t="shared" si="6"/>
        <v>5</v>
      </c>
      <c r="AF16" s="93">
        <v>4</v>
      </c>
      <c r="AG16" s="93">
        <v>1</v>
      </c>
      <c r="AH16" s="91">
        <v>0</v>
      </c>
      <c r="AI16" s="87">
        <f t="shared" si="7"/>
        <v>5</v>
      </c>
      <c r="AJ16" s="77" t="s">
        <v>57</v>
      </c>
      <c r="AK16" s="77" t="s">
        <v>58</v>
      </c>
      <c r="AL16" s="77" t="s">
        <v>589</v>
      </c>
      <c r="AM16" s="77"/>
    </row>
    <row r="17" spans="2:39" s="65" customFormat="1" ht="15.9" customHeight="1">
      <c r="B17" s="75">
        <f>SUBTOTAL(3,C$4:$C17)</f>
        <v>14</v>
      </c>
      <c r="C17" s="76" t="s">
        <v>77</v>
      </c>
      <c r="D17" s="77">
        <v>2025</v>
      </c>
      <c r="E17" s="77" t="s">
        <v>60</v>
      </c>
      <c r="F17" s="77" t="s">
        <v>56</v>
      </c>
      <c r="G17" s="77" t="s">
        <v>56</v>
      </c>
      <c r="H17" s="77" t="s">
        <v>56</v>
      </c>
      <c r="I17" s="79" t="str">
        <f t="shared" si="0"/>
        <v>-</v>
      </c>
      <c r="J17" s="77">
        <v>1</v>
      </c>
      <c r="K17" s="77" t="s">
        <v>56</v>
      </c>
      <c r="L17" s="77" t="s">
        <v>56</v>
      </c>
      <c r="M17" s="77">
        <f t="shared" si="1"/>
        <v>1</v>
      </c>
      <c r="N17" s="81">
        <f t="shared" si="2"/>
        <v>1</v>
      </c>
      <c r="O17" s="82" t="str">
        <f t="shared" si="3"/>
        <v>-</v>
      </c>
      <c r="P17" s="83">
        <v>1</v>
      </c>
      <c r="Q17" s="83">
        <v>0</v>
      </c>
      <c r="R17" s="83">
        <v>0</v>
      </c>
      <c r="S17" s="79">
        <f t="shared" si="4"/>
        <v>1</v>
      </c>
      <c r="T17" s="84">
        <v>1</v>
      </c>
      <c r="U17" s="84">
        <v>0</v>
      </c>
      <c r="V17" s="84">
        <v>0</v>
      </c>
      <c r="W17" s="85">
        <f t="shared" si="5"/>
        <v>1</v>
      </c>
      <c r="X17" s="86">
        <v>1</v>
      </c>
      <c r="Y17" s="86">
        <v>0</v>
      </c>
      <c r="Z17" s="86">
        <v>0</v>
      </c>
      <c r="AA17" s="88">
        <v>1</v>
      </c>
      <c r="AB17" s="89">
        <v>1</v>
      </c>
      <c r="AC17" s="89">
        <v>0</v>
      </c>
      <c r="AD17" s="89">
        <v>0</v>
      </c>
      <c r="AE17" s="90">
        <f t="shared" si="6"/>
        <v>1</v>
      </c>
      <c r="AF17" s="91">
        <v>1</v>
      </c>
      <c r="AG17" s="91">
        <v>0</v>
      </c>
      <c r="AH17" s="91">
        <v>0</v>
      </c>
      <c r="AI17" s="87">
        <f t="shared" si="7"/>
        <v>1</v>
      </c>
      <c r="AJ17" s="77" t="s">
        <v>57</v>
      </c>
      <c r="AK17" s="77" t="s">
        <v>58</v>
      </c>
      <c r="AL17" s="77"/>
      <c r="AM17" s="95">
        <v>45763</v>
      </c>
    </row>
    <row r="18" spans="2:39" s="65" customFormat="1" ht="15.9" customHeight="1">
      <c r="B18" s="75">
        <f>SUBTOTAL(3,C$4:$C18)</f>
        <v>15</v>
      </c>
      <c r="C18" s="76" t="s">
        <v>501</v>
      </c>
      <c r="D18" s="77"/>
      <c r="E18" s="77"/>
      <c r="F18" s="77" t="s">
        <v>56</v>
      </c>
      <c r="G18" s="77" t="s">
        <v>56</v>
      </c>
      <c r="H18" s="77" t="s">
        <v>56</v>
      </c>
      <c r="I18" s="79" t="str">
        <f t="shared" si="0"/>
        <v>-</v>
      </c>
      <c r="J18" s="77">
        <v>2</v>
      </c>
      <c r="K18" s="77" t="s">
        <v>56</v>
      </c>
      <c r="L18" s="77" t="s">
        <v>56</v>
      </c>
      <c r="M18" s="77">
        <f t="shared" si="1"/>
        <v>2</v>
      </c>
      <c r="N18" s="81">
        <f t="shared" si="2"/>
        <v>2</v>
      </c>
      <c r="O18" s="82" t="str">
        <f t="shared" si="3"/>
        <v>-</v>
      </c>
      <c r="P18" s="83">
        <v>2</v>
      </c>
      <c r="Q18" s="83">
        <v>0</v>
      </c>
      <c r="R18" s="83">
        <v>0</v>
      </c>
      <c r="S18" s="79">
        <f t="shared" si="4"/>
        <v>2</v>
      </c>
      <c r="T18" s="84">
        <v>2</v>
      </c>
      <c r="U18" s="84">
        <v>0</v>
      </c>
      <c r="V18" s="84">
        <v>0</v>
      </c>
      <c r="W18" s="85">
        <f t="shared" si="5"/>
        <v>2</v>
      </c>
      <c r="X18" s="86">
        <v>2</v>
      </c>
      <c r="Y18" s="86">
        <v>0</v>
      </c>
      <c r="Z18" s="86">
        <v>0</v>
      </c>
      <c r="AA18" s="88">
        <v>2</v>
      </c>
      <c r="AB18" s="89">
        <v>2</v>
      </c>
      <c r="AC18" s="89">
        <v>0</v>
      </c>
      <c r="AD18" s="89">
        <v>0</v>
      </c>
      <c r="AE18" s="90">
        <f t="shared" si="6"/>
        <v>2</v>
      </c>
      <c r="AF18" s="91">
        <v>2</v>
      </c>
      <c r="AG18" s="91">
        <v>0</v>
      </c>
      <c r="AH18" s="91">
        <v>0</v>
      </c>
      <c r="AI18" s="87">
        <f t="shared" si="7"/>
        <v>2</v>
      </c>
      <c r="AJ18" s="77" t="s">
        <v>57</v>
      </c>
      <c r="AK18" s="77" t="s">
        <v>58</v>
      </c>
      <c r="AL18" s="77"/>
      <c r="AM18" s="95"/>
    </row>
    <row r="19" spans="2:39" s="65" customFormat="1" ht="15.9" customHeight="1">
      <c r="B19" s="75">
        <f>SUBTOTAL(3,C$4:$C19)</f>
        <v>16</v>
      </c>
      <c r="C19" s="76" t="s">
        <v>54</v>
      </c>
      <c r="D19" s="77">
        <v>2010</v>
      </c>
      <c r="E19" s="77" t="s">
        <v>55</v>
      </c>
      <c r="F19" s="77">
        <v>8</v>
      </c>
      <c r="G19" s="77" t="s">
        <v>56</v>
      </c>
      <c r="H19" s="77" t="s">
        <v>56</v>
      </c>
      <c r="I19" s="79">
        <f t="shared" si="0"/>
        <v>8</v>
      </c>
      <c r="J19" s="77">
        <v>8</v>
      </c>
      <c r="K19" s="77" t="s">
        <v>56</v>
      </c>
      <c r="L19" s="77" t="s">
        <v>56</v>
      </c>
      <c r="M19" s="77">
        <f t="shared" si="1"/>
        <v>8</v>
      </c>
      <c r="N19" s="81">
        <f t="shared" si="2"/>
        <v>8</v>
      </c>
      <c r="O19" s="82" t="str">
        <f t="shared" si="3"/>
        <v>-</v>
      </c>
      <c r="P19" s="83">
        <v>8</v>
      </c>
      <c r="Q19" s="83">
        <v>0</v>
      </c>
      <c r="R19" s="83">
        <v>0</v>
      </c>
      <c r="S19" s="79">
        <f t="shared" si="4"/>
        <v>8</v>
      </c>
      <c r="T19" s="84">
        <v>8</v>
      </c>
      <c r="U19" s="84">
        <v>0</v>
      </c>
      <c r="V19" s="84">
        <v>0</v>
      </c>
      <c r="W19" s="85">
        <f t="shared" si="5"/>
        <v>8</v>
      </c>
      <c r="X19" s="86">
        <v>8</v>
      </c>
      <c r="Y19" s="86">
        <v>0</v>
      </c>
      <c r="Z19" s="86">
        <v>0</v>
      </c>
      <c r="AA19" s="88">
        <v>8</v>
      </c>
      <c r="AB19" s="89">
        <v>8</v>
      </c>
      <c r="AC19" s="89">
        <v>0</v>
      </c>
      <c r="AD19" s="89">
        <v>0</v>
      </c>
      <c r="AE19" s="90">
        <f t="shared" si="6"/>
        <v>8</v>
      </c>
      <c r="AF19" s="91">
        <v>8</v>
      </c>
      <c r="AG19" s="91">
        <v>0</v>
      </c>
      <c r="AH19" s="91">
        <v>0</v>
      </c>
      <c r="AI19" s="87">
        <f t="shared" si="7"/>
        <v>8</v>
      </c>
      <c r="AJ19" s="77" t="s">
        <v>57</v>
      </c>
      <c r="AK19" s="77" t="s">
        <v>78</v>
      </c>
      <c r="AL19" s="77"/>
      <c r="AM19" s="77"/>
    </row>
    <row r="20" spans="2:39" s="65" customFormat="1" ht="15.9" customHeight="1">
      <c r="B20" s="75">
        <f>SUBTOTAL(3,C$4:$C20)</f>
        <v>17</v>
      </c>
      <c r="C20" s="76" t="s">
        <v>59</v>
      </c>
      <c r="D20" s="77">
        <v>2015</v>
      </c>
      <c r="E20" s="77" t="s">
        <v>60</v>
      </c>
      <c r="F20" s="77">
        <v>8</v>
      </c>
      <c r="G20" s="77" t="s">
        <v>56</v>
      </c>
      <c r="H20" s="77" t="s">
        <v>56</v>
      </c>
      <c r="I20" s="79">
        <f t="shared" si="0"/>
        <v>8</v>
      </c>
      <c r="J20" s="77">
        <v>8</v>
      </c>
      <c r="K20" s="77" t="s">
        <v>56</v>
      </c>
      <c r="L20" s="77" t="s">
        <v>56</v>
      </c>
      <c r="M20" s="77">
        <f t="shared" si="1"/>
        <v>8</v>
      </c>
      <c r="N20" s="81">
        <f t="shared" si="2"/>
        <v>8</v>
      </c>
      <c r="O20" s="82" t="str">
        <f t="shared" si="3"/>
        <v>-</v>
      </c>
      <c r="P20" s="83">
        <v>8</v>
      </c>
      <c r="Q20" s="83">
        <v>0</v>
      </c>
      <c r="R20" s="83">
        <v>0</v>
      </c>
      <c r="S20" s="79">
        <f t="shared" si="4"/>
        <v>8</v>
      </c>
      <c r="T20" s="84">
        <v>8</v>
      </c>
      <c r="U20" s="84">
        <v>0</v>
      </c>
      <c r="V20" s="84">
        <v>0</v>
      </c>
      <c r="W20" s="85">
        <f t="shared" si="5"/>
        <v>8</v>
      </c>
      <c r="X20" s="86">
        <v>8</v>
      </c>
      <c r="Y20" s="86">
        <v>0</v>
      </c>
      <c r="Z20" s="86">
        <v>0</v>
      </c>
      <c r="AA20" s="88">
        <v>8</v>
      </c>
      <c r="AB20" s="89">
        <v>8</v>
      </c>
      <c r="AC20" s="89">
        <v>0</v>
      </c>
      <c r="AD20" s="89">
        <v>0</v>
      </c>
      <c r="AE20" s="90">
        <f t="shared" si="6"/>
        <v>8</v>
      </c>
      <c r="AF20" s="91">
        <v>8</v>
      </c>
      <c r="AG20" s="91">
        <v>0</v>
      </c>
      <c r="AH20" s="91">
        <v>0</v>
      </c>
      <c r="AI20" s="87">
        <f t="shared" si="7"/>
        <v>8</v>
      </c>
      <c r="AJ20" s="77" t="s">
        <v>57</v>
      </c>
      <c r="AK20" s="77" t="s">
        <v>78</v>
      </c>
      <c r="AL20" s="77"/>
      <c r="AM20" s="77"/>
    </row>
    <row r="21" spans="2:39" s="65" customFormat="1" ht="15.9" customHeight="1">
      <c r="B21" s="75">
        <f>SUBTOTAL(3,C$4:$C21)</f>
        <v>18</v>
      </c>
      <c r="C21" s="76" t="s">
        <v>61</v>
      </c>
      <c r="D21" s="78" t="s">
        <v>62</v>
      </c>
      <c r="E21" s="77" t="s">
        <v>63</v>
      </c>
      <c r="F21" s="77">
        <v>8</v>
      </c>
      <c r="G21" s="77" t="s">
        <v>56</v>
      </c>
      <c r="H21" s="77" t="s">
        <v>56</v>
      </c>
      <c r="I21" s="79">
        <f t="shared" si="0"/>
        <v>8</v>
      </c>
      <c r="J21" s="77">
        <v>8</v>
      </c>
      <c r="K21" s="77" t="s">
        <v>56</v>
      </c>
      <c r="L21" s="77" t="s">
        <v>56</v>
      </c>
      <c r="M21" s="77">
        <f t="shared" si="1"/>
        <v>8</v>
      </c>
      <c r="N21" s="81">
        <f t="shared" si="2"/>
        <v>8</v>
      </c>
      <c r="O21" s="82" t="str">
        <f t="shared" si="3"/>
        <v>-</v>
      </c>
      <c r="P21" s="83">
        <v>8</v>
      </c>
      <c r="Q21" s="83">
        <v>0</v>
      </c>
      <c r="R21" s="83">
        <v>0</v>
      </c>
      <c r="S21" s="79">
        <f t="shared" si="4"/>
        <v>8</v>
      </c>
      <c r="T21" s="84">
        <v>8</v>
      </c>
      <c r="U21" s="84">
        <v>0</v>
      </c>
      <c r="V21" s="84">
        <v>0</v>
      </c>
      <c r="W21" s="85">
        <f t="shared" si="5"/>
        <v>8</v>
      </c>
      <c r="X21" s="86">
        <v>8</v>
      </c>
      <c r="Y21" s="86">
        <v>0</v>
      </c>
      <c r="Z21" s="86">
        <v>0</v>
      </c>
      <c r="AA21" s="88">
        <v>8</v>
      </c>
      <c r="AB21" s="89">
        <v>8</v>
      </c>
      <c r="AC21" s="89">
        <v>0</v>
      </c>
      <c r="AD21" s="89">
        <v>0</v>
      </c>
      <c r="AE21" s="90">
        <f t="shared" si="6"/>
        <v>8</v>
      </c>
      <c r="AF21" s="91">
        <v>8</v>
      </c>
      <c r="AG21" s="91">
        <v>0</v>
      </c>
      <c r="AH21" s="91">
        <v>0</v>
      </c>
      <c r="AI21" s="87">
        <f t="shared" si="7"/>
        <v>8</v>
      </c>
      <c r="AJ21" s="77" t="s">
        <v>57</v>
      </c>
      <c r="AK21" s="77" t="s">
        <v>78</v>
      </c>
      <c r="AL21" s="77"/>
      <c r="AM21" s="77"/>
    </row>
    <row r="22" spans="2:39" s="65" customFormat="1" ht="15.9" customHeight="1">
      <c r="B22" s="75">
        <f>SUBTOTAL(3,C$4:$C22)</f>
        <v>19</v>
      </c>
      <c r="C22" s="76" t="s">
        <v>64</v>
      </c>
      <c r="D22" s="78" t="s">
        <v>62</v>
      </c>
      <c r="E22" s="77" t="s">
        <v>63</v>
      </c>
      <c r="F22" s="77">
        <v>8</v>
      </c>
      <c r="G22" s="77" t="s">
        <v>56</v>
      </c>
      <c r="H22" s="77" t="s">
        <v>56</v>
      </c>
      <c r="I22" s="79">
        <f t="shared" si="0"/>
        <v>8</v>
      </c>
      <c r="J22" s="77">
        <v>8</v>
      </c>
      <c r="K22" s="77" t="s">
        <v>56</v>
      </c>
      <c r="L22" s="77" t="s">
        <v>56</v>
      </c>
      <c r="M22" s="77">
        <f t="shared" si="1"/>
        <v>8</v>
      </c>
      <c r="N22" s="81">
        <f t="shared" si="2"/>
        <v>8</v>
      </c>
      <c r="O22" s="82" t="str">
        <f t="shared" si="3"/>
        <v>-</v>
      </c>
      <c r="P22" s="83">
        <v>8</v>
      </c>
      <c r="Q22" s="83">
        <v>0</v>
      </c>
      <c r="R22" s="83">
        <v>0</v>
      </c>
      <c r="S22" s="79">
        <f t="shared" si="4"/>
        <v>8</v>
      </c>
      <c r="T22" s="84">
        <v>8</v>
      </c>
      <c r="U22" s="84">
        <v>0</v>
      </c>
      <c r="V22" s="84">
        <v>0</v>
      </c>
      <c r="W22" s="85">
        <f t="shared" si="5"/>
        <v>8</v>
      </c>
      <c r="X22" s="86">
        <v>8</v>
      </c>
      <c r="Y22" s="86">
        <v>0</v>
      </c>
      <c r="Z22" s="86">
        <v>0</v>
      </c>
      <c r="AA22" s="88">
        <v>8</v>
      </c>
      <c r="AB22" s="89">
        <v>8</v>
      </c>
      <c r="AC22" s="89">
        <v>0</v>
      </c>
      <c r="AD22" s="89">
        <v>0</v>
      </c>
      <c r="AE22" s="90">
        <f t="shared" si="6"/>
        <v>8</v>
      </c>
      <c r="AF22" s="91">
        <v>8</v>
      </c>
      <c r="AG22" s="91">
        <v>0</v>
      </c>
      <c r="AH22" s="91">
        <v>0</v>
      </c>
      <c r="AI22" s="87">
        <f t="shared" si="7"/>
        <v>8</v>
      </c>
      <c r="AJ22" s="77" t="s">
        <v>57</v>
      </c>
      <c r="AK22" s="77" t="s">
        <v>78</v>
      </c>
      <c r="AL22" s="77"/>
      <c r="AM22" s="77"/>
    </row>
    <row r="23" spans="2:39" s="65" customFormat="1" ht="15.9" customHeight="1">
      <c r="B23" s="75">
        <f>SUBTOTAL(3,C$4:$C23)</f>
        <v>20</v>
      </c>
      <c r="C23" s="76" t="s">
        <v>65</v>
      </c>
      <c r="D23" s="77" t="s">
        <v>66</v>
      </c>
      <c r="E23" s="77" t="s">
        <v>67</v>
      </c>
      <c r="F23" s="77">
        <v>8</v>
      </c>
      <c r="G23" s="77" t="s">
        <v>56</v>
      </c>
      <c r="H23" s="77" t="s">
        <v>56</v>
      </c>
      <c r="I23" s="79">
        <f t="shared" si="0"/>
        <v>8</v>
      </c>
      <c r="J23" s="77">
        <v>8</v>
      </c>
      <c r="K23" s="77" t="s">
        <v>56</v>
      </c>
      <c r="L23" s="77" t="s">
        <v>56</v>
      </c>
      <c r="M23" s="77">
        <f t="shared" si="1"/>
        <v>8</v>
      </c>
      <c r="N23" s="81">
        <f t="shared" si="2"/>
        <v>8</v>
      </c>
      <c r="O23" s="82" t="str">
        <f t="shared" si="3"/>
        <v>-</v>
      </c>
      <c r="P23" s="83">
        <v>8</v>
      </c>
      <c r="Q23" s="83">
        <v>0</v>
      </c>
      <c r="R23" s="83">
        <v>0</v>
      </c>
      <c r="S23" s="79">
        <f t="shared" si="4"/>
        <v>8</v>
      </c>
      <c r="T23" s="84">
        <v>8</v>
      </c>
      <c r="U23" s="84">
        <v>0</v>
      </c>
      <c r="V23" s="84">
        <v>0</v>
      </c>
      <c r="W23" s="85">
        <f t="shared" si="5"/>
        <v>8</v>
      </c>
      <c r="X23" s="86">
        <v>8</v>
      </c>
      <c r="Y23" s="86">
        <v>0</v>
      </c>
      <c r="Z23" s="86">
        <v>0</v>
      </c>
      <c r="AA23" s="88">
        <v>8</v>
      </c>
      <c r="AB23" s="89">
        <v>8</v>
      </c>
      <c r="AC23" s="89">
        <v>0</v>
      </c>
      <c r="AD23" s="89">
        <v>0</v>
      </c>
      <c r="AE23" s="90">
        <f t="shared" si="6"/>
        <v>8</v>
      </c>
      <c r="AF23" s="91">
        <v>8</v>
      </c>
      <c r="AG23" s="91">
        <v>0</v>
      </c>
      <c r="AH23" s="91">
        <v>0</v>
      </c>
      <c r="AI23" s="87">
        <f t="shared" si="7"/>
        <v>8</v>
      </c>
      <c r="AJ23" s="77" t="s">
        <v>57</v>
      </c>
      <c r="AK23" s="77" t="s">
        <v>78</v>
      </c>
      <c r="AL23" s="77"/>
      <c r="AM23" s="77"/>
    </row>
    <row r="24" spans="2:39" s="65" customFormat="1" ht="15.9" customHeight="1">
      <c r="B24" s="75">
        <f>SUBTOTAL(3,C$4:$C24)</f>
        <v>21</v>
      </c>
      <c r="C24" s="76" t="s">
        <v>68</v>
      </c>
      <c r="D24" s="77">
        <v>2010</v>
      </c>
      <c r="E24" s="77" t="s">
        <v>55</v>
      </c>
      <c r="F24" s="77">
        <v>4</v>
      </c>
      <c r="G24" s="77" t="s">
        <v>56</v>
      </c>
      <c r="H24" s="77" t="s">
        <v>56</v>
      </c>
      <c r="I24" s="79">
        <f t="shared" si="0"/>
        <v>4</v>
      </c>
      <c r="J24" s="77">
        <v>4</v>
      </c>
      <c r="K24" s="77" t="s">
        <v>56</v>
      </c>
      <c r="L24" s="77" t="s">
        <v>56</v>
      </c>
      <c r="M24" s="77">
        <f t="shared" si="1"/>
        <v>4</v>
      </c>
      <c r="N24" s="81">
        <f t="shared" si="2"/>
        <v>4</v>
      </c>
      <c r="O24" s="82" t="str">
        <f t="shared" si="3"/>
        <v>-</v>
      </c>
      <c r="P24" s="83">
        <v>4</v>
      </c>
      <c r="Q24" s="83">
        <v>0</v>
      </c>
      <c r="R24" s="83">
        <v>0</v>
      </c>
      <c r="S24" s="79">
        <f t="shared" si="4"/>
        <v>4</v>
      </c>
      <c r="T24" s="84">
        <v>4</v>
      </c>
      <c r="U24" s="84">
        <v>0</v>
      </c>
      <c r="V24" s="84">
        <v>0</v>
      </c>
      <c r="W24" s="85">
        <f t="shared" si="5"/>
        <v>4</v>
      </c>
      <c r="X24" s="86">
        <v>4</v>
      </c>
      <c r="Y24" s="86">
        <v>0</v>
      </c>
      <c r="Z24" s="86">
        <v>0</v>
      </c>
      <c r="AA24" s="88">
        <v>4</v>
      </c>
      <c r="AB24" s="89">
        <v>4</v>
      </c>
      <c r="AC24" s="89">
        <v>0</v>
      </c>
      <c r="AD24" s="89">
        <v>0</v>
      </c>
      <c r="AE24" s="90">
        <f t="shared" si="6"/>
        <v>4</v>
      </c>
      <c r="AF24" s="91">
        <v>4</v>
      </c>
      <c r="AG24" s="91">
        <v>0</v>
      </c>
      <c r="AH24" s="91">
        <v>0</v>
      </c>
      <c r="AI24" s="87">
        <f t="shared" si="7"/>
        <v>4</v>
      </c>
      <c r="AJ24" s="77" t="s">
        <v>57</v>
      </c>
      <c r="AK24" s="77" t="s">
        <v>78</v>
      </c>
      <c r="AL24" s="77"/>
      <c r="AM24" s="77"/>
    </row>
    <row r="25" spans="2:39" s="65" customFormat="1" ht="15.9" customHeight="1">
      <c r="B25" s="75">
        <f>SUBTOTAL(3,C$4:$C25)</f>
        <v>22</v>
      </c>
      <c r="C25" s="76" t="s">
        <v>79</v>
      </c>
      <c r="D25" s="77">
        <v>2015</v>
      </c>
      <c r="E25" s="77" t="s">
        <v>55</v>
      </c>
      <c r="F25" s="77">
        <v>4</v>
      </c>
      <c r="G25" s="77" t="s">
        <v>56</v>
      </c>
      <c r="H25" s="77">
        <v>1</v>
      </c>
      <c r="I25" s="79">
        <f t="shared" si="0"/>
        <v>4</v>
      </c>
      <c r="J25" s="77">
        <v>4</v>
      </c>
      <c r="K25" s="77" t="s">
        <v>56</v>
      </c>
      <c r="L25" s="77">
        <v>1</v>
      </c>
      <c r="M25" s="77">
        <f t="shared" si="1"/>
        <v>5</v>
      </c>
      <c r="N25" s="81">
        <f t="shared" si="2"/>
        <v>4</v>
      </c>
      <c r="O25" s="82">
        <f t="shared" si="3"/>
        <v>1</v>
      </c>
      <c r="P25" s="83">
        <v>4</v>
      </c>
      <c r="Q25" s="83">
        <v>1</v>
      </c>
      <c r="R25" s="83">
        <v>0</v>
      </c>
      <c r="S25" s="79">
        <f t="shared" si="4"/>
        <v>5</v>
      </c>
      <c r="T25" s="84">
        <v>4</v>
      </c>
      <c r="U25" s="84">
        <v>1</v>
      </c>
      <c r="V25" s="84">
        <v>0</v>
      </c>
      <c r="W25" s="85">
        <f t="shared" si="5"/>
        <v>5</v>
      </c>
      <c r="X25" s="86">
        <v>3</v>
      </c>
      <c r="Y25" s="86">
        <v>2</v>
      </c>
      <c r="Z25" s="86">
        <v>0</v>
      </c>
      <c r="AA25" s="88">
        <v>5</v>
      </c>
      <c r="AB25" s="89">
        <v>4</v>
      </c>
      <c r="AC25" s="89">
        <v>1</v>
      </c>
      <c r="AD25" s="89">
        <v>0</v>
      </c>
      <c r="AE25" s="90">
        <f t="shared" si="6"/>
        <v>5</v>
      </c>
      <c r="AF25" s="91">
        <v>4</v>
      </c>
      <c r="AG25" s="91">
        <v>1</v>
      </c>
      <c r="AH25" s="91">
        <v>0</v>
      </c>
      <c r="AI25" s="87">
        <f t="shared" si="7"/>
        <v>5</v>
      </c>
      <c r="AJ25" s="77" t="s">
        <v>57</v>
      </c>
      <c r="AK25" s="77" t="s">
        <v>78</v>
      </c>
      <c r="AL25" s="77" t="s">
        <v>80</v>
      </c>
      <c r="AM25" s="77"/>
    </row>
    <row r="26" spans="2:39" s="65" customFormat="1" ht="15.9" customHeight="1">
      <c r="B26" s="75">
        <f>SUBTOTAL(3,C$4:$C26)</f>
        <v>23</v>
      </c>
      <c r="C26" s="76" t="s">
        <v>70</v>
      </c>
      <c r="D26" s="77">
        <v>2010</v>
      </c>
      <c r="E26" s="77" t="s">
        <v>71</v>
      </c>
      <c r="F26" s="77">
        <v>4</v>
      </c>
      <c r="G26" s="77" t="s">
        <v>56</v>
      </c>
      <c r="H26" s="77" t="s">
        <v>56</v>
      </c>
      <c r="I26" s="79">
        <f t="shared" si="0"/>
        <v>4</v>
      </c>
      <c r="J26" s="77">
        <v>4</v>
      </c>
      <c r="K26" s="77" t="s">
        <v>56</v>
      </c>
      <c r="L26" s="77" t="s">
        <v>56</v>
      </c>
      <c r="M26" s="77">
        <f t="shared" si="1"/>
        <v>4</v>
      </c>
      <c r="N26" s="81">
        <f t="shared" si="2"/>
        <v>4</v>
      </c>
      <c r="O26" s="82" t="str">
        <f t="shared" si="3"/>
        <v>-</v>
      </c>
      <c r="P26" s="83">
        <v>4</v>
      </c>
      <c r="Q26" s="83">
        <v>0</v>
      </c>
      <c r="R26" s="83">
        <v>0</v>
      </c>
      <c r="S26" s="79">
        <f t="shared" si="4"/>
        <v>4</v>
      </c>
      <c r="T26" s="84">
        <v>4</v>
      </c>
      <c r="U26" s="84">
        <v>0</v>
      </c>
      <c r="V26" s="84">
        <v>0</v>
      </c>
      <c r="W26" s="85">
        <f t="shared" si="5"/>
        <v>4</v>
      </c>
      <c r="X26" s="86">
        <v>4</v>
      </c>
      <c r="Y26" s="86">
        <v>0</v>
      </c>
      <c r="Z26" s="86">
        <v>0</v>
      </c>
      <c r="AA26" s="88">
        <v>4</v>
      </c>
      <c r="AB26" s="89">
        <v>4</v>
      </c>
      <c r="AC26" s="89">
        <v>0</v>
      </c>
      <c r="AD26" s="89">
        <v>0</v>
      </c>
      <c r="AE26" s="90">
        <f t="shared" si="6"/>
        <v>4</v>
      </c>
      <c r="AF26" s="91">
        <v>4</v>
      </c>
      <c r="AG26" s="91">
        <v>0</v>
      </c>
      <c r="AH26" s="91">
        <v>0</v>
      </c>
      <c r="AI26" s="87">
        <f t="shared" si="7"/>
        <v>4</v>
      </c>
      <c r="AJ26" s="77" t="s">
        <v>57</v>
      </c>
      <c r="AK26" s="77" t="s">
        <v>78</v>
      </c>
      <c r="AL26" s="77"/>
      <c r="AM26" s="77"/>
    </row>
    <row r="27" spans="2:39" s="65" customFormat="1" ht="15.9" customHeight="1">
      <c r="B27" s="75">
        <f>SUBTOTAL(3,C$4:$C27)</f>
        <v>24</v>
      </c>
      <c r="C27" s="76" t="s">
        <v>72</v>
      </c>
      <c r="D27" s="77">
        <v>2010</v>
      </c>
      <c r="E27" s="77" t="s">
        <v>67</v>
      </c>
      <c r="F27" s="77">
        <v>2</v>
      </c>
      <c r="G27" s="77" t="s">
        <v>56</v>
      </c>
      <c r="H27" s="77" t="s">
        <v>56</v>
      </c>
      <c r="I27" s="79">
        <f t="shared" si="0"/>
        <v>2</v>
      </c>
      <c r="J27" s="77">
        <v>2</v>
      </c>
      <c r="K27" s="77" t="s">
        <v>56</v>
      </c>
      <c r="L27" s="77" t="s">
        <v>56</v>
      </c>
      <c r="M27" s="77">
        <f t="shared" si="1"/>
        <v>2</v>
      </c>
      <c r="N27" s="81">
        <f t="shared" si="2"/>
        <v>2</v>
      </c>
      <c r="O27" s="82" t="str">
        <f t="shared" si="3"/>
        <v>-</v>
      </c>
      <c r="P27" s="83">
        <v>2</v>
      </c>
      <c r="Q27" s="83">
        <v>0</v>
      </c>
      <c r="R27" s="83">
        <v>0</v>
      </c>
      <c r="S27" s="79">
        <f t="shared" si="4"/>
        <v>2</v>
      </c>
      <c r="T27" s="84">
        <v>2</v>
      </c>
      <c r="U27" s="84">
        <v>0</v>
      </c>
      <c r="V27" s="84">
        <v>0</v>
      </c>
      <c r="W27" s="85">
        <f t="shared" si="5"/>
        <v>2</v>
      </c>
      <c r="X27" s="86">
        <v>2</v>
      </c>
      <c r="Y27" s="86">
        <v>0</v>
      </c>
      <c r="Z27" s="86">
        <v>0</v>
      </c>
      <c r="AA27" s="88">
        <v>2</v>
      </c>
      <c r="AB27" s="89">
        <v>2</v>
      </c>
      <c r="AC27" s="89">
        <v>0</v>
      </c>
      <c r="AD27" s="89">
        <v>0</v>
      </c>
      <c r="AE27" s="90">
        <f t="shared" si="6"/>
        <v>2</v>
      </c>
      <c r="AF27" s="91">
        <v>2</v>
      </c>
      <c r="AG27" s="91">
        <v>0</v>
      </c>
      <c r="AH27" s="91">
        <v>0</v>
      </c>
      <c r="AI27" s="87">
        <f t="shared" si="7"/>
        <v>2</v>
      </c>
      <c r="AJ27" s="77" t="s">
        <v>57</v>
      </c>
      <c r="AK27" s="77" t="s">
        <v>78</v>
      </c>
      <c r="AL27" s="77"/>
      <c r="AM27" s="77"/>
    </row>
    <row r="28" spans="2:39" s="65" customFormat="1" ht="15.9" customHeight="1">
      <c r="B28" s="75">
        <f>SUBTOTAL(3,C$4:$C28)</f>
        <v>25</v>
      </c>
      <c r="C28" s="76" t="s">
        <v>73</v>
      </c>
      <c r="D28" s="77">
        <v>2010</v>
      </c>
      <c r="E28" s="77" t="s">
        <v>63</v>
      </c>
      <c r="F28" s="77">
        <v>1</v>
      </c>
      <c r="G28" s="77" t="s">
        <v>56</v>
      </c>
      <c r="H28" s="77" t="s">
        <v>56</v>
      </c>
      <c r="I28" s="79">
        <f t="shared" si="0"/>
        <v>1</v>
      </c>
      <c r="J28" s="77">
        <v>2</v>
      </c>
      <c r="K28" s="77" t="s">
        <v>56</v>
      </c>
      <c r="L28" s="77" t="s">
        <v>56</v>
      </c>
      <c r="M28" s="77">
        <f t="shared" si="1"/>
        <v>2</v>
      </c>
      <c r="N28" s="81">
        <f t="shared" si="2"/>
        <v>2</v>
      </c>
      <c r="O28" s="82" t="str">
        <f t="shared" si="3"/>
        <v>-</v>
      </c>
      <c r="P28" s="83">
        <v>2</v>
      </c>
      <c r="Q28" s="83">
        <v>0</v>
      </c>
      <c r="R28" s="83">
        <v>0</v>
      </c>
      <c r="S28" s="79">
        <f t="shared" si="4"/>
        <v>2</v>
      </c>
      <c r="T28" s="84">
        <v>2</v>
      </c>
      <c r="U28" s="84">
        <v>0</v>
      </c>
      <c r="V28" s="84">
        <v>0</v>
      </c>
      <c r="W28" s="85">
        <f t="shared" si="5"/>
        <v>2</v>
      </c>
      <c r="X28" s="86">
        <v>2</v>
      </c>
      <c r="Y28" s="86">
        <v>0</v>
      </c>
      <c r="Z28" s="86">
        <v>0</v>
      </c>
      <c r="AA28" s="88">
        <v>2</v>
      </c>
      <c r="AB28" s="89">
        <v>2</v>
      </c>
      <c r="AC28" s="89">
        <v>0</v>
      </c>
      <c r="AD28" s="89">
        <v>0</v>
      </c>
      <c r="AE28" s="90">
        <f t="shared" si="6"/>
        <v>2</v>
      </c>
      <c r="AF28" s="91">
        <v>2</v>
      </c>
      <c r="AG28" s="91">
        <v>0</v>
      </c>
      <c r="AH28" s="91">
        <v>0</v>
      </c>
      <c r="AI28" s="87">
        <f t="shared" si="7"/>
        <v>2</v>
      </c>
      <c r="AJ28" s="77" t="s">
        <v>57</v>
      </c>
      <c r="AK28" s="77" t="s">
        <v>78</v>
      </c>
      <c r="AL28" s="77"/>
      <c r="AM28" s="77"/>
    </row>
    <row r="29" spans="2:39" s="65" customFormat="1" ht="15.9" customHeight="1">
      <c r="B29" s="75">
        <f>SUBTOTAL(3,C$4:$C29)</f>
        <v>26</v>
      </c>
      <c r="C29" s="76" t="s">
        <v>74</v>
      </c>
      <c r="D29" s="77">
        <v>2018</v>
      </c>
      <c r="E29" s="77" t="s">
        <v>60</v>
      </c>
      <c r="F29" s="77">
        <v>4</v>
      </c>
      <c r="G29" s="77" t="s">
        <v>56</v>
      </c>
      <c r="H29" s="77" t="s">
        <v>56</v>
      </c>
      <c r="I29" s="79">
        <f t="shared" si="0"/>
        <v>4</v>
      </c>
      <c r="J29" s="77">
        <v>4</v>
      </c>
      <c r="K29" s="77" t="s">
        <v>56</v>
      </c>
      <c r="L29" s="77" t="s">
        <v>56</v>
      </c>
      <c r="M29" s="77">
        <f t="shared" si="1"/>
        <v>4</v>
      </c>
      <c r="N29" s="81">
        <f t="shared" si="2"/>
        <v>4</v>
      </c>
      <c r="O29" s="82" t="str">
        <f t="shared" si="3"/>
        <v>-</v>
      </c>
      <c r="P29" s="83">
        <v>4</v>
      </c>
      <c r="Q29" s="83">
        <v>0</v>
      </c>
      <c r="R29" s="83">
        <v>0</v>
      </c>
      <c r="S29" s="79">
        <f t="shared" si="4"/>
        <v>4</v>
      </c>
      <c r="T29" s="84">
        <v>4</v>
      </c>
      <c r="U29" s="84">
        <v>0</v>
      </c>
      <c r="V29" s="84">
        <v>0</v>
      </c>
      <c r="W29" s="85">
        <f t="shared" si="5"/>
        <v>4</v>
      </c>
      <c r="X29" s="86">
        <v>4</v>
      </c>
      <c r="Y29" s="86">
        <v>0</v>
      </c>
      <c r="Z29" s="86">
        <v>0</v>
      </c>
      <c r="AA29" s="88">
        <v>4</v>
      </c>
      <c r="AB29" s="89">
        <v>4</v>
      </c>
      <c r="AC29" s="89">
        <v>0</v>
      </c>
      <c r="AD29" s="89">
        <v>0</v>
      </c>
      <c r="AE29" s="90">
        <f t="shared" si="6"/>
        <v>4</v>
      </c>
      <c r="AF29" s="91">
        <v>4</v>
      </c>
      <c r="AG29" s="91">
        <v>0</v>
      </c>
      <c r="AH29" s="91">
        <v>0</v>
      </c>
      <c r="AI29" s="87">
        <f t="shared" si="7"/>
        <v>4</v>
      </c>
      <c r="AJ29" s="77" t="s">
        <v>57</v>
      </c>
      <c r="AK29" s="77" t="s">
        <v>78</v>
      </c>
      <c r="AL29" s="77"/>
      <c r="AM29" s="77"/>
    </row>
    <row r="30" spans="2:39" s="65" customFormat="1" ht="15.9" customHeight="1">
      <c r="B30" s="75">
        <f>SUBTOTAL(3,C$4:$C30)</f>
        <v>27</v>
      </c>
      <c r="C30" s="76" t="s">
        <v>75</v>
      </c>
      <c r="D30" s="77">
        <v>2010</v>
      </c>
      <c r="E30" s="77" t="s">
        <v>60</v>
      </c>
      <c r="F30" s="77">
        <v>4</v>
      </c>
      <c r="G30" s="77" t="s">
        <v>56</v>
      </c>
      <c r="H30" s="77" t="s">
        <v>56</v>
      </c>
      <c r="I30" s="79">
        <f t="shared" si="0"/>
        <v>4</v>
      </c>
      <c r="J30" s="77">
        <v>4</v>
      </c>
      <c r="K30" s="77" t="s">
        <v>56</v>
      </c>
      <c r="L30" s="77" t="s">
        <v>56</v>
      </c>
      <c r="M30" s="77">
        <f t="shared" si="1"/>
        <v>4</v>
      </c>
      <c r="N30" s="81">
        <f t="shared" si="2"/>
        <v>4</v>
      </c>
      <c r="O30" s="82" t="str">
        <f t="shared" si="3"/>
        <v>-</v>
      </c>
      <c r="P30" s="83">
        <v>4</v>
      </c>
      <c r="Q30" s="83">
        <v>0</v>
      </c>
      <c r="R30" s="83">
        <v>0</v>
      </c>
      <c r="S30" s="79">
        <f t="shared" si="4"/>
        <v>4</v>
      </c>
      <c r="T30" s="84">
        <v>4</v>
      </c>
      <c r="U30" s="84">
        <v>0</v>
      </c>
      <c r="V30" s="84">
        <v>0</v>
      </c>
      <c r="W30" s="85">
        <f t="shared" si="5"/>
        <v>4</v>
      </c>
      <c r="X30" s="86">
        <v>4</v>
      </c>
      <c r="Y30" s="86">
        <v>0</v>
      </c>
      <c r="Z30" s="86">
        <v>0</v>
      </c>
      <c r="AA30" s="88">
        <v>4</v>
      </c>
      <c r="AB30" s="89">
        <v>4</v>
      </c>
      <c r="AC30" s="89">
        <v>0</v>
      </c>
      <c r="AD30" s="89">
        <v>0</v>
      </c>
      <c r="AE30" s="90">
        <f t="shared" si="6"/>
        <v>4</v>
      </c>
      <c r="AF30" s="91">
        <v>4</v>
      </c>
      <c r="AG30" s="91">
        <v>0</v>
      </c>
      <c r="AH30" s="91">
        <v>0</v>
      </c>
      <c r="AI30" s="87">
        <f t="shared" si="7"/>
        <v>4</v>
      </c>
      <c r="AJ30" s="77" t="s">
        <v>57</v>
      </c>
      <c r="AK30" s="77" t="s">
        <v>78</v>
      </c>
      <c r="AL30" s="77"/>
      <c r="AM30" s="77"/>
    </row>
    <row r="31" spans="2:39" s="65" customFormat="1" ht="15.9" customHeight="1">
      <c r="B31" s="75">
        <f>SUBTOTAL(3,C$4:$C31)</f>
        <v>28</v>
      </c>
      <c r="C31" s="76" t="s">
        <v>76</v>
      </c>
      <c r="D31" s="77">
        <v>2010</v>
      </c>
      <c r="E31" s="77" t="s">
        <v>60</v>
      </c>
      <c r="F31" s="77">
        <v>5</v>
      </c>
      <c r="G31" s="77" t="s">
        <v>56</v>
      </c>
      <c r="H31" s="77" t="s">
        <v>56</v>
      </c>
      <c r="I31" s="79">
        <f t="shared" si="0"/>
        <v>5</v>
      </c>
      <c r="J31" s="77">
        <v>5</v>
      </c>
      <c r="K31" s="77" t="s">
        <v>56</v>
      </c>
      <c r="L31" s="77" t="s">
        <v>56</v>
      </c>
      <c r="M31" s="77">
        <f t="shared" si="1"/>
        <v>5</v>
      </c>
      <c r="N31" s="81">
        <f t="shared" si="2"/>
        <v>5</v>
      </c>
      <c r="O31" s="82" t="str">
        <f t="shared" si="3"/>
        <v>-</v>
      </c>
      <c r="P31" s="83">
        <v>5</v>
      </c>
      <c r="Q31" s="83">
        <v>0</v>
      </c>
      <c r="R31" s="83">
        <v>0</v>
      </c>
      <c r="S31" s="79">
        <f t="shared" si="4"/>
        <v>5</v>
      </c>
      <c r="T31" s="84">
        <v>4</v>
      </c>
      <c r="U31" s="84">
        <v>1</v>
      </c>
      <c r="V31" s="84">
        <v>0</v>
      </c>
      <c r="W31" s="85">
        <f t="shared" si="5"/>
        <v>5</v>
      </c>
      <c r="X31" s="86">
        <v>5</v>
      </c>
      <c r="Y31" s="86">
        <v>0</v>
      </c>
      <c r="Z31" s="86">
        <v>0</v>
      </c>
      <c r="AA31" s="88">
        <v>5</v>
      </c>
      <c r="AB31" s="89">
        <v>5</v>
      </c>
      <c r="AC31" s="89">
        <v>0</v>
      </c>
      <c r="AD31" s="89">
        <v>0</v>
      </c>
      <c r="AE31" s="90">
        <f t="shared" si="6"/>
        <v>5</v>
      </c>
      <c r="AF31" s="91">
        <v>5</v>
      </c>
      <c r="AG31" s="91">
        <v>0</v>
      </c>
      <c r="AH31" s="91">
        <v>0</v>
      </c>
      <c r="AI31" s="87">
        <f t="shared" si="7"/>
        <v>5</v>
      </c>
      <c r="AJ31" s="77" t="s">
        <v>57</v>
      </c>
      <c r="AK31" s="77" t="s">
        <v>78</v>
      </c>
      <c r="AL31" s="77" t="s">
        <v>589</v>
      </c>
      <c r="AM31" s="77"/>
    </row>
    <row r="32" spans="2:39" s="65" customFormat="1" ht="15.9" customHeight="1">
      <c r="B32" s="75">
        <f>SUBTOTAL(3,C$4:$C32)</f>
        <v>29</v>
      </c>
      <c r="C32" s="76" t="s">
        <v>77</v>
      </c>
      <c r="D32" s="77">
        <v>2025</v>
      </c>
      <c r="E32" s="77" t="s">
        <v>60</v>
      </c>
      <c r="F32" s="77" t="s">
        <v>56</v>
      </c>
      <c r="G32" s="77" t="s">
        <v>56</v>
      </c>
      <c r="H32" s="77" t="s">
        <v>56</v>
      </c>
      <c r="I32" s="79" t="str">
        <f t="shared" si="0"/>
        <v>-</v>
      </c>
      <c r="J32" s="77">
        <v>1</v>
      </c>
      <c r="K32" s="77" t="s">
        <v>56</v>
      </c>
      <c r="L32" s="77" t="s">
        <v>56</v>
      </c>
      <c r="M32" s="77">
        <f t="shared" si="1"/>
        <v>1</v>
      </c>
      <c r="N32" s="81">
        <f t="shared" si="2"/>
        <v>1</v>
      </c>
      <c r="O32" s="82" t="str">
        <f t="shared" si="3"/>
        <v>-</v>
      </c>
      <c r="P32" s="83">
        <v>1</v>
      </c>
      <c r="Q32" s="83">
        <v>0</v>
      </c>
      <c r="R32" s="83">
        <v>0</v>
      </c>
      <c r="S32" s="79">
        <f t="shared" si="4"/>
        <v>1</v>
      </c>
      <c r="T32" s="84">
        <v>1</v>
      </c>
      <c r="U32" s="84">
        <v>0</v>
      </c>
      <c r="V32" s="84">
        <v>0</v>
      </c>
      <c r="W32" s="85">
        <f t="shared" si="5"/>
        <v>1</v>
      </c>
      <c r="X32" s="86">
        <v>1</v>
      </c>
      <c r="Y32" s="86">
        <v>0</v>
      </c>
      <c r="Z32" s="86">
        <v>0</v>
      </c>
      <c r="AA32" s="88">
        <v>1</v>
      </c>
      <c r="AB32" s="89">
        <v>1</v>
      </c>
      <c r="AC32" s="89">
        <v>0</v>
      </c>
      <c r="AD32" s="89">
        <v>0</v>
      </c>
      <c r="AE32" s="90">
        <f t="shared" si="6"/>
        <v>1</v>
      </c>
      <c r="AF32" s="91">
        <v>1</v>
      </c>
      <c r="AG32" s="91">
        <v>0</v>
      </c>
      <c r="AH32" s="91">
        <v>0</v>
      </c>
      <c r="AI32" s="87">
        <f t="shared" si="7"/>
        <v>1</v>
      </c>
      <c r="AJ32" s="77" t="s">
        <v>57</v>
      </c>
      <c r="AK32" s="77" t="s">
        <v>78</v>
      </c>
      <c r="AL32" s="77"/>
      <c r="AM32" s="95">
        <v>45763</v>
      </c>
    </row>
    <row r="33" spans="2:39" s="65" customFormat="1" ht="15.9" customHeight="1">
      <c r="B33" s="75">
        <f>SUBTOTAL(3,C$4:$C33)</f>
        <v>30</v>
      </c>
      <c r="C33" s="76" t="s">
        <v>501</v>
      </c>
      <c r="D33" s="77"/>
      <c r="E33" s="77"/>
      <c r="F33" s="77" t="s">
        <v>56</v>
      </c>
      <c r="G33" s="77" t="s">
        <v>56</v>
      </c>
      <c r="H33" s="77" t="s">
        <v>56</v>
      </c>
      <c r="I33" s="79" t="str">
        <f t="shared" si="0"/>
        <v>-</v>
      </c>
      <c r="J33" s="77">
        <v>2</v>
      </c>
      <c r="K33" s="77" t="s">
        <v>56</v>
      </c>
      <c r="L33" s="77" t="s">
        <v>56</v>
      </c>
      <c r="M33" s="77">
        <f t="shared" si="1"/>
        <v>2</v>
      </c>
      <c r="N33" s="81">
        <f t="shared" si="2"/>
        <v>2</v>
      </c>
      <c r="O33" s="82" t="str">
        <f t="shared" si="3"/>
        <v>-</v>
      </c>
      <c r="P33" s="83">
        <v>2</v>
      </c>
      <c r="Q33" s="83">
        <v>0</v>
      </c>
      <c r="R33" s="83">
        <v>0</v>
      </c>
      <c r="S33" s="79">
        <f t="shared" si="4"/>
        <v>2</v>
      </c>
      <c r="T33" s="84">
        <v>2</v>
      </c>
      <c r="U33" s="84">
        <v>0</v>
      </c>
      <c r="V33" s="84">
        <v>0</v>
      </c>
      <c r="W33" s="85">
        <f t="shared" si="5"/>
        <v>2</v>
      </c>
      <c r="X33" s="86">
        <v>2</v>
      </c>
      <c r="Y33" s="86">
        <v>0</v>
      </c>
      <c r="Z33" s="86">
        <v>0</v>
      </c>
      <c r="AA33" s="88">
        <v>2</v>
      </c>
      <c r="AB33" s="89">
        <v>2</v>
      </c>
      <c r="AC33" s="89">
        <v>0</v>
      </c>
      <c r="AD33" s="89">
        <v>0</v>
      </c>
      <c r="AE33" s="90">
        <f t="shared" si="6"/>
        <v>2</v>
      </c>
      <c r="AF33" s="91">
        <v>2</v>
      </c>
      <c r="AG33" s="91">
        <v>0</v>
      </c>
      <c r="AH33" s="91">
        <v>0</v>
      </c>
      <c r="AI33" s="87">
        <f t="shared" si="7"/>
        <v>2</v>
      </c>
      <c r="AJ33" s="77" t="s">
        <v>57</v>
      </c>
      <c r="AK33" s="77" t="s">
        <v>78</v>
      </c>
      <c r="AL33" s="77"/>
      <c r="AM33" s="95"/>
    </row>
    <row r="34" spans="2:39" s="65" customFormat="1" ht="15.9" customHeight="1">
      <c r="B34" s="75">
        <f>SUBTOTAL(3,C$4:$C34)</f>
        <v>31</v>
      </c>
      <c r="C34" s="76" t="s">
        <v>54</v>
      </c>
      <c r="D34" s="77">
        <v>2010</v>
      </c>
      <c r="E34" s="77" t="s">
        <v>55</v>
      </c>
      <c r="F34" s="77">
        <v>8</v>
      </c>
      <c r="G34" s="77" t="s">
        <v>56</v>
      </c>
      <c r="H34" s="77" t="s">
        <v>56</v>
      </c>
      <c r="I34" s="79">
        <f t="shared" si="0"/>
        <v>8</v>
      </c>
      <c r="J34" s="77">
        <v>8</v>
      </c>
      <c r="K34" s="77" t="s">
        <v>56</v>
      </c>
      <c r="L34" s="77" t="s">
        <v>56</v>
      </c>
      <c r="M34" s="77">
        <f t="shared" si="1"/>
        <v>8</v>
      </c>
      <c r="N34" s="81">
        <f t="shared" si="2"/>
        <v>8</v>
      </c>
      <c r="O34" s="82" t="str">
        <f t="shared" si="3"/>
        <v>-</v>
      </c>
      <c r="P34" s="83">
        <v>8</v>
      </c>
      <c r="Q34" s="83">
        <v>0</v>
      </c>
      <c r="R34" s="83">
        <v>0</v>
      </c>
      <c r="S34" s="79">
        <f t="shared" si="4"/>
        <v>8</v>
      </c>
      <c r="T34" s="84">
        <v>8</v>
      </c>
      <c r="U34" s="84">
        <v>0</v>
      </c>
      <c r="V34" s="84">
        <v>0</v>
      </c>
      <c r="W34" s="85">
        <f t="shared" si="5"/>
        <v>8</v>
      </c>
      <c r="X34" s="86">
        <v>8</v>
      </c>
      <c r="Y34" s="86">
        <v>0</v>
      </c>
      <c r="Z34" s="86">
        <v>0</v>
      </c>
      <c r="AA34" s="88">
        <v>8</v>
      </c>
      <c r="AB34" s="89">
        <v>8</v>
      </c>
      <c r="AC34" s="89">
        <v>0</v>
      </c>
      <c r="AD34" s="89">
        <v>0</v>
      </c>
      <c r="AE34" s="90">
        <f t="shared" si="6"/>
        <v>8</v>
      </c>
      <c r="AF34" s="91">
        <v>8</v>
      </c>
      <c r="AG34" s="91">
        <v>0</v>
      </c>
      <c r="AH34" s="91">
        <v>0</v>
      </c>
      <c r="AI34" s="87">
        <f t="shared" si="7"/>
        <v>8</v>
      </c>
      <c r="AJ34" s="77" t="s">
        <v>57</v>
      </c>
      <c r="AK34" s="77" t="s">
        <v>81</v>
      </c>
      <c r="AL34" s="77"/>
      <c r="AM34" s="77"/>
    </row>
    <row r="35" spans="2:39" s="65" customFormat="1" ht="15.9" customHeight="1">
      <c r="B35" s="75">
        <f>SUBTOTAL(3,C$4:$C35)</f>
        <v>32</v>
      </c>
      <c r="C35" s="76" t="s">
        <v>59</v>
      </c>
      <c r="D35" s="77">
        <v>2015</v>
      </c>
      <c r="E35" s="77" t="s">
        <v>60</v>
      </c>
      <c r="F35" s="77">
        <v>8</v>
      </c>
      <c r="G35" s="77" t="s">
        <v>56</v>
      </c>
      <c r="H35" s="77" t="s">
        <v>56</v>
      </c>
      <c r="I35" s="79">
        <f t="shared" si="0"/>
        <v>8</v>
      </c>
      <c r="J35" s="77">
        <v>8</v>
      </c>
      <c r="K35" s="77" t="s">
        <v>56</v>
      </c>
      <c r="L35" s="77" t="s">
        <v>56</v>
      </c>
      <c r="M35" s="77">
        <f t="shared" si="1"/>
        <v>8</v>
      </c>
      <c r="N35" s="81">
        <f t="shared" si="2"/>
        <v>8</v>
      </c>
      <c r="O35" s="82" t="str">
        <f t="shared" si="3"/>
        <v>-</v>
      </c>
      <c r="P35" s="83">
        <v>8</v>
      </c>
      <c r="Q35" s="83">
        <v>0</v>
      </c>
      <c r="R35" s="83">
        <v>0</v>
      </c>
      <c r="S35" s="79">
        <f t="shared" si="4"/>
        <v>8</v>
      </c>
      <c r="T35" s="84">
        <v>8</v>
      </c>
      <c r="U35" s="84">
        <v>0</v>
      </c>
      <c r="V35" s="84">
        <v>0</v>
      </c>
      <c r="W35" s="85">
        <f t="shared" si="5"/>
        <v>8</v>
      </c>
      <c r="X35" s="86">
        <v>8</v>
      </c>
      <c r="Y35" s="86">
        <v>0</v>
      </c>
      <c r="Z35" s="86">
        <v>0</v>
      </c>
      <c r="AA35" s="88">
        <v>8</v>
      </c>
      <c r="AB35" s="89">
        <v>8</v>
      </c>
      <c r="AC35" s="89">
        <v>0</v>
      </c>
      <c r="AD35" s="89">
        <v>0</v>
      </c>
      <c r="AE35" s="90">
        <f t="shared" si="6"/>
        <v>8</v>
      </c>
      <c r="AF35" s="91">
        <v>8</v>
      </c>
      <c r="AG35" s="91">
        <v>0</v>
      </c>
      <c r="AH35" s="91">
        <v>0</v>
      </c>
      <c r="AI35" s="87">
        <f t="shared" si="7"/>
        <v>8</v>
      </c>
      <c r="AJ35" s="77" t="s">
        <v>57</v>
      </c>
      <c r="AK35" s="77" t="s">
        <v>81</v>
      </c>
      <c r="AL35" s="77"/>
      <c r="AM35" s="77"/>
    </row>
    <row r="36" spans="2:39" s="65" customFormat="1" ht="15.9" customHeight="1">
      <c r="B36" s="75">
        <f>SUBTOTAL(3,C$4:$C36)</f>
        <v>33</v>
      </c>
      <c r="C36" s="76" t="s">
        <v>61</v>
      </c>
      <c r="D36" s="78" t="s">
        <v>62</v>
      </c>
      <c r="E36" s="77" t="s">
        <v>63</v>
      </c>
      <c r="F36" s="77">
        <v>8</v>
      </c>
      <c r="G36" s="77" t="s">
        <v>56</v>
      </c>
      <c r="H36" s="77" t="s">
        <v>56</v>
      </c>
      <c r="I36" s="79">
        <f t="shared" si="0"/>
        <v>8</v>
      </c>
      <c r="J36" s="77">
        <v>8</v>
      </c>
      <c r="K36" s="77" t="s">
        <v>56</v>
      </c>
      <c r="L36" s="77" t="s">
        <v>56</v>
      </c>
      <c r="M36" s="77">
        <f t="shared" si="1"/>
        <v>8</v>
      </c>
      <c r="N36" s="81">
        <f t="shared" si="2"/>
        <v>8</v>
      </c>
      <c r="O36" s="82" t="str">
        <f t="shared" si="3"/>
        <v>-</v>
      </c>
      <c r="P36" s="83">
        <v>8</v>
      </c>
      <c r="Q36" s="83">
        <v>0</v>
      </c>
      <c r="R36" s="83">
        <v>0</v>
      </c>
      <c r="S36" s="79">
        <f t="shared" si="4"/>
        <v>8</v>
      </c>
      <c r="T36" s="84">
        <v>8</v>
      </c>
      <c r="U36" s="84">
        <v>0</v>
      </c>
      <c r="V36" s="84">
        <v>0</v>
      </c>
      <c r="W36" s="85">
        <f t="shared" si="5"/>
        <v>8</v>
      </c>
      <c r="X36" s="86">
        <v>8</v>
      </c>
      <c r="Y36" s="86">
        <v>0</v>
      </c>
      <c r="Z36" s="86">
        <v>0</v>
      </c>
      <c r="AA36" s="88">
        <v>8</v>
      </c>
      <c r="AB36" s="89">
        <v>8</v>
      </c>
      <c r="AC36" s="89">
        <v>0</v>
      </c>
      <c r="AD36" s="89">
        <v>0</v>
      </c>
      <c r="AE36" s="90">
        <f t="shared" si="6"/>
        <v>8</v>
      </c>
      <c r="AF36" s="91">
        <v>8</v>
      </c>
      <c r="AG36" s="91">
        <v>0</v>
      </c>
      <c r="AH36" s="91">
        <v>0</v>
      </c>
      <c r="AI36" s="87">
        <f t="shared" si="7"/>
        <v>8</v>
      </c>
      <c r="AJ36" s="77" t="s">
        <v>57</v>
      </c>
      <c r="AK36" s="77" t="s">
        <v>81</v>
      </c>
      <c r="AL36" s="77"/>
      <c r="AM36" s="77"/>
    </row>
    <row r="37" spans="2:39" s="65" customFormat="1" ht="15.9" customHeight="1">
      <c r="B37" s="75">
        <f>SUBTOTAL(3,C$4:$C37)</f>
        <v>34</v>
      </c>
      <c r="C37" s="76" t="s">
        <v>64</v>
      </c>
      <c r="D37" s="78" t="s">
        <v>62</v>
      </c>
      <c r="E37" s="77" t="s">
        <v>63</v>
      </c>
      <c r="F37" s="77">
        <v>8</v>
      </c>
      <c r="G37" s="77" t="s">
        <v>56</v>
      </c>
      <c r="H37" s="77" t="s">
        <v>56</v>
      </c>
      <c r="I37" s="79">
        <f t="shared" si="0"/>
        <v>8</v>
      </c>
      <c r="J37" s="77">
        <v>8</v>
      </c>
      <c r="K37" s="77" t="s">
        <v>56</v>
      </c>
      <c r="L37" s="77" t="s">
        <v>56</v>
      </c>
      <c r="M37" s="77">
        <f t="shared" si="1"/>
        <v>8</v>
      </c>
      <c r="N37" s="81">
        <f t="shared" si="2"/>
        <v>8</v>
      </c>
      <c r="O37" s="82" t="str">
        <f t="shared" si="3"/>
        <v>-</v>
      </c>
      <c r="P37" s="83">
        <v>8</v>
      </c>
      <c r="Q37" s="83">
        <v>0</v>
      </c>
      <c r="R37" s="83">
        <v>0</v>
      </c>
      <c r="S37" s="79">
        <f t="shared" si="4"/>
        <v>8</v>
      </c>
      <c r="T37" s="84">
        <v>8</v>
      </c>
      <c r="U37" s="84">
        <v>0</v>
      </c>
      <c r="V37" s="84">
        <v>0</v>
      </c>
      <c r="W37" s="85">
        <f t="shared" si="5"/>
        <v>8</v>
      </c>
      <c r="X37" s="86">
        <v>8</v>
      </c>
      <c r="Y37" s="86">
        <v>0</v>
      </c>
      <c r="Z37" s="86">
        <v>0</v>
      </c>
      <c r="AA37" s="88">
        <v>8</v>
      </c>
      <c r="AB37" s="89">
        <v>8</v>
      </c>
      <c r="AC37" s="89">
        <v>0</v>
      </c>
      <c r="AD37" s="89">
        <v>0</v>
      </c>
      <c r="AE37" s="90">
        <f t="shared" si="6"/>
        <v>8</v>
      </c>
      <c r="AF37" s="91">
        <v>8</v>
      </c>
      <c r="AG37" s="91">
        <v>0</v>
      </c>
      <c r="AH37" s="91">
        <v>0</v>
      </c>
      <c r="AI37" s="87">
        <f t="shared" si="7"/>
        <v>8</v>
      </c>
      <c r="AJ37" s="77" t="s">
        <v>57</v>
      </c>
      <c r="AK37" s="77" t="s">
        <v>81</v>
      </c>
      <c r="AL37" s="77"/>
      <c r="AM37" s="77"/>
    </row>
    <row r="38" spans="2:39" s="65" customFormat="1" ht="15.9" customHeight="1">
      <c r="B38" s="75">
        <f>SUBTOTAL(3,C$4:$C38)</f>
        <v>35</v>
      </c>
      <c r="C38" s="76" t="s">
        <v>65</v>
      </c>
      <c r="D38" s="77" t="s">
        <v>66</v>
      </c>
      <c r="E38" s="77" t="s">
        <v>67</v>
      </c>
      <c r="F38" s="77">
        <v>8</v>
      </c>
      <c r="G38" s="77" t="s">
        <v>56</v>
      </c>
      <c r="H38" s="77" t="s">
        <v>56</v>
      </c>
      <c r="I38" s="79">
        <f t="shared" si="0"/>
        <v>8</v>
      </c>
      <c r="J38" s="77">
        <v>8</v>
      </c>
      <c r="K38" s="77" t="s">
        <v>56</v>
      </c>
      <c r="L38" s="77" t="s">
        <v>56</v>
      </c>
      <c r="M38" s="77">
        <f t="shared" si="1"/>
        <v>8</v>
      </c>
      <c r="N38" s="81">
        <f t="shared" si="2"/>
        <v>8</v>
      </c>
      <c r="O38" s="82" t="str">
        <f t="shared" si="3"/>
        <v>-</v>
      </c>
      <c r="P38" s="83">
        <v>8</v>
      </c>
      <c r="Q38" s="83">
        <v>0</v>
      </c>
      <c r="R38" s="83">
        <v>0</v>
      </c>
      <c r="S38" s="79">
        <f t="shared" si="4"/>
        <v>8</v>
      </c>
      <c r="T38" s="84">
        <v>8</v>
      </c>
      <c r="U38" s="84">
        <v>0</v>
      </c>
      <c r="V38" s="84">
        <v>0</v>
      </c>
      <c r="W38" s="85">
        <f t="shared" si="5"/>
        <v>8</v>
      </c>
      <c r="X38" s="86">
        <v>8</v>
      </c>
      <c r="Y38" s="86">
        <v>0</v>
      </c>
      <c r="Z38" s="86">
        <v>0</v>
      </c>
      <c r="AA38" s="88">
        <v>8</v>
      </c>
      <c r="AB38" s="89">
        <v>8</v>
      </c>
      <c r="AC38" s="89">
        <v>0</v>
      </c>
      <c r="AD38" s="89">
        <v>0</v>
      </c>
      <c r="AE38" s="90">
        <f t="shared" si="6"/>
        <v>8</v>
      </c>
      <c r="AF38" s="91">
        <v>8</v>
      </c>
      <c r="AG38" s="91">
        <v>0</v>
      </c>
      <c r="AH38" s="91">
        <v>0</v>
      </c>
      <c r="AI38" s="87">
        <f t="shared" si="7"/>
        <v>8</v>
      </c>
      <c r="AJ38" s="77" t="s">
        <v>57</v>
      </c>
      <c r="AK38" s="77" t="s">
        <v>81</v>
      </c>
      <c r="AL38" s="77"/>
      <c r="AM38" s="77"/>
    </row>
    <row r="39" spans="2:39" s="65" customFormat="1" ht="15.9" customHeight="1">
      <c r="B39" s="75">
        <f>SUBTOTAL(3,C$4:$C39)</f>
        <v>36</v>
      </c>
      <c r="C39" s="76" t="s">
        <v>68</v>
      </c>
      <c r="D39" s="77">
        <v>2010</v>
      </c>
      <c r="E39" s="77" t="s">
        <v>55</v>
      </c>
      <c r="F39" s="77">
        <v>4</v>
      </c>
      <c r="G39" s="77" t="s">
        <v>56</v>
      </c>
      <c r="H39" s="77" t="s">
        <v>56</v>
      </c>
      <c r="I39" s="79">
        <f t="shared" si="0"/>
        <v>4</v>
      </c>
      <c r="J39" s="77">
        <v>4</v>
      </c>
      <c r="K39" s="77" t="s">
        <v>56</v>
      </c>
      <c r="L39" s="77" t="s">
        <v>56</v>
      </c>
      <c r="M39" s="77">
        <f t="shared" si="1"/>
        <v>4</v>
      </c>
      <c r="N39" s="81">
        <f t="shared" si="2"/>
        <v>4</v>
      </c>
      <c r="O39" s="82" t="str">
        <f t="shared" si="3"/>
        <v>-</v>
      </c>
      <c r="P39" s="83">
        <v>4</v>
      </c>
      <c r="Q39" s="83">
        <v>0</v>
      </c>
      <c r="R39" s="83">
        <v>0</v>
      </c>
      <c r="S39" s="79">
        <f t="shared" si="4"/>
        <v>4</v>
      </c>
      <c r="T39" s="84">
        <v>4</v>
      </c>
      <c r="U39" s="84">
        <v>0</v>
      </c>
      <c r="V39" s="84">
        <v>0</v>
      </c>
      <c r="W39" s="85">
        <f t="shared" si="5"/>
        <v>4</v>
      </c>
      <c r="X39" s="86">
        <v>4</v>
      </c>
      <c r="Y39" s="86">
        <v>0</v>
      </c>
      <c r="Z39" s="86">
        <v>0</v>
      </c>
      <c r="AA39" s="88">
        <v>4</v>
      </c>
      <c r="AB39" s="89">
        <v>4</v>
      </c>
      <c r="AC39" s="89">
        <v>0</v>
      </c>
      <c r="AD39" s="89">
        <v>0</v>
      </c>
      <c r="AE39" s="90">
        <f t="shared" si="6"/>
        <v>4</v>
      </c>
      <c r="AF39" s="91">
        <v>4</v>
      </c>
      <c r="AG39" s="91">
        <v>0</v>
      </c>
      <c r="AH39" s="91">
        <v>0</v>
      </c>
      <c r="AI39" s="87">
        <f t="shared" si="7"/>
        <v>4</v>
      </c>
      <c r="AJ39" s="77" t="s">
        <v>57</v>
      </c>
      <c r="AK39" s="77" t="s">
        <v>81</v>
      </c>
      <c r="AL39" s="77"/>
      <c r="AM39" s="77"/>
    </row>
    <row r="40" spans="2:39" s="65" customFormat="1" ht="15.9" customHeight="1">
      <c r="B40" s="75">
        <f>SUBTOTAL(3,C$4:$C40)</f>
        <v>37</v>
      </c>
      <c r="C40" s="76" t="s">
        <v>79</v>
      </c>
      <c r="D40" s="77">
        <v>2015</v>
      </c>
      <c r="E40" s="77" t="s">
        <v>55</v>
      </c>
      <c r="F40" s="77">
        <v>4</v>
      </c>
      <c r="G40" s="77" t="s">
        <v>56</v>
      </c>
      <c r="H40" s="77" t="s">
        <v>56</v>
      </c>
      <c r="I40" s="79">
        <f t="shared" si="0"/>
        <v>4</v>
      </c>
      <c r="J40" s="77">
        <v>4</v>
      </c>
      <c r="K40" s="77" t="s">
        <v>56</v>
      </c>
      <c r="L40" s="77" t="s">
        <v>56</v>
      </c>
      <c r="M40" s="77">
        <f t="shared" si="1"/>
        <v>4</v>
      </c>
      <c r="N40" s="81">
        <f t="shared" si="2"/>
        <v>4</v>
      </c>
      <c r="O40" s="82" t="str">
        <f t="shared" si="3"/>
        <v>-</v>
      </c>
      <c r="P40" s="83">
        <v>4</v>
      </c>
      <c r="Q40" s="83">
        <v>0</v>
      </c>
      <c r="R40" s="83">
        <v>0</v>
      </c>
      <c r="S40" s="79">
        <f t="shared" si="4"/>
        <v>4</v>
      </c>
      <c r="T40" s="84">
        <v>4</v>
      </c>
      <c r="U40" s="84">
        <v>0</v>
      </c>
      <c r="V40" s="84">
        <v>0</v>
      </c>
      <c r="W40" s="85">
        <f t="shared" si="5"/>
        <v>4</v>
      </c>
      <c r="X40" s="86">
        <v>4</v>
      </c>
      <c r="Y40" s="86">
        <v>0</v>
      </c>
      <c r="Z40" s="86">
        <v>0</v>
      </c>
      <c r="AA40" s="88">
        <v>4</v>
      </c>
      <c r="AB40" s="89">
        <v>4</v>
      </c>
      <c r="AC40" s="89">
        <v>0</v>
      </c>
      <c r="AD40" s="89">
        <v>0</v>
      </c>
      <c r="AE40" s="90">
        <f t="shared" si="6"/>
        <v>4</v>
      </c>
      <c r="AF40" s="91">
        <v>4</v>
      </c>
      <c r="AG40" s="91">
        <v>0</v>
      </c>
      <c r="AH40" s="91">
        <v>0</v>
      </c>
      <c r="AI40" s="87">
        <f t="shared" si="7"/>
        <v>4</v>
      </c>
      <c r="AJ40" s="77" t="s">
        <v>57</v>
      </c>
      <c r="AK40" s="77" t="s">
        <v>81</v>
      </c>
      <c r="AL40" s="77"/>
      <c r="AM40" s="77"/>
    </row>
    <row r="41" spans="2:39" s="65" customFormat="1" ht="15.9" customHeight="1">
      <c r="B41" s="75">
        <f>SUBTOTAL(3,C$4:$C41)</f>
        <v>38</v>
      </c>
      <c r="C41" s="76" t="s">
        <v>70</v>
      </c>
      <c r="D41" s="77">
        <v>2010</v>
      </c>
      <c r="E41" s="77" t="s">
        <v>71</v>
      </c>
      <c r="F41" s="77">
        <v>4</v>
      </c>
      <c r="G41" s="77" t="s">
        <v>56</v>
      </c>
      <c r="H41" s="77" t="s">
        <v>56</v>
      </c>
      <c r="I41" s="79">
        <f t="shared" si="0"/>
        <v>4</v>
      </c>
      <c r="J41" s="77">
        <v>4</v>
      </c>
      <c r="K41" s="77" t="s">
        <v>56</v>
      </c>
      <c r="L41" s="77" t="s">
        <v>56</v>
      </c>
      <c r="M41" s="77">
        <f t="shared" si="1"/>
        <v>4</v>
      </c>
      <c r="N41" s="81">
        <f t="shared" si="2"/>
        <v>4</v>
      </c>
      <c r="O41" s="82" t="str">
        <f t="shared" si="3"/>
        <v>-</v>
      </c>
      <c r="P41" s="83">
        <v>4</v>
      </c>
      <c r="Q41" s="83">
        <v>0</v>
      </c>
      <c r="R41" s="83">
        <v>0</v>
      </c>
      <c r="S41" s="79">
        <f t="shared" si="4"/>
        <v>4</v>
      </c>
      <c r="T41" s="84">
        <v>4</v>
      </c>
      <c r="U41" s="84">
        <v>0</v>
      </c>
      <c r="V41" s="84">
        <v>0</v>
      </c>
      <c r="W41" s="85">
        <f t="shared" si="5"/>
        <v>4</v>
      </c>
      <c r="X41" s="86">
        <v>4</v>
      </c>
      <c r="Y41" s="86">
        <v>0</v>
      </c>
      <c r="Z41" s="86">
        <v>0</v>
      </c>
      <c r="AA41" s="88">
        <v>4</v>
      </c>
      <c r="AB41" s="89">
        <v>4</v>
      </c>
      <c r="AC41" s="89">
        <v>0</v>
      </c>
      <c r="AD41" s="89">
        <v>0</v>
      </c>
      <c r="AE41" s="90">
        <f t="shared" si="6"/>
        <v>4</v>
      </c>
      <c r="AF41" s="91">
        <v>4</v>
      </c>
      <c r="AG41" s="91">
        <v>0</v>
      </c>
      <c r="AH41" s="91">
        <v>0</v>
      </c>
      <c r="AI41" s="87">
        <f t="shared" si="7"/>
        <v>4</v>
      </c>
      <c r="AJ41" s="77" t="s">
        <v>57</v>
      </c>
      <c r="AK41" s="77" t="s">
        <v>81</v>
      </c>
      <c r="AL41" s="77"/>
      <c r="AM41" s="77"/>
    </row>
    <row r="42" spans="2:39" s="65" customFormat="1" ht="15.9" customHeight="1">
      <c r="B42" s="75">
        <f>SUBTOTAL(3,C$4:$C42)</f>
        <v>39</v>
      </c>
      <c r="C42" s="76" t="s">
        <v>72</v>
      </c>
      <c r="D42" s="77">
        <v>2010</v>
      </c>
      <c r="E42" s="77" t="s">
        <v>67</v>
      </c>
      <c r="F42" s="77">
        <v>2</v>
      </c>
      <c r="G42" s="77" t="s">
        <v>56</v>
      </c>
      <c r="H42" s="77" t="s">
        <v>56</v>
      </c>
      <c r="I42" s="79">
        <f t="shared" si="0"/>
        <v>2</v>
      </c>
      <c r="J42" s="77">
        <v>2</v>
      </c>
      <c r="K42" s="77" t="s">
        <v>56</v>
      </c>
      <c r="L42" s="77" t="s">
        <v>56</v>
      </c>
      <c r="M42" s="77">
        <f t="shared" si="1"/>
        <v>2</v>
      </c>
      <c r="N42" s="81">
        <f t="shared" si="2"/>
        <v>2</v>
      </c>
      <c r="O42" s="82" t="str">
        <f t="shared" si="3"/>
        <v>-</v>
      </c>
      <c r="P42" s="83">
        <v>2</v>
      </c>
      <c r="Q42" s="83">
        <v>0</v>
      </c>
      <c r="R42" s="83">
        <v>0</v>
      </c>
      <c r="S42" s="79">
        <f t="shared" si="4"/>
        <v>2</v>
      </c>
      <c r="T42" s="84">
        <v>2</v>
      </c>
      <c r="U42" s="84">
        <v>0</v>
      </c>
      <c r="V42" s="84">
        <v>0</v>
      </c>
      <c r="W42" s="85">
        <f t="shared" si="5"/>
        <v>2</v>
      </c>
      <c r="X42" s="86">
        <v>2</v>
      </c>
      <c r="Y42" s="86">
        <v>0</v>
      </c>
      <c r="Z42" s="86">
        <v>0</v>
      </c>
      <c r="AA42" s="88">
        <v>2</v>
      </c>
      <c r="AB42" s="89">
        <v>2</v>
      </c>
      <c r="AC42" s="89">
        <v>0</v>
      </c>
      <c r="AD42" s="89">
        <v>0</v>
      </c>
      <c r="AE42" s="90">
        <f t="shared" si="6"/>
        <v>2</v>
      </c>
      <c r="AF42" s="91">
        <v>2</v>
      </c>
      <c r="AG42" s="91">
        <v>0</v>
      </c>
      <c r="AH42" s="91">
        <v>0</v>
      </c>
      <c r="AI42" s="87">
        <f t="shared" si="7"/>
        <v>2</v>
      </c>
      <c r="AJ42" s="77" t="s">
        <v>57</v>
      </c>
      <c r="AK42" s="77" t="s">
        <v>81</v>
      </c>
      <c r="AL42" s="77"/>
      <c r="AM42" s="77"/>
    </row>
    <row r="43" spans="2:39" s="65" customFormat="1" ht="15.9" customHeight="1">
      <c r="B43" s="75">
        <f>SUBTOTAL(3,C$4:$C43)</f>
        <v>40</v>
      </c>
      <c r="C43" s="76" t="s">
        <v>73</v>
      </c>
      <c r="D43" s="77">
        <v>2010</v>
      </c>
      <c r="E43" s="77" t="s">
        <v>63</v>
      </c>
      <c r="F43" s="77">
        <v>1</v>
      </c>
      <c r="G43" s="77" t="s">
        <v>56</v>
      </c>
      <c r="H43" s="77" t="s">
        <v>56</v>
      </c>
      <c r="I43" s="79">
        <f t="shared" si="0"/>
        <v>1</v>
      </c>
      <c r="J43" s="77">
        <v>2</v>
      </c>
      <c r="K43" s="77" t="s">
        <v>56</v>
      </c>
      <c r="L43" s="77" t="s">
        <v>56</v>
      </c>
      <c r="M43" s="77">
        <f t="shared" si="1"/>
        <v>2</v>
      </c>
      <c r="N43" s="81">
        <f t="shared" si="2"/>
        <v>2</v>
      </c>
      <c r="O43" s="82" t="str">
        <f t="shared" si="3"/>
        <v>-</v>
      </c>
      <c r="P43" s="83">
        <v>2</v>
      </c>
      <c r="Q43" s="83">
        <v>0</v>
      </c>
      <c r="R43" s="83">
        <v>0</v>
      </c>
      <c r="S43" s="79">
        <f t="shared" si="4"/>
        <v>2</v>
      </c>
      <c r="T43" s="84">
        <v>2</v>
      </c>
      <c r="U43" s="84">
        <v>0</v>
      </c>
      <c r="V43" s="84">
        <v>0</v>
      </c>
      <c r="W43" s="85">
        <f t="shared" si="5"/>
        <v>2</v>
      </c>
      <c r="X43" s="86">
        <v>2</v>
      </c>
      <c r="Y43" s="86">
        <v>0</v>
      </c>
      <c r="Z43" s="86">
        <v>0</v>
      </c>
      <c r="AA43" s="88">
        <v>2</v>
      </c>
      <c r="AB43" s="89">
        <v>2</v>
      </c>
      <c r="AC43" s="89">
        <v>0</v>
      </c>
      <c r="AD43" s="89">
        <v>0</v>
      </c>
      <c r="AE43" s="90">
        <f t="shared" si="6"/>
        <v>2</v>
      </c>
      <c r="AF43" s="91">
        <v>2</v>
      </c>
      <c r="AG43" s="91">
        <v>0</v>
      </c>
      <c r="AH43" s="91">
        <v>0</v>
      </c>
      <c r="AI43" s="87">
        <f t="shared" si="7"/>
        <v>2</v>
      </c>
      <c r="AJ43" s="77" t="s">
        <v>57</v>
      </c>
      <c r="AK43" s="77" t="s">
        <v>81</v>
      </c>
      <c r="AL43" s="77"/>
      <c r="AM43" s="77"/>
    </row>
    <row r="44" spans="2:39" s="65" customFormat="1" ht="15.9" customHeight="1">
      <c r="B44" s="75">
        <f>SUBTOTAL(3,C$4:$C44)</f>
        <v>41</v>
      </c>
      <c r="C44" s="76" t="s">
        <v>74</v>
      </c>
      <c r="D44" s="77">
        <v>2018</v>
      </c>
      <c r="E44" s="77" t="s">
        <v>60</v>
      </c>
      <c r="F44" s="77">
        <v>4</v>
      </c>
      <c r="G44" s="77" t="s">
        <v>56</v>
      </c>
      <c r="H44" s="77" t="s">
        <v>56</v>
      </c>
      <c r="I44" s="79">
        <f t="shared" si="0"/>
        <v>4</v>
      </c>
      <c r="J44" s="77">
        <v>4</v>
      </c>
      <c r="K44" s="77" t="s">
        <v>56</v>
      </c>
      <c r="L44" s="77" t="s">
        <v>56</v>
      </c>
      <c r="M44" s="77">
        <f t="shared" si="1"/>
        <v>4</v>
      </c>
      <c r="N44" s="81">
        <f t="shared" si="2"/>
        <v>4</v>
      </c>
      <c r="O44" s="82" t="str">
        <f t="shared" si="3"/>
        <v>-</v>
      </c>
      <c r="P44" s="83">
        <v>4</v>
      </c>
      <c r="Q44" s="83">
        <v>0</v>
      </c>
      <c r="R44" s="83">
        <v>0</v>
      </c>
      <c r="S44" s="79">
        <f t="shared" si="4"/>
        <v>4</v>
      </c>
      <c r="T44" s="84">
        <v>4</v>
      </c>
      <c r="U44" s="84">
        <v>0</v>
      </c>
      <c r="V44" s="84">
        <v>0</v>
      </c>
      <c r="W44" s="85">
        <f t="shared" si="5"/>
        <v>4</v>
      </c>
      <c r="X44" s="86">
        <v>4</v>
      </c>
      <c r="Y44" s="86">
        <v>0</v>
      </c>
      <c r="Z44" s="86">
        <v>0</v>
      </c>
      <c r="AA44" s="88">
        <v>4</v>
      </c>
      <c r="AB44" s="89">
        <v>4</v>
      </c>
      <c r="AC44" s="89">
        <v>0</v>
      </c>
      <c r="AD44" s="89">
        <v>0</v>
      </c>
      <c r="AE44" s="90">
        <f t="shared" si="6"/>
        <v>4</v>
      </c>
      <c r="AF44" s="91">
        <v>4</v>
      </c>
      <c r="AG44" s="91">
        <v>0</v>
      </c>
      <c r="AH44" s="91">
        <v>0</v>
      </c>
      <c r="AI44" s="87">
        <f t="shared" si="7"/>
        <v>4</v>
      </c>
      <c r="AJ44" s="77" t="s">
        <v>57</v>
      </c>
      <c r="AK44" s="77" t="s">
        <v>81</v>
      </c>
      <c r="AL44" s="77"/>
      <c r="AM44" s="77"/>
    </row>
    <row r="45" spans="2:39" s="65" customFormat="1" ht="15.9" customHeight="1">
      <c r="B45" s="75">
        <f>SUBTOTAL(3,C$4:$C45)</f>
        <v>42</v>
      </c>
      <c r="C45" s="76" t="s">
        <v>75</v>
      </c>
      <c r="D45" s="77">
        <v>2010</v>
      </c>
      <c r="E45" s="77" t="s">
        <v>60</v>
      </c>
      <c r="F45" s="77">
        <v>4</v>
      </c>
      <c r="G45" s="77" t="s">
        <v>56</v>
      </c>
      <c r="H45" s="77" t="s">
        <v>56</v>
      </c>
      <c r="I45" s="79">
        <f t="shared" si="0"/>
        <v>4</v>
      </c>
      <c r="J45" s="77">
        <v>4</v>
      </c>
      <c r="K45" s="77" t="s">
        <v>56</v>
      </c>
      <c r="L45" s="77" t="s">
        <v>56</v>
      </c>
      <c r="M45" s="77">
        <f t="shared" si="1"/>
        <v>4</v>
      </c>
      <c r="N45" s="81">
        <f t="shared" si="2"/>
        <v>4</v>
      </c>
      <c r="O45" s="82" t="str">
        <f t="shared" si="3"/>
        <v>-</v>
      </c>
      <c r="P45" s="83">
        <v>4</v>
      </c>
      <c r="Q45" s="83">
        <v>0</v>
      </c>
      <c r="R45" s="83">
        <v>0</v>
      </c>
      <c r="S45" s="79">
        <f t="shared" si="4"/>
        <v>4</v>
      </c>
      <c r="T45" s="84">
        <v>4</v>
      </c>
      <c r="U45" s="84">
        <v>0</v>
      </c>
      <c r="V45" s="84">
        <v>0</v>
      </c>
      <c r="W45" s="85">
        <f t="shared" si="5"/>
        <v>4</v>
      </c>
      <c r="X45" s="86">
        <v>4</v>
      </c>
      <c r="Y45" s="86">
        <v>0</v>
      </c>
      <c r="Z45" s="86">
        <v>0</v>
      </c>
      <c r="AA45" s="88">
        <v>4</v>
      </c>
      <c r="AB45" s="89">
        <v>4</v>
      </c>
      <c r="AC45" s="89">
        <v>0</v>
      </c>
      <c r="AD45" s="89">
        <v>0</v>
      </c>
      <c r="AE45" s="90">
        <f t="shared" si="6"/>
        <v>4</v>
      </c>
      <c r="AF45" s="91">
        <v>4</v>
      </c>
      <c r="AG45" s="91">
        <v>0</v>
      </c>
      <c r="AH45" s="91">
        <v>0</v>
      </c>
      <c r="AI45" s="87">
        <f t="shared" si="7"/>
        <v>4</v>
      </c>
      <c r="AJ45" s="77" t="s">
        <v>57</v>
      </c>
      <c r="AK45" s="77" t="s">
        <v>81</v>
      </c>
      <c r="AL45" s="77"/>
      <c r="AM45" s="77"/>
    </row>
    <row r="46" spans="2:39" s="65" customFormat="1" ht="15.9" customHeight="1">
      <c r="B46" s="75">
        <f>SUBTOTAL(3,C$4:$C46)</f>
        <v>43</v>
      </c>
      <c r="C46" s="76" t="s">
        <v>76</v>
      </c>
      <c r="D46" s="77">
        <v>2010</v>
      </c>
      <c r="E46" s="77" t="s">
        <v>60</v>
      </c>
      <c r="F46" s="77">
        <v>5</v>
      </c>
      <c r="G46" s="77" t="s">
        <v>56</v>
      </c>
      <c r="H46" s="77" t="s">
        <v>56</v>
      </c>
      <c r="I46" s="79">
        <f t="shared" si="0"/>
        <v>5</v>
      </c>
      <c r="J46" s="77">
        <v>5</v>
      </c>
      <c r="K46" s="77" t="s">
        <v>56</v>
      </c>
      <c r="L46" s="77" t="s">
        <v>56</v>
      </c>
      <c r="M46" s="77">
        <f t="shared" si="1"/>
        <v>5</v>
      </c>
      <c r="N46" s="81">
        <f t="shared" si="2"/>
        <v>5</v>
      </c>
      <c r="O46" s="82" t="str">
        <f t="shared" si="3"/>
        <v>-</v>
      </c>
      <c r="P46" s="83">
        <v>5</v>
      </c>
      <c r="Q46" s="83">
        <v>0</v>
      </c>
      <c r="R46" s="83">
        <v>0</v>
      </c>
      <c r="S46" s="79">
        <f t="shared" si="4"/>
        <v>5</v>
      </c>
      <c r="T46" s="84">
        <v>4</v>
      </c>
      <c r="U46" s="84">
        <v>1</v>
      </c>
      <c r="V46" s="84">
        <v>0</v>
      </c>
      <c r="W46" s="85">
        <f t="shared" si="5"/>
        <v>5</v>
      </c>
      <c r="X46" s="86">
        <v>5</v>
      </c>
      <c r="Y46" s="86">
        <v>0</v>
      </c>
      <c r="Z46" s="86">
        <v>0</v>
      </c>
      <c r="AA46" s="88">
        <v>5</v>
      </c>
      <c r="AB46" s="89">
        <v>5</v>
      </c>
      <c r="AC46" s="89">
        <v>0</v>
      </c>
      <c r="AD46" s="89">
        <v>0</v>
      </c>
      <c r="AE46" s="90">
        <f t="shared" si="6"/>
        <v>5</v>
      </c>
      <c r="AF46" s="91">
        <v>5</v>
      </c>
      <c r="AG46" s="91">
        <v>0</v>
      </c>
      <c r="AH46" s="91">
        <v>0</v>
      </c>
      <c r="AI46" s="87">
        <f t="shared" si="7"/>
        <v>5</v>
      </c>
      <c r="AJ46" s="77" t="s">
        <v>57</v>
      </c>
      <c r="AK46" s="77" t="s">
        <v>81</v>
      </c>
      <c r="AL46" s="77" t="s">
        <v>589</v>
      </c>
      <c r="AM46" s="77"/>
    </row>
    <row r="47" spans="2:39" s="65" customFormat="1" ht="15.9" customHeight="1">
      <c r="B47" s="75">
        <f>SUBTOTAL(3,C$4:$C47)</f>
        <v>44</v>
      </c>
      <c r="C47" s="76" t="s">
        <v>77</v>
      </c>
      <c r="D47" s="77">
        <v>2025</v>
      </c>
      <c r="E47" s="77" t="s">
        <v>60</v>
      </c>
      <c r="F47" s="77" t="s">
        <v>56</v>
      </c>
      <c r="G47" s="77" t="s">
        <v>56</v>
      </c>
      <c r="H47" s="77" t="s">
        <v>56</v>
      </c>
      <c r="I47" s="79" t="str">
        <f t="shared" si="0"/>
        <v>-</v>
      </c>
      <c r="J47" s="77">
        <v>1</v>
      </c>
      <c r="K47" s="77" t="s">
        <v>56</v>
      </c>
      <c r="L47" s="77" t="s">
        <v>56</v>
      </c>
      <c r="M47" s="77">
        <f t="shared" si="1"/>
        <v>1</v>
      </c>
      <c r="N47" s="81">
        <f t="shared" si="2"/>
        <v>1</v>
      </c>
      <c r="O47" s="82" t="str">
        <f t="shared" si="3"/>
        <v>-</v>
      </c>
      <c r="P47" s="83">
        <v>1</v>
      </c>
      <c r="Q47" s="83">
        <v>0</v>
      </c>
      <c r="R47" s="83">
        <v>0</v>
      </c>
      <c r="S47" s="79">
        <f t="shared" si="4"/>
        <v>1</v>
      </c>
      <c r="T47" s="84">
        <v>1</v>
      </c>
      <c r="U47" s="84">
        <v>0</v>
      </c>
      <c r="V47" s="84">
        <v>0</v>
      </c>
      <c r="W47" s="85">
        <f t="shared" si="5"/>
        <v>1</v>
      </c>
      <c r="X47" s="86">
        <v>1</v>
      </c>
      <c r="Y47" s="86">
        <v>0</v>
      </c>
      <c r="Z47" s="86">
        <v>0</v>
      </c>
      <c r="AA47" s="88">
        <v>1</v>
      </c>
      <c r="AB47" s="89">
        <v>1</v>
      </c>
      <c r="AC47" s="89">
        <v>0</v>
      </c>
      <c r="AD47" s="89">
        <v>0</v>
      </c>
      <c r="AE47" s="90">
        <f t="shared" si="6"/>
        <v>1</v>
      </c>
      <c r="AF47" s="91">
        <v>1</v>
      </c>
      <c r="AG47" s="91">
        <v>0</v>
      </c>
      <c r="AH47" s="91">
        <v>0</v>
      </c>
      <c r="AI47" s="87">
        <f t="shared" si="7"/>
        <v>1</v>
      </c>
      <c r="AJ47" s="77" t="s">
        <v>57</v>
      </c>
      <c r="AK47" s="77" t="s">
        <v>81</v>
      </c>
      <c r="AL47" s="77"/>
      <c r="AM47" s="95">
        <v>45763</v>
      </c>
    </row>
    <row r="48" spans="2:39" s="65" customFormat="1" ht="15.9" customHeight="1">
      <c r="B48" s="75">
        <f>SUBTOTAL(3,C$4:$C48)</f>
        <v>45</v>
      </c>
      <c r="C48" s="76" t="s">
        <v>501</v>
      </c>
      <c r="D48" s="77"/>
      <c r="E48" s="77"/>
      <c r="F48" s="77" t="s">
        <v>56</v>
      </c>
      <c r="G48" s="77" t="s">
        <v>56</v>
      </c>
      <c r="H48" s="77" t="s">
        <v>56</v>
      </c>
      <c r="I48" s="79" t="str">
        <f t="shared" si="0"/>
        <v>-</v>
      </c>
      <c r="J48" s="77">
        <v>2</v>
      </c>
      <c r="K48" s="77" t="s">
        <v>56</v>
      </c>
      <c r="L48" s="77" t="s">
        <v>56</v>
      </c>
      <c r="M48" s="77">
        <f t="shared" si="1"/>
        <v>2</v>
      </c>
      <c r="N48" s="81">
        <f t="shared" si="2"/>
        <v>2</v>
      </c>
      <c r="O48" s="82" t="str">
        <f t="shared" si="3"/>
        <v>-</v>
      </c>
      <c r="P48" s="83">
        <v>2</v>
      </c>
      <c r="Q48" s="83">
        <v>0</v>
      </c>
      <c r="R48" s="83">
        <v>0</v>
      </c>
      <c r="S48" s="79">
        <f t="shared" si="4"/>
        <v>2</v>
      </c>
      <c r="T48" s="84">
        <v>2</v>
      </c>
      <c r="U48" s="84">
        <v>0</v>
      </c>
      <c r="V48" s="84">
        <v>0</v>
      </c>
      <c r="W48" s="85">
        <f t="shared" si="5"/>
        <v>2</v>
      </c>
      <c r="X48" s="86">
        <v>2</v>
      </c>
      <c r="Y48" s="86">
        <v>0</v>
      </c>
      <c r="Z48" s="86">
        <v>0</v>
      </c>
      <c r="AA48" s="88">
        <v>2</v>
      </c>
      <c r="AB48" s="89">
        <v>2</v>
      </c>
      <c r="AC48" s="89">
        <v>0</v>
      </c>
      <c r="AD48" s="89">
        <v>0</v>
      </c>
      <c r="AE48" s="90">
        <f t="shared" si="6"/>
        <v>2</v>
      </c>
      <c r="AF48" s="91">
        <v>2</v>
      </c>
      <c r="AG48" s="91">
        <v>0</v>
      </c>
      <c r="AH48" s="91">
        <v>0</v>
      </c>
      <c r="AI48" s="87">
        <f t="shared" si="7"/>
        <v>2</v>
      </c>
      <c r="AJ48" s="77" t="s">
        <v>57</v>
      </c>
      <c r="AK48" s="77" t="s">
        <v>81</v>
      </c>
      <c r="AL48" s="77"/>
      <c r="AM48" s="95"/>
    </row>
    <row r="49" spans="2:39" s="66" customFormat="1" ht="15.9" customHeight="1">
      <c r="B49" s="75">
        <f>SUBTOTAL(3,C$4:$C49)</f>
        <v>46</v>
      </c>
      <c r="C49" s="76" t="s">
        <v>54</v>
      </c>
      <c r="D49" s="77">
        <v>2010</v>
      </c>
      <c r="E49" s="77" t="s">
        <v>55</v>
      </c>
      <c r="F49" s="77">
        <v>8</v>
      </c>
      <c r="G49" s="77" t="s">
        <v>56</v>
      </c>
      <c r="H49" s="77" t="s">
        <v>56</v>
      </c>
      <c r="I49" s="79">
        <f t="shared" si="0"/>
        <v>8</v>
      </c>
      <c r="J49" s="77">
        <v>8</v>
      </c>
      <c r="K49" s="77" t="s">
        <v>56</v>
      </c>
      <c r="L49" s="77" t="s">
        <v>56</v>
      </c>
      <c r="M49" s="77">
        <f t="shared" si="1"/>
        <v>8</v>
      </c>
      <c r="N49" s="81">
        <f t="shared" si="2"/>
        <v>8</v>
      </c>
      <c r="O49" s="82" t="str">
        <f t="shared" si="3"/>
        <v>-</v>
      </c>
      <c r="P49" s="83">
        <v>8</v>
      </c>
      <c r="Q49" s="83">
        <v>0</v>
      </c>
      <c r="R49" s="83">
        <v>0</v>
      </c>
      <c r="S49" s="79">
        <f t="shared" si="4"/>
        <v>8</v>
      </c>
      <c r="T49" s="84">
        <v>8</v>
      </c>
      <c r="U49" s="84">
        <v>0</v>
      </c>
      <c r="V49" s="84">
        <v>0</v>
      </c>
      <c r="W49" s="85">
        <f t="shared" si="5"/>
        <v>8</v>
      </c>
      <c r="X49" s="86">
        <v>8</v>
      </c>
      <c r="Y49" s="86">
        <v>0</v>
      </c>
      <c r="Z49" s="86">
        <v>0</v>
      </c>
      <c r="AA49" s="88">
        <v>8</v>
      </c>
      <c r="AB49" s="89">
        <v>8</v>
      </c>
      <c r="AC49" s="89">
        <v>0</v>
      </c>
      <c r="AD49" s="89">
        <v>0</v>
      </c>
      <c r="AE49" s="90">
        <f t="shared" si="6"/>
        <v>8</v>
      </c>
      <c r="AF49" s="91">
        <v>8</v>
      </c>
      <c r="AG49" s="91">
        <v>0</v>
      </c>
      <c r="AH49" s="91">
        <v>0</v>
      </c>
      <c r="AI49" s="87">
        <f t="shared" si="7"/>
        <v>8</v>
      </c>
      <c r="AJ49" s="77" t="s">
        <v>57</v>
      </c>
      <c r="AK49" s="77" t="s">
        <v>82</v>
      </c>
      <c r="AL49" s="77"/>
      <c r="AM49" s="77"/>
    </row>
    <row r="50" spans="2:39" s="66" customFormat="1" ht="15.9" customHeight="1">
      <c r="B50" s="75">
        <f>SUBTOTAL(3,C$4:$C50)</f>
        <v>47</v>
      </c>
      <c r="C50" s="76" t="s">
        <v>59</v>
      </c>
      <c r="D50" s="77">
        <v>2015</v>
      </c>
      <c r="E50" s="77" t="s">
        <v>60</v>
      </c>
      <c r="F50" s="77">
        <v>8</v>
      </c>
      <c r="G50" s="77" t="s">
        <v>56</v>
      </c>
      <c r="H50" s="77" t="s">
        <v>56</v>
      </c>
      <c r="I50" s="79">
        <f t="shared" si="0"/>
        <v>8</v>
      </c>
      <c r="J50" s="77">
        <v>8</v>
      </c>
      <c r="K50" s="77" t="s">
        <v>56</v>
      </c>
      <c r="L50" s="77" t="s">
        <v>56</v>
      </c>
      <c r="M50" s="77">
        <f t="shared" si="1"/>
        <v>8</v>
      </c>
      <c r="N50" s="81">
        <f t="shared" si="2"/>
        <v>8</v>
      </c>
      <c r="O50" s="82" t="str">
        <f t="shared" si="3"/>
        <v>-</v>
      </c>
      <c r="P50" s="83">
        <v>8</v>
      </c>
      <c r="Q50" s="83">
        <v>0</v>
      </c>
      <c r="R50" s="83">
        <v>0</v>
      </c>
      <c r="S50" s="79">
        <f t="shared" si="4"/>
        <v>8</v>
      </c>
      <c r="T50" s="84">
        <v>8</v>
      </c>
      <c r="U50" s="84">
        <v>0</v>
      </c>
      <c r="V50" s="84">
        <v>0</v>
      </c>
      <c r="W50" s="85">
        <f t="shared" si="5"/>
        <v>8</v>
      </c>
      <c r="X50" s="86">
        <v>8</v>
      </c>
      <c r="Y50" s="86">
        <v>0</v>
      </c>
      <c r="Z50" s="86">
        <v>0</v>
      </c>
      <c r="AA50" s="88">
        <v>8</v>
      </c>
      <c r="AB50" s="89">
        <v>8</v>
      </c>
      <c r="AC50" s="89">
        <v>0</v>
      </c>
      <c r="AD50" s="89">
        <v>0</v>
      </c>
      <c r="AE50" s="90">
        <f t="shared" si="6"/>
        <v>8</v>
      </c>
      <c r="AF50" s="91">
        <v>8</v>
      </c>
      <c r="AG50" s="91">
        <v>0</v>
      </c>
      <c r="AH50" s="91">
        <v>0</v>
      </c>
      <c r="AI50" s="87">
        <f t="shared" si="7"/>
        <v>8</v>
      </c>
      <c r="AJ50" s="77" t="s">
        <v>57</v>
      </c>
      <c r="AK50" s="77" t="s">
        <v>82</v>
      </c>
      <c r="AL50" s="77"/>
      <c r="AM50" s="77"/>
    </row>
    <row r="51" spans="2:39" s="66" customFormat="1" ht="15.9" customHeight="1">
      <c r="B51" s="75">
        <f>SUBTOTAL(3,C$4:$C51)</f>
        <v>48</v>
      </c>
      <c r="C51" s="76" t="s">
        <v>61</v>
      </c>
      <c r="D51" s="78" t="s">
        <v>62</v>
      </c>
      <c r="E51" s="77" t="s">
        <v>63</v>
      </c>
      <c r="F51" s="77">
        <v>8</v>
      </c>
      <c r="G51" s="77" t="s">
        <v>56</v>
      </c>
      <c r="H51" s="77" t="s">
        <v>56</v>
      </c>
      <c r="I51" s="79">
        <f t="shared" si="0"/>
        <v>8</v>
      </c>
      <c r="J51" s="77">
        <v>8</v>
      </c>
      <c r="K51" s="77" t="s">
        <v>56</v>
      </c>
      <c r="L51" s="77" t="s">
        <v>56</v>
      </c>
      <c r="M51" s="77">
        <f t="shared" si="1"/>
        <v>8</v>
      </c>
      <c r="N51" s="81">
        <f t="shared" si="2"/>
        <v>8</v>
      </c>
      <c r="O51" s="82" t="str">
        <f t="shared" si="3"/>
        <v>-</v>
      </c>
      <c r="P51" s="83">
        <v>8</v>
      </c>
      <c r="Q51" s="83">
        <v>0</v>
      </c>
      <c r="R51" s="83">
        <v>0</v>
      </c>
      <c r="S51" s="79">
        <f t="shared" si="4"/>
        <v>8</v>
      </c>
      <c r="T51" s="84">
        <v>8</v>
      </c>
      <c r="U51" s="84">
        <v>0</v>
      </c>
      <c r="V51" s="84">
        <v>0</v>
      </c>
      <c r="W51" s="85">
        <f t="shared" si="5"/>
        <v>8</v>
      </c>
      <c r="X51" s="86">
        <v>8</v>
      </c>
      <c r="Y51" s="86">
        <v>0</v>
      </c>
      <c r="Z51" s="86">
        <v>0</v>
      </c>
      <c r="AA51" s="88">
        <v>8</v>
      </c>
      <c r="AB51" s="89">
        <v>8</v>
      </c>
      <c r="AC51" s="89">
        <v>0</v>
      </c>
      <c r="AD51" s="89">
        <v>0</v>
      </c>
      <c r="AE51" s="90">
        <f t="shared" si="6"/>
        <v>8</v>
      </c>
      <c r="AF51" s="91">
        <v>8</v>
      </c>
      <c r="AG51" s="91">
        <v>0</v>
      </c>
      <c r="AH51" s="91">
        <v>0</v>
      </c>
      <c r="AI51" s="87">
        <f t="shared" si="7"/>
        <v>8</v>
      </c>
      <c r="AJ51" s="77" t="s">
        <v>57</v>
      </c>
      <c r="AK51" s="77" t="s">
        <v>82</v>
      </c>
      <c r="AL51" s="77"/>
      <c r="AM51" s="77"/>
    </row>
    <row r="52" spans="2:39" s="66" customFormat="1" ht="15.9" customHeight="1">
      <c r="B52" s="75">
        <f>SUBTOTAL(3,C$4:$C52)</f>
        <v>49</v>
      </c>
      <c r="C52" s="76" t="s">
        <v>64</v>
      </c>
      <c r="D52" s="78" t="s">
        <v>62</v>
      </c>
      <c r="E52" s="77" t="s">
        <v>63</v>
      </c>
      <c r="F52" s="77">
        <v>8</v>
      </c>
      <c r="G52" s="77" t="s">
        <v>56</v>
      </c>
      <c r="H52" s="77" t="s">
        <v>56</v>
      </c>
      <c r="I52" s="79">
        <f t="shared" si="0"/>
        <v>8</v>
      </c>
      <c r="J52" s="77">
        <v>8</v>
      </c>
      <c r="K52" s="77" t="s">
        <v>56</v>
      </c>
      <c r="L52" s="77" t="s">
        <v>56</v>
      </c>
      <c r="M52" s="77">
        <f t="shared" si="1"/>
        <v>8</v>
      </c>
      <c r="N52" s="81">
        <f t="shared" si="2"/>
        <v>8</v>
      </c>
      <c r="O52" s="82" t="str">
        <f t="shared" si="3"/>
        <v>-</v>
      </c>
      <c r="P52" s="83">
        <v>8</v>
      </c>
      <c r="Q52" s="83">
        <v>0</v>
      </c>
      <c r="R52" s="83">
        <v>0</v>
      </c>
      <c r="S52" s="79">
        <f t="shared" si="4"/>
        <v>8</v>
      </c>
      <c r="T52" s="84">
        <v>8</v>
      </c>
      <c r="U52" s="84">
        <v>0</v>
      </c>
      <c r="V52" s="84">
        <v>0</v>
      </c>
      <c r="W52" s="85">
        <f t="shared" si="5"/>
        <v>8</v>
      </c>
      <c r="X52" s="86">
        <v>8</v>
      </c>
      <c r="Y52" s="86">
        <v>0</v>
      </c>
      <c r="Z52" s="86">
        <v>0</v>
      </c>
      <c r="AA52" s="88">
        <v>8</v>
      </c>
      <c r="AB52" s="89">
        <v>8</v>
      </c>
      <c r="AC52" s="89">
        <v>0</v>
      </c>
      <c r="AD52" s="89">
        <v>0</v>
      </c>
      <c r="AE52" s="90">
        <f t="shared" si="6"/>
        <v>8</v>
      </c>
      <c r="AF52" s="91">
        <v>8</v>
      </c>
      <c r="AG52" s="91">
        <v>0</v>
      </c>
      <c r="AH52" s="91">
        <v>0</v>
      </c>
      <c r="AI52" s="87">
        <f t="shared" si="7"/>
        <v>8</v>
      </c>
      <c r="AJ52" s="77" t="s">
        <v>57</v>
      </c>
      <c r="AK52" s="77" t="s">
        <v>82</v>
      </c>
      <c r="AL52" s="77"/>
      <c r="AM52" s="77"/>
    </row>
    <row r="53" spans="2:39" s="66" customFormat="1" ht="15.9" customHeight="1">
      <c r="B53" s="75">
        <f>SUBTOTAL(3,C$4:$C53)</f>
        <v>50</v>
      </c>
      <c r="C53" s="76" t="s">
        <v>65</v>
      </c>
      <c r="D53" s="77" t="s">
        <v>66</v>
      </c>
      <c r="E53" s="77" t="s">
        <v>67</v>
      </c>
      <c r="F53" s="77">
        <v>8</v>
      </c>
      <c r="G53" s="77" t="s">
        <v>56</v>
      </c>
      <c r="H53" s="77" t="s">
        <v>56</v>
      </c>
      <c r="I53" s="79">
        <f t="shared" si="0"/>
        <v>8</v>
      </c>
      <c r="J53" s="77">
        <v>8</v>
      </c>
      <c r="K53" s="77" t="s">
        <v>56</v>
      </c>
      <c r="L53" s="77" t="s">
        <v>56</v>
      </c>
      <c r="M53" s="77">
        <f t="shared" si="1"/>
        <v>8</v>
      </c>
      <c r="N53" s="81">
        <f t="shared" si="2"/>
        <v>8</v>
      </c>
      <c r="O53" s="82" t="str">
        <f t="shared" si="3"/>
        <v>-</v>
      </c>
      <c r="P53" s="83">
        <v>8</v>
      </c>
      <c r="Q53" s="83">
        <v>0</v>
      </c>
      <c r="R53" s="83">
        <v>0</v>
      </c>
      <c r="S53" s="79">
        <f t="shared" si="4"/>
        <v>8</v>
      </c>
      <c r="T53" s="84">
        <v>8</v>
      </c>
      <c r="U53" s="84">
        <v>0</v>
      </c>
      <c r="V53" s="84">
        <v>0</v>
      </c>
      <c r="W53" s="85">
        <f t="shared" si="5"/>
        <v>8</v>
      </c>
      <c r="X53" s="86">
        <v>8</v>
      </c>
      <c r="Y53" s="86">
        <v>0</v>
      </c>
      <c r="Z53" s="86">
        <v>0</v>
      </c>
      <c r="AA53" s="88">
        <v>8</v>
      </c>
      <c r="AB53" s="89">
        <v>8</v>
      </c>
      <c r="AC53" s="89">
        <v>0</v>
      </c>
      <c r="AD53" s="89">
        <v>0</v>
      </c>
      <c r="AE53" s="90">
        <f t="shared" si="6"/>
        <v>8</v>
      </c>
      <c r="AF53" s="91">
        <v>8</v>
      </c>
      <c r="AG53" s="91">
        <v>0</v>
      </c>
      <c r="AH53" s="91">
        <v>0</v>
      </c>
      <c r="AI53" s="87">
        <f t="shared" si="7"/>
        <v>8</v>
      </c>
      <c r="AJ53" s="77" t="s">
        <v>57</v>
      </c>
      <c r="AK53" s="77" t="s">
        <v>82</v>
      </c>
      <c r="AL53" s="77"/>
      <c r="AM53" s="77"/>
    </row>
    <row r="54" spans="2:39" s="66" customFormat="1" ht="15.9" customHeight="1">
      <c r="B54" s="75">
        <f>SUBTOTAL(3,C$4:$C54)</f>
        <v>51</v>
      </c>
      <c r="C54" s="76" t="s">
        <v>68</v>
      </c>
      <c r="D54" s="77">
        <v>2010</v>
      </c>
      <c r="E54" s="77" t="s">
        <v>55</v>
      </c>
      <c r="F54" s="77">
        <v>4</v>
      </c>
      <c r="G54" s="77" t="s">
        <v>56</v>
      </c>
      <c r="H54" s="77" t="s">
        <v>56</v>
      </c>
      <c r="I54" s="79">
        <f t="shared" si="0"/>
        <v>4</v>
      </c>
      <c r="J54" s="77">
        <v>4</v>
      </c>
      <c r="K54" s="77" t="s">
        <v>56</v>
      </c>
      <c r="L54" s="77" t="s">
        <v>56</v>
      </c>
      <c r="M54" s="77">
        <f t="shared" si="1"/>
        <v>4</v>
      </c>
      <c r="N54" s="81">
        <f t="shared" si="2"/>
        <v>4</v>
      </c>
      <c r="O54" s="82" t="str">
        <f t="shared" si="3"/>
        <v>-</v>
      </c>
      <c r="P54" s="83">
        <v>4</v>
      </c>
      <c r="Q54" s="83">
        <v>0</v>
      </c>
      <c r="R54" s="83">
        <v>0</v>
      </c>
      <c r="S54" s="79">
        <f t="shared" si="4"/>
        <v>4</v>
      </c>
      <c r="T54" s="84">
        <v>4</v>
      </c>
      <c r="U54" s="84">
        <v>0</v>
      </c>
      <c r="V54" s="84">
        <v>0</v>
      </c>
      <c r="W54" s="85">
        <f t="shared" si="5"/>
        <v>4</v>
      </c>
      <c r="X54" s="86">
        <v>4</v>
      </c>
      <c r="Y54" s="86">
        <v>0</v>
      </c>
      <c r="Z54" s="86">
        <v>0</v>
      </c>
      <c r="AA54" s="88">
        <v>4</v>
      </c>
      <c r="AB54" s="89">
        <v>4</v>
      </c>
      <c r="AC54" s="89">
        <v>0</v>
      </c>
      <c r="AD54" s="89">
        <v>0</v>
      </c>
      <c r="AE54" s="90">
        <f t="shared" si="6"/>
        <v>4</v>
      </c>
      <c r="AF54" s="93">
        <v>3</v>
      </c>
      <c r="AG54" s="93">
        <v>1</v>
      </c>
      <c r="AH54" s="91">
        <v>0</v>
      </c>
      <c r="AI54" s="87">
        <f t="shared" si="7"/>
        <v>4</v>
      </c>
      <c r="AJ54" s="77" t="s">
        <v>57</v>
      </c>
      <c r="AK54" s="77" t="s">
        <v>82</v>
      </c>
      <c r="AL54" s="77"/>
      <c r="AM54" s="77"/>
    </row>
    <row r="55" spans="2:39" s="66" customFormat="1" ht="15.9" customHeight="1">
      <c r="B55" s="75">
        <f>SUBTOTAL(3,C$4:$C55)</f>
        <v>52</v>
      </c>
      <c r="C55" s="76" t="s">
        <v>79</v>
      </c>
      <c r="D55" s="77">
        <v>2015</v>
      </c>
      <c r="E55" s="77" t="s">
        <v>55</v>
      </c>
      <c r="F55" s="77">
        <v>4</v>
      </c>
      <c r="G55" s="77" t="s">
        <v>56</v>
      </c>
      <c r="H55" s="77" t="s">
        <v>56</v>
      </c>
      <c r="I55" s="79">
        <f t="shared" si="0"/>
        <v>4</v>
      </c>
      <c r="J55" s="77">
        <v>4</v>
      </c>
      <c r="K55" s="77" t="s">
        <v>56</v>
      </c>
      <c r="L55" s="77" t="s">
        <v>56</v>
      </c>
      <c r="M55" s="77">
        <f t="shared" si="1"/>
        <v>4</v>
      </c>
      <c r="N55" s="81">
        <f t="shared" si="2"/>
        <v>4</v>
      </c>
      <c r="O55" s="82" t="str">
        <f t="shared" si="3"/>
        <v>-</v>
      </c>
      <c r="P55" s="83">
        <v>4</v>
      </c>
      <c r="Q55" s="83">
        <v>0</v>
      </c>
      <c r="R55" s="83">
        <v>0</v>
      </c>
      <c r="S55" s="79">
        <f t="shared" si="4"/>
        <v>4</v>
      </c>
      <c r="T55" s="84">
        <v>4</v>
      </c>
      <c r="U55" s="84">
        <v>0</v>
      </c>
      <c r="V55" s="84">
        <v>0</v>
      </c>
      <c r="W55" s="85">
        <f t="shared" si="5"/>
        <v>4</v>
      </c>
      <c r="X55" s="86">
        <v>4</v>
      </c>
      <c r="Y55" s="86">
        <v>0</v>
      </c>
      <c r="Z55" s="86">
        <v>0</v>
      </c>
      <c r="AA55" s="88">
        <v>4</v>
      </c>
      <c r="AB55" s="89">
        <v>4</v>
      </c>
      <c r="AC55" s="89">
        <v>0</v>
      </c>
      <c r="AD55" s="89">
        <v>0</v>
      </c>
      <c r="AE55" s="90">
        <f t="shared" si="6"/>
        <v>4</v>
      </c>
      <c r="AF55" s="91">
        <v>4</v>
      </c>
      <c r="AG55" s="91">
        <v>0</v>
      </c>
      <c r="AH55" s="91">
        <v>0</v>
      </c>
      <c r="AI55" s="87">
        <f t="shared" si="7"/>
        <v>4</v>
      </c>
      <c r="AJ55" s="77" t="s">
        <v>57</v>
      </c>
      <c r="AK55" s="77" t="s">
        <v>82</v>
      </c>
      <c r="AL55" s="77"/>
      <c r="AM55" s="77"/>
    </row>
    <row r="56" spans="2:39" s="66" customFormat="1" ht="15.9" customHeight="1">
      <c r="B56" s="75">
        <f>SUBTOTAL(3,C$4:$C56)</f>
        <v>53</v>
      </c>
      <c r="C56" s="76" t="s">
        <v>70</v>
      </c>
      <c r="D56" s="77">
        <v>2010</v>
      </c>
      <c r="E56" s="77" t="s">
        <v>71</v>
      </c>
      <c r="F56" s="77">
        <v>4</v>
      </c>
      <c r="G56" s="77" t="s">
        <v>56</v>
      </c>
      <c r="H56" s="77" t="s">
        <v>56</v>
      </c>
      <c r="I56" s="79">
        <f t="shared" si="0"/>
        <v>4</v>
      </c>
      <c r="J56" s="77">
        <v>4</v>
      </c>
      <c r="K56" s="77" t="s">
        <v>56</v>
      </c>
      <c r="L56" s="77" t="s">
        <v>56</v>
      </c>
      <c r="M56" s="77">
        <f t="shared" si="1"/>
        <v>4</v>
      </c>
      <c r="N56" s="81">
        <f t="shared" si="2"/>
        <v>4</v>
      </c>
      <c r="O56" s="82" t="str">
        <f t="shared" si="3"/>
        <v>-</v>
      </c>
      <c r="P56" s="83">
        <v>4</v>
      </c>
      <c r="Q56" s="83">
        <v>0</v>
      </c>
      <c r="R56" s="83">
        <v>0</v>
      </c>
      <c r="S56" s="79">
        <f t="shared" si="4"/>
        <v>4</v>
      </c>
      <c r="T56" s="84">
        <v>4</v>
      </c>
      <c r="U56" s="84">
        <v>0</v>
      </c>
      <c r="V56" s="84">
        <v>0</v>
      </c>
      <c r="W56" s="85">
        <f t="shared" si="5"/>
        <v>4</v>
      </c>
      <c r="X56" s="86">
        <v>4</v>
      </c>
      <c r="Y56" s="86">
        <v>0</v>
      </c>
      <c r="Z56" s="86">
        <v>0</v>
      </c>
      <c r="AA56" s="88">
        <v>4</v>
      </c>
      <c r="AB56" s="89">
        <v>4</v>
      </c>
      <c r="AC56" s="89">
        <v>0</v>
      </c>
      <c r="AD56" s="89">
        <v>0</v>
      </c>
      <c r="AE56" s="90">
        <f t="shared" si="6"/>
        <v>4</v>
      </c>
      <c r="AF56" s="91">
        <v>4</v>
      </c>
      <c r="AG56" s="91">
        <v>0</v>
      </c>
      <c r="AH56" s="91">
        <v>0</v>
      </c>
      <c r="AI56" s="87">
        <f t="shared" si="7"/>
        <v>4</v>
      </c>
      <c r="AJ56" s="77" t="s">
        <v>57</v>
      </c>
      <c r="AK56" s="77" t="s">
        <v>82</v>
      </c>
      <c r="AL56" s="77"/>
      <c r="AM56" s="77"/>
    </row>
    <row r="57" spans="2:39" s="66" customFormat="1" ht="15.9" customHeight="1">
      <c r="B57" s="75">
        <f>SUBTOTAL(3,C$4:$C57)</f>
        <v>54</v>
      </c>
      <c r="C57" s="76" t="s">
        <v>72</v>
      </c>
      <c r="D57" s="77">
        <v>2010</v>
      </c>
      <c r="E57" s="77" t="s">
        <v>67</v>
      </c>
      <c r="F57" s="77">
        <v>2</v>
      </c>
      <c r="G57" s="77" t="s">
        <v>56</v>
      </c>
      <c r="H57" s="77" t="s">
        <v>56</v>
      </c>
      <c r="I57" s="79">
        <f t="shared" si="0"/>
        <v>2</v>
      </c>
      <c r="J57" s="77">
        <v>2</v>
      </c>
      <c r="K57" s="77" t="s">
        <v>56</v>
      </c>
      <c r="L57" s="77" t="s">
        <v>56</v>
      </c>
      <c r="M57" s="77">
        <f t="shared" si="1"/>
        <v>2</v>
      </c>
      <c r="N57" s="81">
        <f t="shared" si="2"/>
        <v>2</v>
      </c>
      <c r="O57" s="82" t="str">
        <f t="shared" si="3"/>
        <v>-</v>
      </c>
      <c r="P57" s="83">
        <v>2</v>
      </c>
      <c r="Q57" s="83">
        <v>0</v>
      </c>
      <c r="R57" s="83">
        <v>0</v>
      </c>
      <c r="S57" s="79">
        <f t="shared" si="4"/>
        <v>2</v>
      </c>
      <c r="T57" s="84">
        <v>2</v>
      </c>
      <c r="U57" s="84">
        <v>0</v>
      </c>
      <c r="V57" s="84">
        <v>0</v>
      </c>
      <c r="W57" s="85">
        <f t="shared" si="5"/>
        <v>2</v>
      </c>
      <c r="X57" s="86">
        <v>2</v>
      </c>
      <c r="Y57" s="86">
        <v>0</v>
      </c>
      <c r="Z57" s="86">
        <v>0</v>
      </c>
      <c r="AA57" s="88">
        <v>2</v>
      </c>
      <c r="AB57" s="89">
        <v>2</v>
      </c>
      <c r="AC57" s="89">
        <v>0</v>
      </c>
      <c r="AD57" s="89">
        <v>0</v>
      </c>
      <c r="AE57" s="90">
        <f t="shared" si="6"/>
        <v>2</v>
      </c>
      <c r="AF57" s="91">
        <v>2</v>
      </c>
      <c r="AG57" s="91">
        <v>0</v>
      </c>
      <c r="AH57" s="91">
        <v>0</v>
      </c>
      <c r="AI57" s="87">
        <f t="shared" si="7"/>
        <v>2</v>
      </c>
      <c r="AJ57" s="77" t="s">
        <v>57</v>
      </c>
      <c r="AK57" s="77" t="s">
        <v>82</v>
      </c>
      <c r="AL57" s="77"/>
      <c r="AM57" s="77"/>
    </row>
    <row r="58" spans="2:39" s="66" customFormat="1" ht="15.9" customHeight="1">
      <c r="B58" s="75">
        <f>SUBTOTAL(3,C$4:$C58)</f>
        <v>55</v>
      </c>
      <c r="C58" s="76" t="s">
        <v>73</v>
      </c>
      <c r="D58" s="77">
        <v>2010</v>
      </c>
      <c r="E58" s="77" t="s">
        <v>63</v>
      </c>
      <c r="F58" s="77" t="s">
        <v>56</v>
      </c>
      <c r="G58" s="77" t="s">
        <v>56</v>
      </c>
      <c r="H58" s="77" t="s">
        <v>56</v>
      </c>
      <c r="I58" s="79" t="str">
        <f t="shared" si="0"/>
        <v>-</v>
      </c>
      <c r="J58" s="77">
        <v>2</v>
      </c>
      <c r="K58" s="77" t="s">
        <v>56</v>
      </c>
      <c r="L58" s="77" t="s">
        <v>56</v>
      </c>
      <c r="M58" s="77">
        <f t="shared" si="1"/>
        <v>2</v>
      </c>
      <c r="N58" s="81">
        <f t="shared" si="2"/>
        <v>2</v>
      </c>
      <c r="O58" s="82" t="str">
        <f t="shared" si="3"/>
        <v>-</v>
      </c>
      <c r="P58" s="83">
        <v>2</v>
      </c>
      <c r="Q58" s="83">
        <v>0</v>
      </c>
      <c r="R58" s="83">
        <v>0</v>
      </c>
      <c r="S58" s="79">
        <f t="shared" si="4"/>
        <v>2</v>
      </c>
      <c r="T58" s="84">
        <v>2</v>
      </c>
      <c r="U58" s="84">
        <v>0</v>
      </c>
      <c r="V58" s="84">
        <v>0</v>
      </c>
      <c r="W58" s="85">
        <f t="shared" si="5"/>
        <v>2</v>
      </c>
      <c r="X58" s="86">
        <v>2</v>
      </c>
      <c r="Y58" s="86">
        <v>0</v>
      </c>
      <c r="Z58" s="86">
        <v>0</v>
      </c>
      <c r="AA58" s="88">
        <v>2</v>
      </c>
      <c r="AB58" s="89">
        <v>2</v>
      </c>
      <c r="AC58" s="89">
        <v>0</v>
      </c>
      <c r="AD58" s="89">
        <v>0</v>
      </c>
      <c r="AE58" s="90">
        <f t="shared" si="6"/>
        <v>2</v>
      </c>
      <c r="AF58" s="91">
        <v>2</v>
      </c>
      <c r="AG58" s="91">
        <v>0</v>
      </c>
      <c r="AH58" s="91">
        <v>0</v>
      </c>
      <c r="AI58" s="87">
        <f t="shared" si="7"/>
        <v>2</v>
      </c>
      <c r="AJ58" s="77" t="s">
        <v>57</v>
      </c>
      <c r="AK58" s="77" t="s">
        <v>82</v>
      </c>
      <c r="AL58" s="77"/>
      <c r="AM58" s="77"/>
    </row>
    <row r="59" spans="2:39" s="66" customFormat="1" ht="15.9" customHeight="1">
      <c r="B59" s="75">
        <f>SUBTOTAL(3,C$4:$C59)</f>
        <v>56</v>
      </c>
      <c r="C59" s="76" t="s">
        <v>74</v>
      </c>
      <c r="D59" s="77">
        <v>2018</v>
      </c>
      <c r="E59" s="77" t="s">
        <v>60</v>
      </c>
      <c r="F59" s="77">
        <v>4</v>
      </c>
      <c r="G59" s="77" t="s">
        <v>56</v>
      </c>
      <c r="H59" s="77" t="s">
        <v>56</v>
      </c>
      <c r="I59" s="79">
        <f t="shared" si="0"/>
        <v>4</v>
      </c>
      <c r="J59" s="77">
        <v>4</v>
      </c>
      <c r="K59" s="77" t="s">
        <v>56</v>
      </c>
      <c r="L59" s="77" t="s">
        <v>56</v>
      </c>
      <c r="M59" s="77">
        <f t="shared" si="1"/>
        <v>4</v>
      </c>
      <c r="N59" s="81">
        <f t="shared" si="2"/>
        <v>4</v>
      </c>
      <c r="O59" s="82" t="str">
        <f t="shared" si="3"/>
        <v>-</v>
      </c>
      <c r="P59" s="83">
        <v>4</v>
      </c>
      <c r="Q59" s="83">
        <v>0</v>
      </c>
      <c r="R59" s="83">
        <v>0</v>
      </c>
      <c r="S59" s="79">
        <f t="shared" si="4"/>
        <v>4</v>
      </c>
      <c r="T59" s="84">
        <v>4</v>
      </c>
      <c r="U59" s="84">
        <v>0</v>
      </c>
      <c r="V59" s="84">
        <v>0</v>
      </c>
      <c r="W59" s="85">
        <f t="shared" si="5"/>
        <v>4</v>
      </c>
      <c r="X59" s="86">
        <v>4</v>
      </c>
      <c r="Y59" s="86">
        <v>0</v>
      </c>
      <c r="Z59" s="86">
        <v>0</v>
      </c>
      <c r="AA59" s="88">
        <v>4</v>
      </c>
      <c r="AB59" s="89">
        <v>4</v>
      </c>
      <c r="AC59" s="89">
        <v>0</v>
      </c>
      <c r="AD59" s="89">
        <v>0</v>
      </c>
      <c r="AE59" s="90">
        <f t="shared" si="6"/>
        <v>4</v>
      </c>
      <c r="AF59" s="91">
        <v>4</v>
      </c>
      <c r="AG59" s="91">
        <v>0</v>
      </c>
      <c r="AH59" s="91">
        <v>0</v>
      </c>
      <c r="AI59" s="87">
        <f t="shared" si="7"/>
        <v>4</v>
      </c>
      <c r="AJ59" s="77" t="s">
        <v>57</v>
      </c>
      <c r="AK59" s="77" t="s">
        <v>82</v>
      </c>
      <c r="AL59" s="77"/>
      <c r="AM59" s="77"/>
    </row>
    <row r="60" spans="2:39" s="66" customFormat="1" ht="15.9" customHeight="1">
      <c r="B60" s="75">
        <f>SUBTOTAL(3,C$4:$C60)</f>
        <v>57</v>
      </c>
      <c r="C60" s="76" t="s">
        <v>75</v>
      </c>
      <c r="D60" s="77">
        <v>2010</v>
      </c>
      <c r="E60" s="77" t="s">
        <v>60</v>
      </c>
      <c r="F60" s="77">
        <v>4</v>
      </c>
      <c r="G60" s="77" t="s">
        <v>56</v>
      </c>
      <c r="H60" s="77" t="s">
        <v>56</v>
      </c>
      <c r="I60" s="79">
        <f t="shared" si="0"/>
        <v>4</v>
      </c>
      <c r="J60" s="77">
        <v>4</v>
      </c>
      <c r="K60" s="77" t="s">
        <v>56</v>
      </c>
      <c r="L60" s="77" t="s">
        <v>56</v>
      </c>
      <c r="M60" s="77">
        <f t="shared" si="1"/>
        <v>4</v>
      </c>
      <c r="N60" s="81">
        <f t="shared" si="2"/>
        <v>4</v>
      </c>
      <c r="O60" s="82" t="str">
        <f t="shared" si="3"/>
        <v>-</v>
      </c>
      <c r="P60" s="83">
        <v>4</v>
      </c>
      <c r="Q60" s="83">
        <v>0</v>
      </c>
      <c r="R60" s="83">
        <v>0</v>
      </c>
      <c r="S60" s="79">
        <f t="shared" si="4"/>
        <v>4</v>
      </c>
      <c r="T60" s="84">
        <v>4</v>
      </c>
      <c r="U60" s="84">
        <v>0</v>
      </c>
      <c r="V60" s="84">
        <v>0</v>
      </c>
      <c r="W60" s="85">
        <f t="shared" si="5"/>
        <v>4</v>
      </c>
      <c r="X60" s="86">
        <v>4</v>
      </c>
      <c r="Y60" s="86">
        <v>0</v>
      </c>
      <c r="Z60" s="86">
        <v>0</v>
      </c>
      <c r="AA60" s="88">
        <v>4</v>
      </c>
      <c r="AB60" s="89">
        <v>4</v>
      </c>
      <c r="AC60" s="89">
        <v>0</v>
      </c>
      <c r="AD60" s="89">
        <v>0</v>
      </c>
      <c r="AE60" s="90">
        <f t="shared" si="6"/>
        <v>4</v>
      </c>
      <c r="AF60" s="91">
        <v>4</v>
      </c>
      <c r="AG60" s="91">
        <v>0</v>
      </c>
      <c r="AH60" s="91">
        <v>0</v>
      </c>
      <c r="AI60" s="87">
        <f t="shared" si="7"/>
        <v>4</v>
      </c>
      <c r="AJ60" s="77" t="s">
        <v>57</v>
      </c>
      <c r="AK60" s="77" t="s">
        <v>82</v>
      </c>
      <c r="AL60" s="77"/>
      <c r="AM60" s="77"/>
    </row>
    <row r="61" spans="2:39" s="66" customFormat="1" ht="15.9" customHeight="1">
      <c r="B61" s="75">
        <f>SUBTOTAL(3,C$4:$C61)</f>
        <v>58</v>
      </c>
      <c r="C61" s="76" t="s">
        <v>76</v>
      </c>
      <c r="D61" s="77">
        <v>2010</v>
      </c>
      <c r="E61" s="77" t="s">
        <v>60</v>
      </c>
      <c r="F61" s="77">
        <v>5</v>
      </c>
      <c r="G61" s="77" t="s">
        <v>56</v>
      </c>
      <c r="H61" s="77" t="s">
        <v>56</v>
      </c>
      <c r="I61" s="79">
        <f t="shared" si="0"/>
        <v>5</v>
      </c>
      <c r="J61" s="77">
        <v>5</v>
      </c>
      <c r="K61" s="77" t="s">
        <v>56</v>
      </c>
      <c r="L61" s="77" t="s">
        <v>56</v>
      </c>
      <c r="M61" s="77">
        <f t="shared" si="1"/>
        <v>5</v>
      </c>
      <c r="N61" s="81">
        <f t="shared" si="2"/>
        <v>5</v>
      </c>
      <c r="O61" s="82" t="str">
        <f t="shared" si="3"/>
        <v>-</v>
      </c>
      <c r="P61" s="83">
        <v>5</v>
      </c>
      <c r="Q61" s="83">
        <v>0</v>
      </c>
      <c r="R61" s="83">
        <v>0</v>
      </c>
      <c r="S61" s="79">
        <f t="shared" si="4"/>
        <v>5</v>
      </c>
      <c r="T61" s="84">
        <v>5</v>
      </c>
      <c r="U61" s="84">
        <v>0</v>
      </c>
      <c r="V61" s="84">
        <v>0</v>
      </c>
      <c r="W61" s="85">
        <f t="shared" si="5"/>
        <v>5</v>
      </c>
      <c r="X61" s="86">
        <v>5</v>
      </c>
      <c r="Y61" s="86">
        <v>0</v>
      </c>
      <c r="Z61" s="86">
        <v>0</v>
      </c>
      <c r="AA61" s="88">
        <v>5</v>
      </c>
      <c r="AB61" s="89">
        <v>5</v>
      </c>
      <c r="AC61" s="89">
        <v>0</v>
      </c>
      <c r="AD61" s="89">
        <v>0</v>
      </c>
      <c r="AE61" s="90">
        <f t="shared" si="6"/>
        <v>5</v>
      </c>
      <c r="AF61" s="91">
        <v>5</v>
      </c>
      <c r="AG61" s="91">
        <v>0</v>
      </c>
      <c r="AH61" s="91">
        <v>0</v>
      </c>
      <c r="AI61" s="87">
        <f t="shared" si="7"/>
        <v>5</v>
      </c>
      <c r="AJ61" s="77" t="s">
        <v>57</v>
      </c>
      <c r="AK61" s="77" t="s">
        <v>82</v>
      </c>
      <c r="AL61" s="77"/>
      <c r="AM61" s="77"/>
    </row>
    <row r="62" spans="2:39" s="66" customFormat="1" ht="15.9" customHeight="1">
      <c r="B62" s="75">
        <f>SUBTOTAL(3,C$4:$C62)</f>
        <v>59</v>
      </c>
      <c r="C62" s="76" t="s">
        <v>77</v>
      </c>
      <c r="D62" s="77">
        <v>2025</v>
      </c>
      <c r="E62" s="77" t="s">
        <v>60</v>
      </c>
      <c r="F62" s="77" t="s">
        <v>56</v>
      </c>
      <c r="G62" s="77" t="s">
        <v>56</v>
      </c>
      <c r="H62" s="77" t="s">
        <v>56</v>
      </c>
      <c r="I62" s="79" t="str">
        <f t="shared" si="0"/>
        <v>-</v>
      </c>
      <c r="J62" s="77">
        <v>1</v>
      </c>
      <c r="K62" s="77" t="s">
        <v>56</v>
      </c>
      <c r="L62" s="77" t="s">
        <v>56</v>
      </c>
      <c r="M62" s="77">
        <f t="shared" si="1"/>
        <v>1</v>
      </c>
      <c r="N62" s="81">
        <f t="shared" si="2"/>
        <v>1</v>
      </c>
      <c r="O62" s="82" t="str">
        <f t="shared" si="3"/>
        <v>-</v>
      </c>
      <c r="P62" s="83">
        <v>1</v>
      </c>
      <c r="Q62" s="83">
        <v>0</v>
      </c>
      <c r="R62" s="83">
        <v>0</v>
      </c>
      <c r="S62" s="79">
        <f t="shared" si="4"/>
        <v>1</v>
      </c>
      <c r="T62" s="84">
        <v>1</v>
      </c>
      <c r="U62" s="84">
        <v>0</v>
      </c>
      <c r="V62" s="84">
        <v>0</v>
      </c>
      <c r="W62" s="85">
        <f t="shared" si="5"/>
        <v>1</v>
      </c>
      <c r="X62" s="86">
        <v>1</v>
      </c>
      <c r="Y62" s="86">
        <v>0</v>
      </c>
      <c r="Z62" s="86">
        <v>0</v>
      </c>
      <c r="AA62" s="88">
        <v>1</v>
      </c>
      <c r="AB62" s="89">
        <v>1</v>
      </c>
      <c r="AC62" s="89">
        <v>0</v>
      </c>
      <c r="AD62" s="89">
        <v>0</v>
      </c>
      <c r="AE62" s="90">
        <f t="shared" si="6"/>
        <v>1</v>
      </c>
      <c r="AF62" s="91">
        <v>1</v>
      </c>
      <c r="AG62" s="91">
        <v>0</v>
      </c>
      <c r="AH62" s="91">
        <v>0</v>
      </c>
      <c r="AI62" s="87">
        <f t="shared" si="7"/>
        <v>1</v>
      </c>
      <c r="AJ62" s="77" t="s">
        <v>57</v>
      </c>
      <c r="AK62" s="77" t="s">
        <v>82</v>
      </c>
      <c r="AL62" s="77"/>
      <c r="AM62" s="95">
        <v>45763</v>
      </c>
    </row>
    <row r="63" spans="2:39" s="65" customFormat="1" ht="15.9" customHeight="1">
      <c r="B63" s="75">
        <f>SUBTOTAL(3,C$4:$C63)</f>
        <v>60</v>
      </c>
      <c r="C63" s="76" t="s">
        <v>501</v>
      </c>
      <c r="D63" s="77"/>
      <c r="E63" s="77"/>
      <c r="F63" s="77" t="s">
        <v>56</v>
      </c>
      <c r="G63" s="77" t="s">
        <v>56</v>
      </c>
      <c r="H63" s="77" t="s">
        <v>56</v>
      </c>
      <c r="I63" s="79" t="str">
        <f t="shared" si="0"/>
        <v>-</v>
      </c>
      <c r="J63" s="77">
        <v>2</v>
      </c>
      <c r="K63" s="77" t="s">
        <v>56</v>
      </c>
      <c r="L63" s="77" t="s">
        <v>56</v>
      </c>
      <c r="M63" s="77">
        <f t="shared" si="1"/>
        <v>2</v>
      </c>
      <c r="N63" s="81">
        <f t="shared" si="2"/>
        <v>2</v>
      </c>
      <c r="O63" s="82" t="str">
        <f t="shared" si="3"/>
        <v>-</v>
      </c>
      <c r="P63" s="83">
        <v>2</v>
      </c>
      <c r="Q63" s="83">
        <v>0</v>
      </c>
      <c r="R63" s="83">
        <v>0</v>
      </c>
      <c r="S63" s="79">
        <f t="shared" si="4"/>
        <v>2</v>
      </c>
      <c r="T63" s="84">
        <v>2</v>
      </c>
      <c r="U63" s="84">
        <v>0</v>
      </c>
      <c r="V63" s="84">
        <v>0</v>
      </c>
      <c r="W63" s="85">
        <f t="shared" si="5"/>
        <v>2</v>
      </c>
      <c r="X63" s="86">
        <v>2</v>
      </c>
      <c r="Y63" s="86">
        <v>0</v>
      </c>
      <c r="Z63" s="86">
        <v>0</v>
      </c>
      <c r="AA63" s="88">
        <v>2</v>
      </c>
      <c r="AB63" s="89">
        <v>2</v>
      </c>
      <c r="AC63" s="89">
        <v>0</v>
      </c>
      <c r="AD63" s="89">
        <v>0</v>
      </c>
      <c r="AE63" s="90">
        <f t="shared" si="6"/>
        <v>2</v>
      </c>
      <c r="AF63" s="93">
        <v>1</v>
      </c>
      <c r="AG63" s="93">
        <v>1</v>
      </c>
      <c r="AH63" s="91">
        <v>0</v>
      </c>
      <c r="AI63" s="87">
        <f t="shared" si="7"/>
        <v>2</v>
      </c>
      <c r="AJ63" s="77" t="s">
        <v>57</v>
      </c>
      <c r="AK63" s="77" t="s">
        <v>82</v>
      </c>
      <c r="AL63" s="77"/>
      <c r="AM63" s="95"/>
    </row>
    <row r="64" spans="2:39" s="65" customFormat="1" ht="15.9" customHeight="1">
      <c r="B64" s="75">
        <f>SUBTOTAL(3,C$4:$C64)</f>
        <v>61</v>
      </c>
      <c r="C64" s="76" t="s">
        <v>54</v>
      </c>
      <c r="D64" s="77">
        <v>2010</v>
      </c>
      <c r="E64" s="77" t="s">
        <v>55</v>
      </c>
      <c r="F64" s="77">
        <v>8</v>
      </c>
      <c r="G64" s="77" t="s">
        <v>56</v>
      </c>
      <c r="H64" s="77" t="s">
        <v>56</v>
      </c>
      <c r="I64" s="79">
        <f t="shared" si="0"/>
        <v>8</v>
      </c>
      <c r="J64" s="77">
        <v>8</v>
      </c>
      <c r="K64" s="77" t="s">
        <v>56</v>
      </c>
      <c r="L64" s="77" t="s">
        <v>56</v>
      </c>
      <c r="M64" s="77">
        <f t="shared" si="1"/>
        <v>8</v>
      </c>
      <c r="N64" s="81">
        <f t="shared" si="2"/>
        <v>8</v>
      </c>
      <c r="O64" s="82" t="str">
        <f t="shared" si="3"/>
        <v>-</v>
      </c>
      <c r="P64" s="83">
        <v>8</v>
      </c>
      <c r="Q64" s="83">
        <v>0</v>
      </c>
      <c r="R64" s="83">
        <v>0</v>
      </c>
      <c r="S64" s="79">
        <f t="shared" si="4"/>
        <v>8</v>
      </c>
      <c r="T64" s="84">
        <v>8</v>
      </c>
      <c r="U64" s="84">
        <v>0</v>
      </c>
      <c r="V64" s="84">
        <v>0</v>
      </c>
      <c r="W64" s="85">
        <f t="shared" si="5"/>
        <v>8</v>
      </c>
      <c r="X64" s="86">
        <v>7</v>
      </c>
      <c r="Y64" s="86">
        <v>1</v>
      </c>
      <c r="Z64" s="86">
        <v>0</v>
      </c>
      <c r="AA64" s="88">
        <v>8</v>
      </c>
      <c r="AB64" s="89">
        <v>7</v>
      </c>
      <c r="AC64" s="89">
        <v>1</v>
      </c>
      <c r="AD64" s="89">
        <v>0</v>
      </c>
      <c r="AE64" s="90">
        <f t="shared" si="6"/>
        <v>8</v>
      </c>
      <c r="AF64" s="91">
        <v>7</v>
      </c>
      <c r="AG64" s="91">
        <v>0</v>
      </c>
      <c r="AH64" s="91">
        <v>0</v>
      </c>
      <c r="AI64" s="87">
        <f t="shared" si="7"/>
        <v>7</v>
      </c>
      <c r="AJ64" s="77" t="s">
        <v>57</v>
      </c>
      <c r="AK64" s="77" t="s">
        <v>83</v>
      </c>
      <c r="AL64" s="77"/>
      <c r="AM64" s="77"/>
    </row>
    <row r="65" spans="2:39" s="65" customFormat="1" ht="15.9" customHeight="1">
      <c r="B65" s="75">
        <f>SUBTOTAL(3,C$4:$C65)</f>
        <v>62</v>
      </c>
      <c r="C65" s="76" t="s">
        <v>59</v>
      </c>
      <c r="D65" s="77">
        <v>2015</v>
      </c>
      <c r="E65" s="77" t="s">
        <v>60</v>
      </c>
      <c r="F65" s="77">
        <v>8</v>
      </c>
      <c r="G65" s="77" t="s">
        <v>56</v>
      </c>
      <c r="H65" s="77" t="s">
        <v>56</v>
      </c>
      <c r="I65" s="79">
        <f t="shared" si="0"/>
        <v>8</v>
      </c>
      <c r="J65" s="77">
        <v>8</v>
      </c>
      <c r="K65" s="77" t="s">
        <v>56</v>
      </c>
      <c r="L65" s="77" t="s">
        <v>56</v>
      </c>
      <c r="M65" s="77">
        <f t="shared" si="1"/>
        <v>8</v>
      </c>
      <c r="N65" s="81">
        <f t="shared" si="2"/>
        <v>8</v>
      </c>
      <c r="O65" s="82" t="str">
        <f t="shared" si="3"/>
        <v>-</v>
      </c>
      <c r="P65" s="83">
        <v>8</v>
      </c>
      <c r="Q65" s="83">
        <v>0</v>
      </c>
      <c r="R65" s="83">
        <v>0</v>
      </c>
      <c r="S65" s="79">
        <f t="shared" si="4"/>
        <v>8</v>
      </c>
      <c r="T65" s="84">
        <v>8</v>
      </c>
      <c r="U65" s="84">
        <v>0</v>
      </c>
      <c r="V65" s="84">
        <v>0</v>
      </c>
      <c r="W65" s="85">
        <f t="shared" si="5"/>
        <v>8</v>
      </c>
      <c r="X65" s="86">
        <v>8</v>
      </c>
      <c r="Y65" s="86">
        <v>0</v>
      </c>
      <c r="Z65" s="86">
        <v>0</v>
      </c>
      <c r="AA65" s="88">
        <v>8</v>
      </c>
      <c r="AB65" s="89">
        <v>8</v>
      </c>
      <c r="AC65" s="89">
        <v>0</v>
      </c>
      <c r="AD65" s="89">
        <v>0</v>
      </c>
      <c r="AE65" s="90">
        <f t="shared" si="6"/>
        <v>8</v>
      </c>
      <c r="AF65" s="91">
        <v>8</v>
      </c>
      <c r="AG65" s="91">
        <v>0</v>
      </c>
      <c r="AH65" s="91">
        <v>0</v>
      </c>
      <c r="AI65" s="87">
        <f t="shared" si="7"/>
        <v>8</v>
      </c>
      <c r="AJ65" s="77" t="s">
        <v>57</v>
      </c>
      <c r="AK65" s="77" t="s">
        <v>83</v>
      </c>
      <c r="AL65" s="77"/>
      <c r="AM65" s="77"/>
    </row>
    <row r="66" spans="2:39" s="65" customFormat="1" ht="15.9" customHeight="1">
      <c r="B66" s="75">
        <f>SUBTOTAL(3,C$4:$C66)</f>
        <v>63</v>
      </c>
      <c r="C66" s="76" t="s">
        <v>61</v>
      </c>
      <c r="D66" s="78" t="s">
        <v>62</v>
      </c>
      <c r="E66" s="77" t="s">
        <v>63</v>
      </c>
      <c r="F66" s="77">
        <v>2</v>
      </c>
      <c r="G66" s="77" t="s">
        <v>56</v>
      </c>
      <c r="H66" s="77" t="s">
        <v>56</v>
      </c>
      <c r="I66" s="79">
        <f t="shared" si="0"/>
        <v>2</v>
      </c>
      <c r="J66" s="77">
        <v>8</v>
      </c>
      <c r="K66" s="77" t="s">
        <v>56</v>
      </c>
      <c r="L66" s="77" t="s">
        <v>56</v>
      </c>
      <c r="M66" s="77">
        <f t="shared" si="1"/>
        <v>8</v>
      </c>
      <c r="N66" s="81">
        <f t="shared" si="2"/>
        <v>8</v>
      </c>
      <c r="O66" s="82" t="str">
        <f t="shared" si="3"/>
        <v>-</v>
      </c>
      <c r="P66" s="83">
        <v>8</v>
      </c>
      <c r="Q66" s="83">
        <v>0</v>
      </c>
      <c r="R66" s="83">
        <v>0</v>
      </c>
      <c r="S66" s="79">
        <f t="shared" si="4"/>
        <v>8</v>
      </c>
      <c r="T66" s="84">
        <v>8</v>
      </c>
      <c r="U66" s="84">
        <v>0</v>
      </c>
      <c r="V66" s="84">
        <v>0</v>
      </c>
      <c r="W66" s="85">
        <f t="shared" si="5"/>
        <v>8</v>
      </c>
      <c r="X66" s="86">
        <v>8</v>
      </c>
      <c r="Y66" s="86">
        <v>0</v>
      </c>
      <c r="Z66" s="86">
        <v>0</v>
      </c>
      <c r="AA66" s="88">
        <v>8</v>
      </c>
      <c r="AB66" s="89">
        <v>8</v>
      </c>
      <c r="AC66" s="89">
        <v>0</v>
      </c>
      <c r="AD66" s="89">
        <v>0</v>
      </c>
      <c r="AE66" s="90">
        <f t="shared" si="6"/>
        <v>8</v>
      </c>
      <c r="AF66" s="91">
        <v>8</v>
      </c>
      <c r="AG66" s="91">
        <v>0</v>
      </c>
      <c r="AH66" s="91">
        <v>0</v>
      </c>
      <c r="AI66" s="87">
        <f t="shared" si="7"/>
        <v>8</v>
      </c>
      <c r="AJ66" s="77" t="s">
        <v>57</v>
      </c>
      <c r="AK66" s="77" t="s">
        <v>83</v>
      </c>
      <c r="AL66" s="77"/>
      <c r="AM66" s="77"/>
    </row>
    <row r="67" spans="2:39" s="65" customFormat="1" ht="15.9" customHeight="1">
      <c r="B67" s="75">
        <f>SUBTOTAL(3,C$4:$C67)</f>
        <v>64</v>
      </c>
      <c r="C67" s="76" t="s">
        <v>64</v>
      </c>
      <c r="D67" s="78" t="s">
        <v>62</v>
      </c>
      <c r="E67" s="77" t="s">
        <v>63</v>
      </c>
      <c r="F67" s="77">
        <v>2</v>
      </c>
      <c r="G67" s="77" t="s">
        <v>56</v>
      </c>
      <c r="H67" s="77" t="s">
        <v>56</v>
      </c>
      <c r="I67" s="79">
        <f t="shared" si="0"/>
        <v>2</v>
      </c>
      <c r="J67" s="77">
        <v>8</v>
      </c>
      <c r="K67" s="77" t="s">
        <v>56</v>
      </c>
      <c r="L67" s="77" t="s">
        <v>56</v>
      </c>
      <c r="M67" s="77">
        <f t="shared" si="1"/>
        <v>8</v>
      </c>
      <c r="N67" s="81">
        <f t="shared" si="2"/>
        <v>8</v>
      </c>
      <c r="O67" s="82" t="str">
        <f t="shared" si="3"/>
        <v>-</v>
      </c>
      <c r="P67" s="83">
        <v>8</v>
      </c>
      <c r="Q67" s="83">
        <v>0</v>
      </c>
      <c r="R67" s="83">
        <v>0</v>
      </c>
      <c r="S67" s="79">
        <f t="shared" si="4"/>
        <v>8</v>
      </c>
      <c r="T67" s="84">
        <v>8</v>
      </c>
      <c r="U67" s="84">
        <v>0</v>
      </c>
      <c r="V67" s="84">
        <v>0</v>
      </c>
      <c r="W67" s="85">
        <f t="shared" si="5"/>
        <v>8</v>
      </c>
      <c r="X67" s="86">
        <v>8</v>
      </c>
      <c r="Y67" s="86">
        <v>0</v>
      </c>
      <c r="Z67" s="86">
        <v>0</v>
      </c>
      <c r="AA67" s="88">
        <v>8</v>
      </c>
      <c r="AB67" s="89">
        <v>8</v>
      </c>
      <c r="AC67" s="89">
        <v>0</v>
      </c>
      <c r="AD67" s="89">
        <v>0</v>
      </c>
      <c r="AE67" s="90">
        <f t="shared" si="6"/>
        <v>8</v>
      </c>
      <c r="AF67" s="91">
        <v>8</v>
      </c>
      <c r="AG67" s="91">
        <v>0</v>
      </c>
      <c r="AH67" s="91">
        <v>0</v>
      </c>
      <c r="AI67" s="87">
        <f t="shared" si="7"/>
        <v>8</v>
      </c>
      <c r="AJ67" s="77" t="s">
        <v>57</v>
      </c>
      <c r="AK67" s="77" t="s">
        <v>83</v>
      </c>
      <c r="AL67" s="77"/>
      <c r="AM67" s="77"/>
    </row>
    <row r="68" spans="2:39" s="65" customFormat="1" ht="15.9" customHeight="1">
      <c r="B68" s="75">
        <f>SUBTOTAL(3,C$4:$C68)</f>
        <v>65</v>
      </c>
      <c r="C68" s="76" t="s">
        <v>65</v>
      </c>
      <c r="D68" s="77" t="s">
        <v>66</v>
      </c>
      <c r="E68" s="77" t="s">
        <v>67</v>
      </c>
      <c r="F68" s="77">
        <v>8</v>
      </c>
      <c r="G68" s="77" t="s">
        <v>56</v>
      </c>
      <c r="H68" s="77" t="s">
        <v>56</v>
      </c>
      <c r="I68" s="79">
        <f t="shared" ref="I68:I131" si="8">F68</f>
        <v>8</v>
      </c>
      <c r="J68" s="77">
        <v>8</v>
      </c>
      <c r="K68" s="77" t="s">
        <v>56</v>
      </c>
      <c r="L68" s="77" t="s">
        <v>56</v>
      </c>
      <c r="M68" s="77">
        <f t="shared" ref="M68:M131" si="9">SUM(J68:L68)</f>
        <v>8</v>
      </c>
      <c r="N68" s="81">
        <f t="shared" ref="N68:N131" si="10">J68</f>
        <v>8</v>
      </c>
      <c r="O68" s="82" t="str">
        <f t="shared" ref="O68:O131" si="11">L68</f>
        <v>-</v>
      </c>
      <c r="P68" s="83">
        <v>8</v>
      </c>
      <c r="Q68" s="83">
        <v>0</v>
      </c>
      <c r="R68" s="83">
        <v>0</v>
      </c>
      <c r="S68" s="79">
        <f t="shared" ref="S68:S131" si="12">SUM(P68:R68)</f>
        <v>8</v>
      </c>
      <c r="T68" s="84">
        <v>8</v>
      </c>
      <c r="U68" s="84">
        <v>0</v>
      </c>
      <c r="V68" s="84">
        <v>0</v>
      </c>
      <c r="W68" s="85">
        <f t="shared" ref="W68:W131" si="13">SUM(T68:V68)</f>
        <v>8</v>
      </c>
      <c r="X68" s="86">
        <v>8</v>
      </c>
      <c r="Y68" s="86">
        <v>0</v>
      </c>
      <c r="Z68" s="86">
        <v>0</v>
      </c>
      <c r="AA68" s="88">
        <v>8</v>
      </c>
      <c r="AB68" s="89">
        <v>8</v>
      </c>
      <c r="AC68" s="89">
        <v>0</v>
      </c>
      <c r="AD68" s="89">
        <v>0</v>
      </c>
      <c r="AE68" s="90">
        <f t="shared" ref="AE68:AE131" si="14">SUM(AB68:AD68)</f>
        <v>8</v>
      </c>
      <c r="AF68" s="91">
        <v>8</v>
      </c>
      <c r="AG68" s="91">
        <v>0</v>
      </c>
      <c r="AH68" s="91">
        <v>0</v>
      </c>
      <c r="AI68" s="87">
        <f t="shared" ref="AI68:AI131" si="15">SUM(AF68:AH68)</f>
        <v>8</v>
      </c>
      <c r="AJ68" s="77" t="s">
        <v>57</v>
      </c>
      <c r="AK68" s="77" t="s">
        <v>83</v>
      </c>
      <c r="AL68" s="77"/>
      <c r="AM68" s="77"/>
    </row>
    <row r="69" spans="2:39" s="65" customFormat="1" ht="15.9" customHeight="1">
      <c r="B69" s="75">
        <f>SUBTOTAL(3,C$4:$C69)</f>
        <v>66</v>
      </c>
      <c r="C69" s="76" t="s">
        <v>68</v>
      </c>
      <c r="D69" s="77" t="s">
        <v>84</v>
      </c>
      <c r="E69" s="77" t="s">
        <v>55</v>
      </c>
      <c r="F69" s="77">
        <v>4</v>
      </c>
      <c r="G69" s="77" t="s">
        <v>56</v>
      </c>
      <c r="H69" s="77" t="s">
        <v>56</v>
      </c>
      <c r="I69" s="79">
        <f t="shared" si="8"/>
        <v>4</v>
      </c>
      <c r="J69" s="77">
        <v>4</v>
      </c>
      <c r="K69" s="77" t="s">
        <v>56</v>
      </c>
      <c r="L69" s="77" t="s">
        <v>56</v>
      </c>
      <c r="M69" s="77">
        <f t="shared" si="9"/>
        <v>4</v>
      </c>
      <c r="N69" s="81">
        <f t="shared" si="10"/>
        <v>4</v>
      </c>
      <c r="O69" s="82" t="str">
        <f t="shared" si="11"/>
        <v>-</v>
      </c>
      <c r="P69" s="83">
        <v>4</v>
      </c>
      <c r="Q69" s="83">
        <v>0</v>
      </c>
      <c r="R69" s="83">
        <v>0</v>
      </c>
      <c r="S69" s="79">
        <f t="shared" si="12"/>
        <v>4</v>
      </c>
      <c r="T69" s="84">
        <v>4</v>
      </c>
      <c r="U69" s="84">
        <v>0</v>
      </c>
      <c r="V69" s="84">
        <v>0</v>
      </c>
      <c r="W69" s="85">
        <f t="shared" si="13"/>
        <v>4</v>
      </c>
      <c r="X69" s="86">
        <v>4</v>
      </c>
      <c r="Y69" s="86">
        <v>0</v>
      </c>
      <c r="Z69" s="86">
        <v>0</v>
      </c>
      <c r="AA69" s="88">
        <v>4</v>
      </c>
      <c r="AB69" s="89">
        <v>4</v>
      </c>
      <c r="AC69" s="89">
        <v>0</v>
      </c>
      <c r="AD69" s="89">
        <v>0</v>
      </c>
      <c r="AE69" s="90">
        <f t="shared" si="14"/>
        <v>4</v>
      </c>
      <c r="AF69" s="91">
        <v>4</v>
      </c>
      <c r="AG69" s="91">
        <v>0</v>
      </c>
      <c r="AH69" s="91">
        <v>0</v>
      </c>
      <c r="AI69" s="87">
        <f t="shared" si="15"/>
        <v>4</v>
      </c>
      <c r="AJ69" s="77" t="s">
        <v>57</v>
      </c>
      <c r="AK69" s="77" t="s">
        <v>83</v>
      </c>
      <c r="AL69" s="77"/>
      <c r="AM69" s="77"/>
    </row>
    <row r="70" spans="2:39" s="65" customFormat="1" ht="15.9" customHeight="1">
      <c r="B70" s="75">
        <f>SUBTOTAL(3,C$4:$C70)</f>
        <v>67</v>
      </c>
      <c r="C70" s="76" t="s">
        <v>69</v>
      </c>
      <c r="D70" s="77">
        <v>2015</v>
      </c>
      <c r="E70" s="77" t="s">
        <v>55</v>
      </c>
      <c r="F70" s="77">
        <v>4</v>
      </c>
      <c r="G70" s="77" t="s">
        <v>56</v>
      </c>
      <c r="H70" s="77" t="s">
        <v>56</v>
      </c>
      <c r="I70" s="79">
        <f t="shared" si="8"/>
        <v>4</v>
      </c>
      <c r="J70" s="77">
        <v>4</v>
      </c>
      <c r="K70" s="77" t="s">
        <v>56</v>
      </c>
      <c r="L70" s="77" t="s">
        <v>56</v>
      </c>
      <c r="M70" s="77">
        <f t="shared" si="9"/>
        <v>4</v>
      </c>
      <c r="N70" s="81">
        <f t="shared" si="10"/>
        <v>4</v>
      </c>
      <c r="O70" s="82" t="str">
        <f t="shared" si="11"/>
        <v>-</v>
      </c>
      <c r="P70" s="83">
        <v>4</v>
      </c>
      <c r="Q70" s="83">
        <v>0</v>
      </c>
      <c r="R70" s="83">
        <v>0</v>
      </c>
      <c r="S70" s="79">
        <f t="shared" si="12"/>
        <v>4</v>
      </c>
      <c r="T70" s="84">
        <v>4</v>
      </c>
      <c r="U70" s="84">
        <v>0</v>
      </c>
      <c r="V70" s="84">
        <v>0</v>
      </c>
      <c r="W70" s="85">
        <f t="shared" si="13"/>
        <v>4</v>
      </c>
      <c r="X70" s="86">
        <v>4</v>
      </c>
      <c r="Y70" s="86">
        <v>0</v>
      </c>
      <c r="Z70" s="86">
        <v>0</v>
      </c>
      <c r="AA70" s="88">
        <v>4</v>
      </c>
      <c r="AB70" s="89">
        <v>4</v>
      </c>
      <c r="AC70" s="89">
        <v>0</v>
      </c>
      <c r="AD70" s="89">
        <v>0</v>
      </c>
      <c r="AE70" s="90">
        <f t="shared" si="14"/>
        <v>4</v>
      </c>
      <c r="AF70" s="91">
        <v>4</v>
      </c>
      <c r="AG70" s="91">
        <v>0</v>
      </c>
      <c r="AH70" s="91">
        <v>0</v>
      </c>
      <c r="AI70" s="87">
        <f t="shared" si="15"/>
        <v>4</v>
      </c>
      <c r="AJ70" s="77" t="s">
        <v>57</v>
      </c>
      <c r="AK70" s="77" t="s">
        <v>83</v>
      </c>
      <c r="AL70" s="77"/>
      <c r="AM70" s="77"/>
    </row>
    <row r="71" spans="2:39" s="65" customFormat="1" ht="15.9" customHeight="1">
      <c r="B71" s="75">
        <f>SUBTOTAL(3,C$4:$C71)</f>
        <v>68</v>
      </c>
      <c r="C71" s="76" t="s">
        <v>70</v>
      </c>
      <c r="D71" s="77">
        <v>2010</v>
      </c>
      <c r="E71" s="77" t="s">
        <v>71</v>
      </c>
      <c r="F71" s="77">
        <v>4</v>
      </c>
      <c r="G71" s="77" t="s">
        <v>56</v>
      </c>
      <c r="H71" s="77" t="s">
        <v>56</v>
      </c>
      <c r="I71" s="79">
        <f t="shared" si="8"/>
        <v>4</v>
      </c>
      <c r="J71" s="77">
        <v>4</v>
      </c>
      <c r="K71" s="77" t="s">
        <v>56</v>
      </c>
      <c r="L71" s="77" t="s">
        <v>56</v>
      </c>
      <c r="M71" s="77">
        <f t="shared" si="9"/>
        <v>4</v>
      </c>
      <c r="N71" s="81">
        <f t="shared" si="10"/>
        <v>4</v>
      </c>
      <c r="O71" s="82" t="str">
        <f t="shared" si="11"/>
        <v>-</v>
      </c>
      <c r="P71" s="83">
        <v>4</v>
      </c>
      <c r="Q71" s="83">
        <v>0</v>
      </c>
      <c r="R71" s="83">
        <v>0</v>
      </c>
      <c r="S71" s="79">
        <f t="shared" si="12"/>
        <v>4</v>
      </c>
      <c r="T71" s="84">
        <v>4</v>
      </c>
      <c r="U71" s="84">
        <v>0</v>
      </c>
      <c r="V71" s="84">
        <v>0</v>
      </c>
      <c r="W71" s="85">
        <f t="shared" si="13"/>
        <v>4</v>
      </c>
      <c r="X71" s="86">
        <v>4</v>
      </c>
      <c r="Y71" s="86">
        <v>0</v>
      </c>
      <c r="Z71" s="86">
        <v>0</v>
      </c>
      <c r="AA71" s="88">
        <v>4</v>
      </c>
      <c r="AB71" s="89">
        <v>4</v>
      </c>
      <c r="AC71" s="89">
        <v>0</v>
      </c>
      <c r="AD71" s="89">
        <v>0</v>
      </c>
      <c r="AE71" s="90">
        <f t="shared" si="14"/>
        <v>4</v>
      </c>
      <c r="AF71" s="91">
        <v>4</v>
      </c>
      <c r="AG71" s="91">
        <v>0</v>
      </c>
      <c r="AH71" s="91">
        <v>0</v>
      </c>
      <c r="AI71" s="87">
        <f t="shared" si="15"/>
        <v>4</v>
      </c>
      <c r="AJ71" s="77" t="s">
        <v>57</v>
      </c>
      <c r="AK71" s="77" t="s">
        <v>83</v>
      </c>
      <c r="AL71" s="77"/>
      <c r="AM71" s="77"/>
    </row>
    <row r="72" spans="2:39" s="65" customFormat="1" ht="15.9" customHeight="1">
      <c r="B72" s="75">
        <f>SUBTOTAL(3,C$4:$C72)</f>
        <v>69</v>
      </c>
      <c r="C72" s="76" t="s">
        <v>72</v>
      </c>
      <c r="D72" s="77">
        <v>2010</v>
      </c>
      <c r="E72" s="77" t="s">
        <v>67</v>
      </c>
      <c r="F72" s="77">
        <v>2</v>
      </c>
      <c r="G72" s="77" t="s">
        <v>56</v>
      </c>
      <c r="H72" s="77" t="s">
        <v>56</v>
      </c>
      <c r="I72" s="79">
        <f t="shared" si="8"/>
        <v>2</v>
      </c>
      <c r="J72" s="77">
        <v>2</v>
      </c>
      <c r="K72" s="77" t="s">
        <v>56</v>
      </c>
      <c r="L72" s="77" t="s">
        <v>56</v>
      </c>
      <c r="M72" s="77">
        <f t="shared" si="9"/>
        <v>2</v>
      </c>
      <c r="N72" s="81">
        <f t="shared" si="10"/>
        <v>2</v>
      </c>
      <c r="O72" s="82" t="str">
        <f t="shared" si="11"/>
        <v>-</v>
      </c>
      <c r="P72" s="83">
        <v>2</v>
      </c>
      <c r="Q72" s="83">
        <v>0</v>
      </c>
      <c r="R72" s="83">
        <v>0</v>
      </c>
      <c r="S72" s="79">
        <f t="shared" si="12"/>
        <v>2</v>
      </c>
      <c r="T72" s="84">
        <v>2</v>
      </c>
      <c r="U72" s="84">
        <v>0</v>
      </c>
      <c r="V72" s="84">
        <v>0</v>
      </c>
      <c r="W72" s="85">
        <f t="shared" si="13"/>
        <v>2</v>
      </c>
      <c r="X72" s="86">
        <v>2</v>
      </c>
      <c r="Y72" s="86">
        <v>0</v>
      </c>
      <c r="Z72" s="86">
        <v>0</v>
      </c>
      <c r="AA72" s="88">
        <v>2</v>
      </c>
      <c r="AB72" s="89">
        <v>2</v>
      </c>
      <c r="AC72" s="89">
        <v>0</v>
      </c>
      <c r="AD72" s="89">
        <v>0</v>
      </c>
      <c r="AE72" s="90">
        <f t="shared" si="14"/>
        <v>2</v>
      </c>
      <c r="AF72" s="91">
        <v>2</v>
      </c>
      <c r="AG72" s="91">
        <v>0</v>
      </c>
      <c r="AH72" s="91">
        <v>0</v>
      </c>
      <c r="AI72" s="87">
        <f t="shared" si="15"/>
        <v>2</v>
      </c>
      <c r="AJ72" s="77" t="s">
        <v>57</v>
      </c>
      <c r="AK72" s="77" t="s">
        <v>83</v>
      </c>
      <c r="AL72" s="77"/>
      <c r="AM72" s="77"/>
    </row>
    <row r="73" spans="2:39" s="65" customFormat="1" ht="15.9" customHeight="1">
      <c r="B73" s="75">
        <f>SUBTOTAL(3,C$4:$C73)</f>
        <v>70</v>
      </c>
      <c r="C73" s="76" t="s">
        <v>73</v>
      </c>
      <c r="D73" s="77">
        <v>2010</v>
      </c>
      <c r="E73" s="77" t="s">
        <v>63</v>
      </c>
      <c r="F73" s="77" t="s">
        <v>56</v>
      </c>
      <c r="G73" s="77" t="s">
        <v>56</v>
      </c>
      <c r="H73" s="77" t="s">
        <v>56</v>
      </c>
      <c r="I73" s="79" t="str">
        <f t="shared" si="8"/>
        <v>-</v>
      </c>
      <c r="J73" s="77">
        <v>2</v>
      </c>
      <c r="K73" s="77" t="s">
        <v>56</v>
      </c>
      <c r="L73" s="77" t="s">
        <v>56</v>
      </c>
      <c r="M73" s="77">
        <f t="shared" si="9"/>
        <v>2</v>
      </c>
      <c r="N73" s="81">
        <f t="shared" si="10"/>
        <v>2</v>
      </c>
      <c r="O73" s="82" t="str">
        <f t="shared" si="11"/>
        <v>-</v>
      </c>
      <c r="P73" s="83">
        <v>2</v>
      </c>
      <c r="Q73" s="83">
        <v>0</v>
      </c>
      <c r="R73" s="83">
        <v>0</v>
      </c>
      <c r="S73" s="79">
        <f t="shared" si="12"/>
        <v>2</v>
      </c>
      <c r="T73" s="84">
        <v>2</v>
      </c>
      <c r="U73" s="84">
        <v>0</v>
      </c>
      <c r="V73" s="84">
        <v>0</v>
      </c>
      <c r="W73" s="85">
        <f t="shared" si="13"/>
        <v>2</v>
      </c>
      <c r="X73" s="86">
        <v>2</v>
      </c>
      <c r="Y73" s="86">
        <v>0</v>
      </c>
      <c r="Z73" s="86">
        <v>0</v>
      </c>
      <c r="AA73" s="88">
        <v>2</v>
      </c>
      <c r="AB73" s="89">
        <v>2</v>
      </c>
      <c r="AC73" s="89">
        <v>0</v>
      </c>
      <c r="AD73" s="89">
        <v>0</v>
      </c>
      <c r="AE73" s="90">
        <f t="shared" si="14"/>
        <v>2</v>
      </c>
      <c r="AF73" s="91">
        <v>2</v>
      </c>
      <c r="AG73" s="91">
        <v>0</v>
      </c>
      <c r="AH73" s="91">
        <v>0</v>
      </c>
      <c r="AI73" s="87">
        <f t="shared" si="15"/>
        <v>2</v>
      </c>
      <c r="AJ73" s="77" t="s">
        <v>57</v>
      </c>
      <c r="AK73" s="77" t="s">
        <v>83</v>
      </c>
      <c r="AL73" s="77"/>
      <c r="AM73" s="77"/>
    </row>
    <row r="74" spans="2:39" s="65" customFormat="1" ht="15.9" customHeight="1">
      <c r="B74" s="75">
        <f>SUBTOTAL(3,C$4:$C74)</f>
        <v>71</v>
      </c>
      <c r="C74" s="76" t="s">
        <v>74</v>
      </c>
      <c r="D74" s="77">
        <v>2018</v>
      </c>
      <c r="E74" s="77" t="s">
        <v>60</v>
      </c>
      <c r="F74" s="77">
        <v>4</v>
      </c>
      <c r="G74" s="77" t="s">
        <v>56</v>
      </c>
      <c r="H74" s="77" t="s">
        <v>56</v>
      </c>
      <c r="I74" s="79">
        <f t="shared" si="8"/>
        <v>4</v>
      </c>
      <c r="J74" s="77">
        <v>4</v>
      </c>
      <c r="K74" s="77" t="s">
        <v>56</v>
      </c>
      <c r="L74" s="77" t="s">
        <v>56</v>
      </c>
      <c r="M74" s="77">
        <f t="shared" si="9"/>
        <v>4</v>
      </c>
      <c r="N74" s="81">
        <f t="shared" si="10"/>
        <v>4</v>
      </c>
      <c r="O74" s="82" t="str">
        <f t="shared" si="11"/>
        <v>-</v>
      </c>
      <c r="P74" s="83">
        <v>4</v>
      </c>
      <c r="Q74" s="83">
        <v>0</v>
      </c>
      <c r="R74" s="83">
        <v>0</v>
      </c>
      <c r="S74" s="79">
        <f t="shared" si="12"/>
        <v>4</v>
      </c>
      <c r="T74" s="84">
        <v>4</v>
      </c>
      <c r="U74" s="84">
        <v>0</v>
      </c>
      <c r="V74" s="84">
        <v>0</v>
      </c>
      <c r="W74" s="85">
        <f t="shared" si="13"/>
        <v>4</v>
      </c>
      <c r="X74" s="86">
        <v>4</v>
      </c>
      <c r="Y74" s="86">
        <v>0</v>
      </c>
      <c r="Z74" s="86">
        <v>0</v>
      </c>
      <c r="AA74" s="88">
        <v>4</v>
      </c>
      <c r="AB74" s="89">
        <v>4</v>
      </c>
      <c r="AC74" s="89">
        <v>0</v>
      </c>
      <c r="AD74" s="89">
        <v>0</v>
      </c>
      <c r="AE74" s="90">
        <f t="shared" si="14"/>
        <v>4</v>
      </c>
      <c r="AF74" s="91">
        <v>4</v>
      </c>
      <c r="AG74" s="91">
        <v>0</v>
      </c>
      <c r="AH74" s="91">
        <v>0</v>
      </c>
      <c r="AI74" s="87">
        <f t="shared" si="15"/>
        <v>4</v>
      </c>
      <c r="AJ74" s="77" t="s">
        <v>57</v>
      </c>
      <c r="AK74" s="77" t="s">
        <v>83</v>
      </c>
      <c r="AL74" s="77"/>
      <c r="AM74" s="77"/>
    </row>
    <row r="75" spans="2:39" s="65" customFormat="1" ht="15.9" customHeight="1">
      <c r="B75" s="75">
        <f>SUBTOTAL(3,C$4:$C75)</f>
        <v>72</v>
      </c>
      <c r="C75" s="76" t="s">
        <v>75</v>
      </c>
      <c r="D75" s="77">
        <v>2010</v>
      </c>
      <c r="E75" s="77" t="s">
        <v>60</v>
      </c>
      <c r="F75" s="77">
        <v>4</v>
      </c>
      <c r="G75" s="77" t="s">
        <v>56</v>
      </c>
      <c r="H75" s="77" t="s">
        <v>56</v>
      </c>
      <c r="I75" s="79">
        <f t="shared" si="8"/>
        <v>4</v>
      </c>
      <c r="J75" s="77">
        <v>4</v>
      </c>
      <c r="K75" s="77" t="s">
        <v>56</v>
      </c>
      <c r="L75" s="77" t="s">
        <v>56</v>
      </c>
      <c r="M75" s="77">
        <f t="shared" si="9"/>
        <v>4</v>
      </c>
      <c r="N75" s="81">
        <f t="shared" si="10"/>
        <v>4</v>
      </c>
      <c r="O75" s="82" t="str">
        <f t="shared" si="11"/>
        <v>-</v>
      </c>
      <c r="P75" s="83">
        <v>4</v>
      </c>
      <c r="Q75" s="83">
        <v>0</v>
      </c>
      <c r="R75" s="83">
        <v>0</v>
      </c>
      <c r="S75" s="79">
        <f t="shared" si="12"/>
        <v>4</v>
      </c>
      <c r="T75" s="84">
        <v>4</v>
      </c>
      <c r="U75" s="84">
        <v>0</v>
      </c>
      <c r="V75" s="84">
        <v>0</v>
      </c>
      <c r="W75" s="85">
        <f t="shared" si="13"/>
        <v>4</v>
      </c>
      <c r="X75" s="86">
        <v>4</v>
      </c>
      <c r="Y75" s="86">
        <v>0</v>
      </c>
      <c r="Z75" s="86">
        <v>0</v>
      </c>
      <c r="AA75" s="88">
        <v>4</v>
      </c>
      <c r="AB75" s="89">
        <v>4</v>
      </c>
      <c r="AC75" s="89">
        <v>0</v>
      </c>
      <c r="AD75" s="89">
        <v>0</v>
      </c>
      <c r="AE75" s="90">
        <f t="shared" si="14"/>
        <v>4</v>
      </c>
      <c r="AF75" s="91">
        <v>4</v>
      </c>
      <c r="AG75" s="91">
        <v>0</v>
      </c>
      <c r="AH75" s="91">
        <v>0</v>
      </c>
      <c r="AI75" s="87">
        <f t="shared" si="15"/>
        <v>4</v>
      </c>
      <c r="AJ75" s="77" t="s">
        <v>57</v>
      </c>
      <c r="AK75" s="77" t="s">
        <v>83</v>
      </c>
      <c r="AL75" s="77"/>
      <c r="AM75" s="77"/>
    </row>
    <row r="76" spans="2:39" s="65" customFormat="1" ht="15.9" customHeight="1">
      <c r="B76" s="75">
        <f>SUBTOTAL(3,C$4:$C76)</f>
        <v>73</v>
      </c>
      <c r="C76" s="76" t="s">
        <v>76</v>
      </c>
      <c r="D76" s="77">
        <v>2010</v>
      </c>
      <c r="E76" s="77" t="s">
        <v>60</v>
      </c>
      <c r="F76" s="77">
        <v>5</v>
      </c>
      <c r="G76" s="77" t="s">
        <v>56</v>
      </c>
      <c r="H76" s="77">
        <v>1</v>
      </c>
      <c r="I76" s="79">
        <f t="shared" si="8"/>
        <v>5</v>
      </c>
      <c r="J76" s="77">
        <v>5</v>
      </c>
      <c r="K76" s="77" t="s">
        <v>56</v>
      </c>
      <c r="L76" s="77" t="s">
        <v>56</v>
      </c>
      <c r="M76" s="77">
        <f t="shared" si="9"/>
        <v>5</v>
      </c>
      <c r="N76" s="81">
        <f t="shared" si="10"/>
        <v>5</v>
      </c>
      <c r="O76" s="82" t="str">
        <f t="shared" si="11"/>
        <v>-</v>
      </c>
      <c r="P76" s="83">
        <v>5</v>
      </c>
      <c r="Q76" s="83">
        <v>0</v>
      </c>
      <c r="R76" s="83">
        <v>0</v>
      </c>
      <c r="S76" s="79">
        <f t="shared" si="12"/>
        <v>5</v>
      </c>
      <c r="T76" s="84">
        <v>4</v>
      </c>
      <c r="U76" s="84">
        <v>1</v>
      </c>
      <c r="V76" s="84">
        <v>0</v>
      </c>
      <c r="W76" s="85">
        <f t="shared" si="13"/>
        <v>5</v>
      </c>
      <c r="X76" s="86">
        <v>5</v>
      </c>
      <c r="Y76" s="86">
        <v>0</v>
      </c>
      <c r="Z76" s="86">
        <v>0</v>
      </c>
      <c r="AA76" s="88">
        <v>5</v>
      </c>
      <c r="AB76" s="89">
        <v>5</v>
      </c>
      <c r="AC76" s="89">
        <v>0</v>
      </c>
      <c r="AD76" s="89">
        <v>0</v>
      </c>
      <c r="AE76" s="90">
        <f t="shared" si="14"/>
        <v>5</v>
      </c>
      <c r="AF76" s="91">
        <v>5</v>
      </c>
      <c r="AG76" s="91">
        <v>0</v>
      </c>
      <c r="AH76" s="91">
        <v>0</v>
      </c>
      <c r="AI76" s="87">
        <f t="shared" si="15"/>
        <v>5</v>
      </c>
      <c r="AJ76" s="77" t="s">
        <v>57</v>
      </c>
      <c r="AK76" s="77" t="s">
        <v>83</v>
      </c>
      <c r="AL76" s="77" t="s">
        <v>589</v>
      </c>
      <c r="AM76" s="77"/>
    </row>
    <row r="77" spans="2:39" s="65" customFormat="1" ht="15.9" customHeight="1">
      <c r="B77" s="75">
        <f>SUBTOTAL(3,C$4:$C77)</f>
        <v>74</v>
      </c>
      <c r="C77" s="76" t="s">
        <v>77</v>
      </c>
      <c r="D77" s="77">
        <v>2025</v>
      </c>
      <c r="E77" s="77" t="s">
        <v>60</v>
      </c>
      <c r="F77" s="77" t="s">
        <v>56</v>
      </c>
      <c r="G77" s="77" t="s">
        <v>56</v>
      </c>
      <c r="H77" s="77" t="s">
        <v>56</v>
      </c>
      <c r="I77" s="79" t="str">
        <f t="shared" si="8"/>
        <v>-</v>
      </c>
      <c r="J77" s="77">
        <v>1</v>
      </c>
      <c r="K77" s="77" t="s">
        <v>56</v>
      </c>
      <c r="L77" s="77" t="s">
        <v>56</v>
      </c>
      <c r="M77" s="77">
        <f t="shared" si="9"/>
        <v>1</v>
      </c>
      <c r="N77" s="81">
        <f t="shared" si="10"/>
        <v>1</v>
      </c>
      <c r="O77" s="82" t="str">
        <f t="shared" si="11"/>
        <v>-</v>
      </c>
      <c r="P77" s="83">
        <v>1</v>
      </c>
      <c r="Q77" s="83">
        <v>0</v>
      </c>
      <c r="R77" s="83">
        <v>0</v>
      </c>
      <c r="S77" s="79">
        <f t="shared" si="12"/>
        <v>1</v>
      </c>
      <c r="T77" s="84">
        <v>1</v>
      </c>
      <c r="U77" s="84">
        <v>0</v>
      </c>
      <c r="V77" s="84">
        <v>0</v>
      </c>
      <c r="W77" s="85">
        <f t="shared" si="13"/>
        <v>1</v>
      </c>
      <c r="X77" s="86">
        <v>1</v>
      </c>
      <c r="Y77" s="86">
        <v>0</v>
      </c>
      <c r="Z77" s="86">
        <v>0</v>
      </c>
      <c r="AA77" s="88">
        <v>1</v>
      </c>
      <c r="AB77" s="89">
        <v>1</v>
      </c>
      <c r="AC77" s="89">
        <v>0</v>
      </c>
      <c r="AD77" s="89">
        <v>0</v>
      </c>
      <c r="AE77" s="90">
        <f t="shared" si="14"/>
        <v>1</v>
      </c>
      <c r="AF77" s="91">
        <v>1</v>
      </c>
      <c r="AG77" s="91">
        <v>0</v>
      </c>
      <c r="AH77" s="91">
        <v>0</v>
      </c>
      <c r="AI77" s="87">
        <f t="shared" si="15"/>
        <v>1</v>
      </c>
      <c r="AJ77" s="77" t="s">
        <v>57</v>
      </c>
      <c r="AK77" s="77" t="s">
        <v>83</v>
      </c>
      <c r="AL77" s="77"/>
      <c r="AM77" s="95">
        <v>45763</v>
      </c>
    </row>
    <row r="78" spans="2:39" s="65" customFormat="1" ht="15.9" customHeight="1">
      <c r="B78" s="75">
        <f>SUBTOTAL(3,C$4:$C78)</f>
        <v>75</v>
      </c>
      <c r="C78" s="76" t="s">
        <v>501</v>
      </c>
      <c r="D78" s="77"/>
      <c r="E78" s="77"/>
      <c r="F78" s="77" t="s">
        <v>56</v>
      </c>
      <c r="G78" s="77" t="s">
        <v>56</v>
      </c>
      <c r="H78" s="77" t="s">
        <v>56</v>
      </c>
      <c r="I78" s="79" t="str">
        <f t="shared" si="8"/>
        <v>-</v>
      </c>
      <c r="J78" s="77">
        <v>2</v>
      </c>
      <c r="K78" s="77" t="s">
        <v>56</v>
      </c>
      <c r="L78" s="77" t="s">
        <v>56</v>
      </c>
      <c r="M78" s="77">
        <f t="shared" si="9"/>
        <v>2</v>
      </c>
      <c r="N78" s="81">
        <f t="shared" si="10"/>
        <v>2</v>
      </c>
      <c r="O78" s="82" t="str">
        <f t="shared" si="11"/>
        <v>-</v>
      </c>
      <c r="P78" s="83">
        <v>2</v>
      </c>
      <c r="Q78" s="83">
        <v>0</v>
      </c>
      <c r="R78" s="83">
        <v>0</v>
      </c>
      <c r="S78" s="79">
        <f t="shared" si="12"/>
        <v>2</v>
      </c>
      <c r="T78" s="84">
        <v>2</v>
      </c>
      <c r="U78" s="84">
        <v>0</v>
      </c>
      <c r="V78" s="84">
        <v>0</v>
      </c>
      <c r="W78" s="85">
        <f t="shared" si="13"/>
        <v>2</v>
      </c>
      <c r="X78" s="86">
        <v>2</v>
      </c>
      <c r="Y78" s="86">
        <v>0</v>
      </c>
      <c r="Z78" s="86">
        <v>0</v>
      </c>
      <c r="AA78" s="88">
        <v>2</v>
      </c>
      <c r="AB78" s="89">
        <v>2</v>
      </c>
      <c r="AC78" s="89">
        <v>0</v>
      </c>
      <c r="AD78" s="89">
        <v>0</v>
      </c>
      <c r="AE78" s="90">
        <f t="shared" si="14"/>
        <v>2</v>
      </c>
      <c r="AF78" s="91">
        <v>2</v>
      </c>
      <c r="AG78" s="91">
        <v>0</v>
      </c>
      <c r="AH78" s="91">
        <v>0</v>
      </c>
      <c r="AI78" s="87">
        <f t="shared" si="15"/>
        <v>2</v>
      </c>
      <c r="AJ78" s="77" t="s">
        <v>57</v>
      </c>
      <c r="AK78" s="77" t="s">
        <v>83</v>
      </c>
      <c r="AL78" s="77"/>
      <c r="AM78" s="95"/>
    </row>
    <row r="79" spans="2:39" s="65" customFormat="1" ht="15.9" customHeight="1">
      <c r="B79" s="75">
        <f>SUBTOTAL(3,C$4:$C79)</f>
        <v>76</v>
      </c>
      <c r="C79" s="76" t="s">
        <v>54</v>
      </c>
      <c r="D79" s="77">
        <v>2010</v>
      </c>
      <c r="E79" s="77" t="s">
        <v>55</v>
      </c>
      <c r="F79" s="77">
        <v>8</v>
      </c>
      <c r="G79" s="77" t="s">
        <v>56</v>
      </c>
      <c r="H79" s="77" t="s">
        <v>56</v>
      </c>
      <c r="I79" s="79">
        <f t="shared" si="8"/>
        <v>8</v>
      </c>
      <c r="J79" s="77">
        <v>8</v>
      </c>
      <c r="K79" s="77" t="s">
        <v>56</v>
      </c>
      <c r="L79" s="77" t="s">
        <v>56</v>
      </c>
      <c r="M79" s="77">
        <f t="shared" si="9"/>
        <v>8</v>
      </c>
      <c r="N79" s="81">
        <f t="shared" si="10"/>
        <v>8</v>
      </c>
      <c r="O79" s="82" t="str">
        <f t="shared" si="11"/>
        <v>-</v>
      </c>
      <c r="P79" s="83">
        <v>8</v>
      </c>
      <c r="Q79" s="83">
        <v>0</v>
      </c>
      <c r="R79" s="83">
        <v>0</v>
      </c>
      <c r="S79" s="79">
        <f t="shared" si="12"/>
        <v>8</v>
      </c>
      <c r="T79" s="84">
        <v>8</v>
      </c>
      <c r="U79" s="84">
        <v>0</v>
      </c>
      <c r="V79" s="84">
        <v>0</v>
      </c>
      <c r="W79" s="85">
        <f t="shared" si="13"/>
        <v>8</v>
      </c>
      <c r="X79" s="86">
        <v>8</v>
      </c>
      <c r="Y79" s="86">
        <v>0</v>
      </c>
      <c r="Z79" s="86">
        <v>0</v>
      </c>
      <c r="AA79" s="88">
        <v>8</v>
      </c>
      <c r="AB79" s="89">
        <v>8</v>
      </c>
      <c r="AC79" s="89">
        <v>0</v>
      </c>
      <c r="AD79" s="89">
        <v>0</v>
      </c>
      <c r="AE79" s="90">
        <f t="shared" si="14"/>
        <v>8</v>
      </c>
      <c r="AF79" s="91">
        <v>8</v>
      </c>
      <c r="AG79" s="91">
        <v>0</v>
      </c>
      <c r="AH79" s="91">
        <v>0</v>
      </c>
      <c r="AI79" s="87">
        <f t="shared" si="15"/>
        <v>8</v>
      </c>
      <c r="AJ79" s="77" t="s">
        <v>57</v>
      </c>
      <c r="AK79" s="77" t="s">
        <v>85</v>
      </c>
      <c r="AL79" s="77"/>
      <c r="AM79" s="77"/>
    </row>
    <row r="80" spans="2:39" s="65" customFormat="1" ht="15.9" customHeight="1">
      <c r="B80" s="75">
        <f>SUBTOTAL(3,C$4:$C80)</f>
        <v>77</v>
      </c>
      <c r="C80" s="76" t="s">
        <v>59</v>
      </c>
      <c r="D80" s="77">
        <v>2015</v>
      </c>
      <c r="E80" s="77" t="s">
        <v>60</v>
      </c>
      <c r="F80" s="77">
        <v>8</v>
      </c>
      <c r="G80" s="77" t="s">
        <v>56</v>
      </c>
      <c r="H80" s="77" t="s">
        <v>56</v>
      </c>
      <c r="I80" s="79">
        <f t="shared" si="8"/>
        <v>8</v>
      </c>
      <c r="J80" s="77">
        <v>8</v>
      </c>
      <c r="K80" s="77" t="s">
        <v>56</v>
      </c>
      <c r="L80" s="77" t="s">
        <v>56</v>
      </c>
      <c r="M80" s="77">
        <f t="shared" si="9"/>
        <v>8</v>
      </c>
      <c r="N80" s="81">
        <f t="shared" si="10"/>
        <v>8</v>
      </c>
      <c r="O80" s="82" t="str">
        <f t="shared" si="11"/>
        <v>-</v>
      </c>
      <c r="P80" s="83">
        <v>8</v>
      </c>
      <c r="Q80" s="83">
        <v>0</v>
      </c>
      <c r="R80" s="83">
        <v>0</v>
      </c>
      <c r="S80" s="79">
        <f t="shared" si="12"/>
        <v>8</v>
      </c>
      <c r="T80" s="84">
        <v>8</v>
      </c>
      <c r="U80" s="84">
        <v>0</v>
      </c>
      <c r="V80" s="84">
        <v>0</v>
      </c>
      <c r="W80" s="85">
        <f t="shared" si="13"/>
        <v>8</v>
      </c>
      <c r="X80" s="86">
        <v>8</v>
      </c>
      <c r="Y80" s="86">
        <v>0</v>
      </c>
      <c r="Z80" s="86">
        <v>0</v>
      </c>
      <c r="AA80" s="88">
        <v>8</v>
      </c>
      <c r="AB80" s="89">
        <v>8</v>
      </c>
      <c r="AC80" s="89">
        <v>0</v>
      </c>
      <c r="AD80" s="89">
        <v>0</v>
      </c>
      <c r="AE80" s="90">
        <f t="shared" si="14"/>
        <v>8</v>
      </c>
      <c r="AF80" s="91">
        <v>8</v>
      </c>
      <c r="AG80" s="91">
        <v>0</v>
      </c>
      <c r="AH80" s="91">
        <v>0</v>
      </c>
      <c r="AI80" s="87">
        <f t="shared" si="15"/>
        <v>8</v>
      </c>
      <c r="AJ80" s="77" t="s">
        <v>57</v>
      </c>
      <c r="AK80" s="77" t="s">
        <v>85</v>
      </c>
      <c r="AL80" s="77"/>
      <c r="AM80" s="77"/>
    </row>
    <row r="81" spans="2:39" s="65" customFormat="1" ht="15.9" customHeight="1">
      <c r="B81" s="75">
        <f>SUBTOTAL(3,C$4:$C81)</f>
        <v>78</v>
      </c>
      <c r="C81" s="76" t="s">
        <v>61</v>
      </c>
      <c r="D81" s="78" t="s">
        <v>62</v>
      </c>
      <c r="E81" s="77" t="s">
        <v>63</v>
      </c>
      <c r="F81" s="77">
        <v>6</v>
      </c>
      <c r="G81" s="77" t="s">
        <v>56</v>
      </c>
      <c r="H81" s="77" t="s">
        <v>56</v>
      </c>
      <c r="I81" s="79">
        <f t="shared" si="8"/>
        <v>6</v>
      </c>
      <c r="J81" s="77">
        <v>8</v>
      </c>
      <c r="K81" s="77" t="s">
        <v>56</v>
      </c>
      <c r="L81" s="77" t="s">
        <v>56</v>
      </c>
      <c r="M81" s="77">
        <f t="shared" si="9"/>
        <v>8</v>
      </c>
      <c r="N81" s="81">
        <f t="shared" si="10"/>
        <v>8</v>
      </c>
      <c r="O81" s="82" t="str">
        <f t="shared" si="11"/>
        <v>-</v>
      </c>
      <c r="P81" s="83">
        <v>8</v>
      </c>
      <c r="Q81" s="83">
        <v>0</v>
      </c>
      <c r="R81" s="83">
        <v>0</v>
      </c>
      <c r="S81" s="79">
        <f t="shared" si="12"/>
        <v>8</v>
      </c>
      <c r="T81" s="84">
        <v>8</v>
      </c>
      <c r="U81" s="84">
        <v>0</v>
      </c>
      <c r="V81" s="84">
        <v>0</v>
      </c>
      <c r="W81" s="85">
        <f t="shared" si="13"/>
        <v>8</v>
      </c>
      <c r="X81" s="86">
        <v>8</v>
      </c>
      <c r="Y81" s="86">
        <v>0</v>
      </c>
      <c r="Z81" s="86">
        <v>0</v>
      </c>
      <c r="AA81" s="88">
        <v>8</v>
      </c>
      <c r="AB81" s="89">
        <v>8</v>
      </c>
      <c r="AC81" s="89">
        <v>0</v>
      </c>
      <c r="AD81" s="89">
        <v>0</v>
      </c>
      <c r="AE81" s="90">
        <f t="shared" si="14"/>
        <v>8</v>
      </c>
      <c r="AF81" s="91">
        <v>8</v>
      </c>
      <c r="AG81" s="91">
        <v>0</v>
      </c>
      <c r="AH81" s="91">
        <v>0</v>
      </c>
      <c r="AI81" s="87">
        <f t="shared" si="15"/>
        <v>8</v>
      </c>
      <c r="AJ81" s="77" t="s">
        <v>57</v>
      </c>
      <c r="AK81" s="77" t="s">
        <v>85</v>
      </c>
      <c r="AL81" s="77"/>
      <c r="AM81" s="77"/>
    </row>
    <row r="82" spans="2:39" s="65" customFormat="1" ht="15.9" customHeight="1">
      <c r="B82" s="75">
        <f>SUBTOTAL(3,C$4:$C82)</f>
        <v>79</v>
      </c>
      <c r="C82" s="76" t="s">
        <v>64</v>
      </c>
      <c r="D82" s="78" t="s">
        <v>62</v>
      </c>
      <c r="E82" s="77" t="s">
        <v>63</v>
      </c>
      <c r="F82" s="77">
        <v>6</v>
      </c>
      <c r="G82" s="77" t="s">
        <v>56</v>
      </c>
      <c r="H82" s="77" t="s">
        <v>56</v>
      </c>
      <c r="I82" s="79">
        <f t="shared" si="8"/>
        <v>6</v>
      </c>
      <c r="J82" s="77">
        <v>8</v>
      </c>
      <c r="K82" s="77" t="s">
        <v>56</v>
      </c>
      <c r="L82" s="77" t="s">
        <v>56</v>
      </c>
      <c r="M82" s="77">
        <f t="shared" si="9"/>
        <v>8</v>
      </c>
      <c r="N82" s="81">
        <f t="shared" si="10"/>
        <v>8</v>
      </c>
      <c r="O82" s="82" t="str">
        <f t="shared" si="11"/>
        <v>-</v>
      </c>
      <c r="P82" s="83">
        <v>8</v>
      </c>
      <c r="Q82" s="83">
        <v>0</v>
      </c>
      <c r="R82" s="83">
        <v>0</v>
      </c>
      <c r="S82" s="79">
        <f t="shared" si="12"/>
        <v>8</v>
      </c>
      <c r="T82" s="84">
        <v>8</v>
      </c>
      <c r="U82" s="84">
        <v>0</v>
      </c>
      <c r="V82" s="84">
        <v>0</v>
      </c>
      <c r="W82" s="85">
        <f t="shared" si="13"/>
        <v>8</v>
      </c>
      <c r="X82" s="86">
        <v>8</v>
      </c>
      <c r="Y82" s="86">
        <v>0</v>
      </c>
      <c r="Z82" s="86">
        <v>0</v>
      </c>
      <c r="AA82" s="88">
        <v>8</v>
      </c>
      <c r="AB82" s="89">
        <v>8</v>
      </c>
      <c r="AC82" s="89">
        <v>0</v>
      </c>
      <c r="AD82" s="89">
        <v>0</v>
      </c>
      <c r="AE82" s="90">
        <f t="shared" si="14"/>
        <v>8</v>
      </c>
      <c r="AF82" s="91">
        <v>8</v>
      </c>
      <c r="AG82" s="91">
        <v>0</v>
      </c>
      <c r="AH82" s="91">
        <v>0</v>
      </c>
      <c r="AI82" s="87">
        <f t="shared" si="15"/>
        <v>8</v>
      </c>
      <c r="AJ82" s="77" t="s">
        <v>57</v>
      </c>
      <c r="AK82" s="77" t="s">
        <v>85</v>
      </c>
      <c r="AL82" s="77"/>
      <c r="AM82" s="77"/>
    </row>
    <row r="83" spans="2:39" s="65" customFormat="1" ht="15.9" customHeight="1">
      <c r="B83" s="75">
        <f>SUBTOTAL(3,C$4:$C83)</f>
        <v>80</v>
      </c>
      <c r="C83" s="76" t="s">
        <v>65</v>
      </c>
      <c r="D83" s="77" t="s">
        <v>66</v>
      </c>
      <c r="E83" s="77" t="s">
        <v>67</v>
      </c>
      <c r="F83" s="77">
        <v>8</v>
      </c>
      <c r="G83" s="77" t="s">
        <v>56</v>
      </c>
      <c r="H83" s="77" t="s">
        <v>56</v>
      </c>
      <c r="I83" s="79">
        <f t="shared" si="8"/>
        <v>8</v>
      </c>
      <c r="J83" s="77">
        <v>8</v>
      </c>
      <c r="K83" s="77" t="s">
        <v>56</v>
      </c>
      <c r="L83" s="77" t="s">
        <v>56</v>
      </c>
      <c r="M83" s="77">
        <f t="shared" si="9"/>
        <v>8</v>
      </c>
      <c r="N83" s="81">
        <f t="shared" si="10"/>
        <v>8</v>
      </c>
      <c r="O83" s="82" t="str">
        <f t="shared" si="11"/>
        <v>-</v>
      </c>
      <c r="P83" s="83">
        <v>8</v>
      </c>
      <c r="Q83" s="83">
        <v>0</v>
      </c>
      <c r="R83" s="83">
        <v>0</v>
      </c>
      <c r="S83" s="79">
        <f t="shared" si="12"/>
        <v>8</v>
      </c>
      <c r="T83" s="84">
        <v>8</v>
      </c>
      <c r="U83" s="84">
        <v>0</v>
      </c>
      <c r="V83" s="84">
        <v>0</v>
      </c>
      <c r="W83" s="85">
        <f t="shared" si="13"/>
        <v>8</v>
      </c>
      <c r="X83" s="86">
        <v>8</v>
      </c>
      <c r="Y83" s="86">
        <v>0</v>
      </c>
      <c r="Z83" s="86">
        <v>0</v>
      </c>
      <c r="AA83" s="88">
        <v>8</v>
      </c>
      <c r="AB83" s="89">
        <v>8</v>
      </c>
      <c r="AC83" s="89">
        <v>0</v>
      </c>
      <c r="AD83" s="89">
        <v>0</v>
      </c>
      <c r="AE83" s="90">
        <f t="shared" si="14"/>
        <v>8</v>
      </c>
      <c r="AF83" s="91">
        <v>8</v>
      </c>
      <c r="AG83" s="91">
        <v>0</v>
      </c>
      <c r="AH83" s="91">
        <v>0</v>
      </c>
      <c r="AI83" s="87">
        <f t="shared" si="15"/>
        <v>8</v>
      </c>
      <c r="AJ83" s="77" t="s">
        <v>57</v>
      </c>
      <c r="AK83" s="77" t="s">
        <v>85</v>
      </c>
      <c r="AL83" s="77"/>
      <c r="AM83" s="77"/>
    </row>
    <row r="84" spans="2:39" s="65" customFormat="1" ht="15.9" customHeight="1">
      <c r="B84" s="75">
        <f>SUBTOTAL(3,C$4:$C84)</f>
        <v>81</v>
      </c>
      <c r="C84" s="76" t="s">
        <v>68</v>
      </c>
      <c r="D84" s="77">
        <v>2010</v>
      </c>
      <c r="E84" s="77" t="s">
        <v>55</v>
      </c>
      <c r="F84" s="77">
        <v>4</v>
      </c>
      <c r="G84" s="77" t="s">
        <v>56</v>
      </c>
      <c r="H84" s="77" t="s">
        <v>56</v>
      </c>
      <c r="I84" s="79">
        <f t="shared" si="8"/>
        <v>4</v>
      </c>
      <c r="J84" s="77">
        <v>4</v>
      </c>
      <c r="K84" s="77" t="s">
        <v>56</v>
      </c>
      <c r="L84" s="77" t="s">
        <v>56</v>
      </c>
      <c r="M84" s="77">
        <f t="shared" si="9"/>
        <v>4</v>
      </c>
      <c r="N84" s="81">
        <f t="shared" si="10"/>
        <v>4</v>
      </c>
      <c r="O84" s="82" t="str">
        <f t="shared" si="11"/>
        <v>-</v>
      </c>
      <c r="P84" s="83">
        <v>4</v>
      </c>
      <c r="Q84" s="83">
        <v>0</v>
      </c>
      <c r="R84" s="83">
        <v>0</v>
      </c>
      <c r="S84" s="79">
        <f t="shared" si="12"/>
        <v>4</v>
      </c>
      <c r="T84" s="84">
        <v>4</v>
      </c>
      <c r="U84" s="84">
        <v>0</v>
      </c>
      <c r="V84" s="84">
        <v>0</v>
      </c>
      <c r="W84" s="85">
        <f t="shared" si="13"/>
        <v>4</v>
      </c>
      <c r="X84" s="86">
        <v>4</v>
      </c>
      <c r="Y84" s="86">
        <v>0</v>
      </c>
      <c r="Z84" s="86">
        <v>0</v>
      </c>
      <c r="AA84" s="88">
        <v>4</v>
      </c>
      <c r="AB84" s="89">
        <v>4</v>
      </c>
      <c r="AC84" s="89">
        <v>0</v>
      </c>
      <c r="AD84" s="89">
        <v>0</v>
      </c>
      <c r="AE84" s="90">
        <f t="shared" si="14"/>
        <v>4</v>
      </c>
      <c r="AF84" s="91">
        <v>4</v>
      </c>
      <c r="AG84" s="91">
        <v>0</v>
      </c>
      <c r="AH84" s="91">
        <v>0</v>
      </c>
      <c r="AI84" s="87">
        <f t="shared" si="15"/>
        <v>4</v>
      </c>
      <c r="AJ84" s="77" t="s">
        <v>57</v>
      </c>
      <c r="AK84" s="77" t="s">
        <v>85</v>
      </c>
      <c r="AL84" s="77"/>
      <c r="AM84" s="77"/>
    </row>
    <row r="85" spans="2:39" s="65" customFormat="1" ht="15.9" customHeight="1">
      <c r="B85" s="75">
        <f>SUBTOTAL(3,C$4:$C85)</f>
        <v>82</v>
      </c>
      <c r="C85" s="76" t="s">
        <v>79</v>
      </c>
      <c r="D85" s="77">
        <v>2015</v>
      </c>
      <c r="E85" s="77" t="s">
        <v>55</v>
      </c>
      <c r="F85" s="77">
        <v>4</v>
      </c>
      <c r="G85" s="77" t="s">
        <v>56</v>
      </c>
      <c r="H85" s="77" t="s">
        <v>56</v>
      </c>
      <c r="I85" s="79">
        <f t="shared" si="8"/>
        <v>4</v>
      </c>
      <c r="J85" s="77">
        <v>4</v>
      </c>
      <c r="K85" s="77" t="s">
        <v>56</v>
      </c>
      <c r="L85" s="77" t="s">
        <v>56</v>
      </c>
      <c r="M85" s="77">
        <f t="shared" si="9"/>
        <v>4</v>
      </c>
      <c r="N85" s="81">
        <f t="shared" si="10"/>
        <v>4</v>
      </c>
      <c r="O85" s="82" t="str">
        <f t="shared" si="11"/>
        <v>-</v>
      </c>
      <c r="P85" s="83">
        <v>4</v>
      </c>
      <c r="Q85" s="83">
        <v>0</v>
      </c>
      <c r="R85" s="83">
        <v>0</v>
      </c>
      <c r="S85" s="79">
        <f t="shared" si="12"/>
        <v>4</v>
      </c>
      <c r="T85" s="84">
        <v>4</v>
      </c>
      <c r="U85" s="84">
        <v>0</v>
      </c>
      <c r="V85" s="84">
        <v>0</v>
      </c>
      <c r="W85" s="85">
        <f t="shared" si="13"/>
        <v>4</v>
      </c>
      <c r="X85" s="86">
        <v>4</v>
      </c>
      <c r="Y85" s="86">
        <v>0</v>
      </c>
      <c r="Z85" s="86">
        <v>0</v>
      </c>
      <c r="AA85" s="88">
        <v>4</v>
      </c>
      <c r="AB85" s="89">
        <v>4</v>
      </c>
      <c r="AC85" s="89">
        <v>0</v>
      </c>
      <c r="AD85" s="89">
        <v>0</v>
      </c>
      <c r="AE85" s="90">
        <f t="shared" si="14"/>
        <v>4</v>
      </c>
      <c r="AF85" s="91">
        <v>4</v>
      </c>
      <c r="AG85" s="91">
        <v>0</v>
      </c>
      <c r="AH85" s="91">
        <v>0</v>
      </c>
      <c r="AI85" s="87">
        <f t="shared" si="15"/>
        <v>4</v>
      </c>
      <c r="AJ85" s="77" t="s">
        <v>57</v>
      </c>
      <c r="AK85" s="77" t="s">
        <v>85</v>
      </c>
      <c r="AL85" s="77"/>
      <c r="AM85" s="77"/>
    </row>
    <row r="86" spans="2:39" s="65" customFormat="1" ht="15.9" customHeight="1">
      <c r="B86" s="75">
        <f>SUBTOTAL(3,C$4:$C86)</f>
        <v>83</v>
      </c>
      <c r="C86" s="76" t="s">
        <v>70</v>
      </c>
      <c r="D86" s="77">
        <v>2010</v>
      </c>
      <c r="E86" s="77" t="s">
        <v>71</v>
      </c>
      <c r="F86" s="77">
        <v>4</v>
      </c>
      <c r="G86" s="77" t="s">
        <v>56</v>
      </c>
      <c r="H86" s="77" t="s">
        <v>56</v>
      </c>
      <c r="I86" s="79">
        <f t="shared" si="8"/>
        <v>4</v>
      </c>
      <c r="J86" s="77">
        <v>4</v>
      </c>
      <c r="K86" s="77" t="s">
        <v>56</v>
      </c>
      <c r="L86" s="77" t="s">
        <v>56</v>
      </c>
      <c r="M86" s="77">
        <f t="shared" si="9"/>
        <v>4</v>
      </c>
      <c r="N86" s="81">
        <f t="shared" si="10"/>
        <v>4</v>
      </c>
      <c r="O86" s="82" t="str">
        <f t="shared" si="11"/>
        <v>-</v>
      </c>
      <c r="P86" s="83">
        <v>4</v>
      </c>
      <c r="Q86" s="83">
        <v>0</v>
      </c>
      <c r="R86" s="83">
        <v>0</v>
      </c>
      <c r="S86" s="79">
        <f t="shared" si="12"/>
        <v>4</v>
      </c>
      <c r="T86" s="84">
        <v>4</v>
      </c>
      <c r="U86" s="84">
        <v>0</v>
      </c>
      <c r="V86" s="84">
        <v>0</v>
      </c>
      <c r="W86" s="85">
        <f t="shared" si="13"/>
        <v>4</v>
      </c>
      <c r="X86" s="86">
        <v>4</v>
      </c>
      <c r="Y86" s="86">
        <v>0</v>
      </c>
      <c r="Z86" s="86">
        <v>0</v>
      </c>
      <c r="AA86" s="88">
        <v>4</v>
      </c>
      <c r="AB86" s="89">
        <v>4</v>
      </c>
      <c r="AC86" s="89">
        <v>0</v>
      </c>
      <c r="AD86" s="89">
        <v>0</v>
      </c>
      <c r="AE86" s="90">
        <f t="shared" si="14"/>
        <v>4</v>
      </c>
      <c r="AF86" s="91">
        <v>4</v>
      </c>
      <c r="AG86" s="91">
        <v>0</v>
      </c>
      <c r="AH86" s="91">
        <v>0</v>
      </c>
      <c r="AI86" s="87">
        <f t="shared" si="15"/>
        <v>4</v>
      </c>
      <c r="AJ86" s="77" t="s">
        <v>57</v>
      </c>
      <c r="AK86" s="77" t="s">
        <v>85</v>
      </c>
      <c r="AL86" s="77"/>
      <c r="AM86" s="77"/>
    </row>
    <row r="87" spans="2:39" s="65" customFormat="1" ht="15.9" customHeight="1">
      <c r="B87" s="75">
        <f>SUBTOTAL(3,C$4:$C87)</f>
        <v>84</v>
      </c>
      <c r="C87" s="76" t="s">
        <v>72</v>
      </c>
      <c r="D87" s="77">
        <v>2010</v>
      </c>
      <c r="E87" s="77" t="s">
        <v>67</v>
      </c>
      <c r="F87" s="77">
        <v>2</v>
      </c>
      <c r="G87" s="77" t="s">
        <v>56</v>
      </c>
      <c r="H87" s="77" t="s">
        <v>56</v>
      </c>
      <c r="I87" s="79">
        <f t="shared" si="8"/>
        <v>2</v>
      </c>
      <c r="J87" s="77">
        <v>2</v>
      </c>
      <c r="K87" s="77" t="s">
        <v>56</v>
      </c>
      <c r="L87" s="77" t="s">
        <v>56</v>
      </c>
      <c r="M87" s="77">
        <f t="shared" si="9"/>
        <v>2</v>
      </c>
      <c r="N87" s="81">
        <f t="shared" si="10"/>
        <v>2</v>
      </c>
      <c r="O87" s="82" t="str">
        <f t="shared" si="11"/>
        <v>-</v>
      </c>
      <c r="P87" s="83">
        <v>2</v>
      </c>
      <c r="Q87" s="83">
        <v>0</v>
      </c>
      <c r="R87" s="83">
        <v>0</v>
      </c>
      <c r="S87" s="79">
        <f t="shared" si="12"/>
        <v>2</v>
      </c>
      <c r="T87" s="84">
        <v>2</v>
      </c>
      <c r="U87" s="84">
        <v>0</v>
      </c>
      <c r="V87" s="84">
        <v>0</v>
      </c>
      <c r="W87" s="85">
        <f t="shared" si="13"/>
        <v>2</v>
      </c>
      <c r="X87" s="86">
        <v>2</v>
      </c>
      <c r="Y87" s="86">
        <v>0</v>
      </c>
      <c r="Z87" s="86">
        <v>0</v>
      </c>
      <c r="AA87" s="88">
        <v>2</v>
      </c>
      <c r="AB87" s="89">
        <v>2</v>
      </c>
      <c r="AC87" s="89">
        <v>0</v>
      </c>
      <c r="AD87" s="89">
        <v>0</v>
      </c>
      <c r="AE87" s="90">
        <f t="shared" si="14"/>
        <v>2</v>
      </c>
      <c r="AF87" s="91">
        <v>2</v>
      </c>
      <c r="AG87" s="91">
        <v>0</v>
      </c>
      <c r="AH87" s="91">
        <v>0</v>
      </c>
      <c r="AI87" s="87">
        <f t="shared" si="15"/>
        <v>2</v>
      </c>
      <c r="AJ87" s="77" t="s">
        <v>57</v>
      </c>
      <c r="AK87" s="77" t="s">
        <v>85</v>
      </c>
      <c r="AL87" s="77"/>
      <c r="AM87" s="77"/>
    </row>
    <row r="88" spans="2:39" s="65" customFormat="1" ht="15.9" customHeight="1">
      <c r="B88" s="75">
        <f>SUBTOTAL(3,C$4:$C88)</f>
        <v>85</v>
      </c>
      <c r="C88" s="76" t="s">
        <v>73</v>
      </c>
      <c r="D88" s="77">
        <v>2010</v>
      </c>
      <c r="E88" s="77" t="s">
        <v>63</v>
      </c>
      <c r="F88" s="77" t="s">
        <v>56</v>
      </c>
      <c r="G88" s="77" t="s">
        <v>56</v>
      </c>
      <c r="H88" s="77" t="s">
        <v>56</v>
      </c>
      <c r="I88" s="79" t="str">
        <f t="shared" si="8"/>
        <v>-</v>
      </c>
      <c r="J88" s="77">
        <v>2</v>
      </c>
      <c r="K88" s="77" t="s">
        <v>56</v>
      </c>
      <c r="L88" s="77" t="s">
        <v>56</v>
      </c>
      <c r="M88" s="77">
        <f t="shared" si="9"/>
        <v>2</v>
      </c>
      <c r="N88" s="81">
        <f t="shared" si="10"/>
        <v>2</v>
      </c>
      <c r="O88" s="82" t="str">
        <f t="shared" si="11"/>
        <v>-</v>
      </c>
      <c r="P88" s="83">
        <v>2</v>
      </c>
      <c r="Q88" s="83">
        <v>0</v>
      </c>
      <c r="R88" s="83">
        <v>0</v>
      </c>
      <c r="S88" s="79">
        <f t="shared" si="12"/>
        <v>2</v>
      </c>
      <c r="T88" s="84">
        <v>2</v>
      </c>
      <c r="U88" s="84">
        <v>0</v>
      </c>
      <c r="V88" s="84">
        <v>0</v>
      </c>
      <c r="W88" s="85">
        <f t="shared" si="13"/>
        <v>2</v>
      </c>
      <c r="X88" s="86">
        <v>2</v>
      </c>
      <c r="Y88" s="86">
        <v>0</v>
      </c>
      <c r="Z88" s="86">
        <v>0</v>
      </c>
      <c r="AA88" s="88">
        <v>2</v>
      </c>
      <c r="AB88" s="89">
        <v>2</v>
      </c>
      <c r="AC88" s="89">
        <v>0</v>
      </c>
      <c r="AD88" s="89">
        <v>0</v>
      </c>
      <c r="AE88" s="90">
        <f t="shared" si="14"/>
        <v>2</v>
      </c>
      <c r="AF88" s="91">
        <v>2</v>
      </c>
      <c r="AG88" s="91">
        <v>0</v>
      </c>
      <c r="AH88" s="91">
        <v>0</v>
      </c>
      <c r="AI88" s="87">
        <f t="shared" si="15"/>
        <v>2</v>
      </c>
      <c r="AJ88" s="77" t="s">
        <v>57</v>
      </c>
      <c r="AK88" s="77" t="s">
        <v>85</v>
      </c>
      <c r="AL88" s="77"/>
      <c r="AM88" s="77"/>
    </row>
    <row r="89" spans="2:39" s="65" customFormat="1" ht="15.9" customHeight="1">
      <c r="B89" s="75">
        <f>SUBTOTAL(3,C$4:$C89)</f>
        <v>86</v>
      </c>
      <c r="C89" s="76" t="s">
        <v>74</v>
      </c>
      <c r="D89" s="77">
        <v>2018</v>
      </c>
      <c r="E89" s="77" t="s">
        <v>60</v>
      </c>
      <c r="F89" s="77">
        <v>4</v>
      </c>
      <c r="G89" s="77" t="s">
        <v>56</v>
      </c>
      <c r="H89" s="77" t="s">
        <v>56</v>
      </c>
      <c r="I89" s="79">
        <f t="shared" si="8"/>
        <v>4</v>
      </c>
      <c r="J89" s="77">
        <v>4</v>
      </c>
      <c r="K89" s="77" t="s">
        <v>56</v>
      </c>
      <c r="L89" s="77" t="s">
        <v>56</v>
      </c>
      <c r="M89" s="77">
        <f t="shared" si="9"/>
        <v>4</v>
      </c>
      <c r="N89" s="81">
        <f t="shared" si="10"/>
        <v>4</v>
      </c>
      <c r="O89" s="82" t="str">
        <f t="shared" si="11"/>
        <v>-</v>
      </c>
      <c r="P89" s="83">
        <v>4</v>
      </c>
      <c r="Q89" s="83">
        <v>0</v>
      </c>
      <c r="R89" s="83">
        <v>0</v>
      </c>
      <c r="S89" s="79">
        <f t="shared" si="12"/>
        <v>4</v>
      </c>
      <c r="T89" s="84">
        <v>4</v>
      </c>
      <c r="U89" s="84">
        <v>0</v>
      </c>
      <c r="V89" s="84">
        <v>0</v>
      </c>
      <c r="W89" s="85">
        <f t="shared" si="13"/>
        <v>4</v>
      </c>
      <c r="X89" s="86">
        <v>4</v>
      </c>
      <c r="Y89" s="86">
        <v>0</v>
      </c>
      <c r="Z89" s="86">
        <v>0</v>
      </c>
      <c r="AA89" s="88">
        <v>4</v>
      </c>
      <c r="AB89" s="89">
        <v>4</v>
      </c>
      <c r="AC89" s="89">
        <v>0</v>
      </c>
      <c r="AD89" s="89">
        <v>0</v>
      </c>
      <c r="AE89" s="90">
        <f t="shared" si="14"/>
        <v>4</v>
      </c>
      <c r="AF89" s="91">
        <v>4</v>
      </c>
      <c r="AG89" s="91">
        <v>0</v>
      </c>
      <c r="AH89" s="91">
        <v>0</v>
      </c>
      <c r="AI89" s="87">
        <f t="shared" si="15"/>
        <v>4</v>
      </c>
      <c r="AJ89" s="77" t="s">
        <v>57</v>
      </c>
      <c r="AK89" s="77" t="s">
        <v>85</v>
      </c>
      <c r="AL89" s="77"/>
      <c r="AM89" s="77"/>
    </row>
    <row r="90" spans="2:39" s="65" customFormat="1" ht="15.9" customHeight="1">
      <c r="B90" s="75">
        <f>SUBTOTAL(3,C$4:$C90)</f>
        <v>87</v>
      </c>
      <c r="C90" s="76" t="s">
        <v>75</v>
      </c>
      <c r="D90" s="77">
        <v>2010</v>
      </c>
      <c r="E90" s="77" t="s">
        <v>60</v>
      </c>
      <c r="F90" s="77">
        <v>4</v>
      </c>
      <c r="G90" s="77" t="s">
        <v>56</v>
      </c>
      <c r="H90" s="77" t="s">
        <v>56</v>
      </c>
      <c r="I90" s="79">
        <f t="shared" si="8"/>
        <v>4</v>
      </c>
      <c r="J90" s="77">
        <v>4</v>
      </c>
      <c r="K90" s="77" t="s">
        <v>56</v>
      </c>
      <c r="L90" s="77" t="s">
        <v>56</v>
      </c>
      <c r="M90" s="77">
        <f t="shared" si="9"/>
        <v>4</v>
      </c>
      <c r="N90" s="81">
        <f t="shared" si="10"/>
        <v>4</v>
      </c>
      <c r="O90" s="82" t="str">
        <f t="shared" si="11"/>
        <v>-</v>
      </c>
      <c r="P90" s="83">
        <v>4</v>
      </c>
      <c r="Q90" s="83">
        <v>0</v>
      </c>
      <c r="R90" s="83">
        <v>0</v>
      </c>
      <c r="S90" s="79">
        <f t="shared" si="12"/>
        <v>4</v>
      </c>
      <c r="T90" s="84">
        <v>4</v>
      </c>
      <c r="U90" s="84">
        <v>0</v>
      </c>
      <c r="V90" s="84">
        <v>0</v>
      </c>
      <c r="W90" s="85">
        <f t="shared" si="13"/>
        <v>4</v>
      </c>
      <c r="X90" s="86">
        <v>4</v>
      </c>
      <c r="Y90" s="86">
        <v>0</v>
      </c>
      <c r="Z90" s="86">
        <v>0</v>
      </c>
      <c r="AA90" s="88">
        <v>4</v>
      </c>
      <c r="AB90" s="89">
        <v>4</v>
      </c>
      <c r="AC90" s="89">
        <v>0</v>
      </c>
      <c r="AD90" s="89">
        <v>0</v>
      </c>
      <c r="AE90" s="90">
        <f t="shared" si="14"/>
        <v>4</v>
      </c>
      <c r="AF90" s="91">
        <v>4</v>
      </c>
      <c r="AG90" s="91">
        <v>0</v>
      </c>
      <c r="AH90" s="91">
        <v>0</v>
      </c>
      <c r="AI90" s="87">
        <f t="shared" si="15"/>
        <v>4</v>
      </c>
      <c r="AJ90" s="77" t="s">
        <v>57</v>
      </c>
      <c r="AK90" s="77" t="s">
        <v>85</v>
      </c>
      <c r="AL90" s="77"/>
      <c r="AM90" s="77"/>
    </row>
    <row r="91" spans="2:39" s="65" customFormat="1" ht="15.9" customHeight="1">
      <c r="B91" s="75">
        <f>SUBTOTAL(3,C$4:$C91)</f>
        <v>88</v>
      </c>
      <c r="C91" s="76" t="s">
        <v>76</v>
      </c>
      <c r="D91" s="77">
        <v>2010</v>
      </c>
      <c r="E91" s="77" t="s">
        <v>60</v>
      </c>
      <c r="F91" s="77">
        <v>5</v>
      </c>
      <c r="G91" s="77" t="s">
        <v>56</v>
      </c>
      <c r="H91" s="77" t="s">
        <v>56</v>
      </c>
      <c r="I91" s="79">
        <f t="shared" si="8"/>
        <v>5</v>
      </c>
      <c r="J91" s="77">
        <v>5</v>
      </c>
      <c r="K91" s="77" t="s">
        <v>56</v>
      </c>
      <c r="L91" s="77" t="s">
        <v>56</v>
      </c>
      <c r="M91" s="77">
        <f t="shared" si="9"/>
        <v>5</v>
      </c>
      <c r="N91" s="81">
        <f t="shared" si="10"/>
        <v>5</v>
      </c>
      <c r="O91" s="82" t="str">
        <f t="shared" si="11"/>
        <v>-</v>
      </c>
      <c r="P91" s="83">
        <v>5</v>
      </c>
      <c r="Q91" s="83">
        <v>0</v>
      </c>
      <c r="R91" s="83">
        <v>0</v>
      </c>
      <c r="S91" s="79">
        <f t="shared" si="12"/>
        <v>5</v>
      </c>
      <c r="T91" s="84">
        <v>3</v>
      </c>
      <c r="U91" s="84">
        <v>2</v>
      </c>
      <c r="V91" s="84">
        <v>0</v>
      </c>
      <c r="W91" s="85">
        <f t="shared" si="13"/>
        <v>5</v>
      </c>
      <c r="X91" s="86">
        <v>5</v>
      </c>
      <c r="Y91" s="86">
        <v>0</v>
      </c>
      <c r="Z91" s="86">
        <v>0</v>
      </c>
      <c r="AA91" s="88">
        <v>5</v>
      </c>
      <c r="AB91" s="89">
        <v>5</v>
      </c>
      <c r="AC91" s="89">
        <v>0</v>
      </c>
      <c r="AD91" s="89">
        <v>0</v>
      </c>
      <c r="AE91" s="90">
        <f t="shared" si="14"/>
        <v>5</v>
      </c>
      <c r="AF91" s="91">
        <v>5</v>
      </c>
      <c r="AG91" s="91">
        <v>0</v>
      </c>
      <c r="AH91" s="91">
        <v>0</v>
      </c>
      <c r="AI91" s="87">
        <f t="shared" si="15"/>
        <v>5</v>
      </c>
      <c r="AJ91" s="77" t="s">
        <v>57</v>
      </c>
      <c r="AK91" s="77" t="s">
        <v>85</v>
      </c>
      <c r="AL91" s="77" t="s">
        <v>590</v>
      </c>
      <c r="AM91" s="77"/>
    </row>
    <row r="92" spans="2:39" s="65" customFormat="1" ht="15.9" customHeight="1">
      <c r="B92" s="75">
        <f>SUBTOTAL(3,C$4:$C92)</f>
        <v>89</v>
      </c>
      <c r="C92" s="76" t="s">
        <v>77</v>
      </c>
      <c r="D92" s="77">
        <v>2025</v>
      </c>
      <c r="E92" s="77" t="s">
        <v>60</v>
      </c>
      <c r="F92" s="77" t="s">
        <v>56</v>
      </c>
      <c r="G92" s="77" t="s">
        <v>56</v>
      </c>
      <c r="H92" s="77" t="s">
        <v>56</v>
      </c>
      <c r="I92" s="79" t="str">
        <f t="shared" si="8"/>
        <v>-</v>
      </c>
      <c r="J92" s="77">
        <v>1</v>
      </c>
      <c r="K92" s="77" t="s">
        <v>56</v>
      </c>
      <c r="L92" s="77" t="s">
        <v>56</v>
      </c>
      <c r="M92" s="77">
        <f t="shared" si="9"/>
        <v>1</v>
      </c>
      <c r="N92" s="81">
        <f t="shared" si="10"/>
        <v>1</v>
      </c>
      <c r="O92" s="82" t="str">
        <f t="shared" si="11"/>
        <v>-</v>
      </c>
      <c r="P92" s="83">
        <v>1</v>
      </c>
      <c r="Q92" s="83">
        <v>0</v>
      </c>
      <c r="R92" s="83">
        <v>0</v>
      </c>
      <c r="S92" s="79">
        <f t="shared" si="12"/>
        <v>1</v>
      </c>
      <c r="T92" s="84">
        <v>1</v>
      </c>
      <c r="U92" s="84">
        <v>0</v>
      </c>
      <c r="V92" s="84">
        <v>0</v>
      </c>
      <c r="W92" s="85">
        <f t="shared" si="13"/>
        <v>1</v>
      </c>
      <c r="X92" s="86">
        <v>1</v>
      </c>
      <c r="Y92" s="86">
        <v>0</v>
      </c>
      <c r="Z92" s="86">
        <v>0</v>
      </c>
      <c r="AA92" s="88">
        <v>1</v>
      </c>
      <c r="AB92" s="89">
        <v>1</v>
      </c>
      <c r="AC92" s="89">
        <v>0</v>
      </c>
      <c r="AD92" s="89">
        <v>0</v>
      </c>
      <c r="AE92" s="90">
        <f t="shared" si="14"/>
        <v>1</v>
      </c>
      <c r="AF92" s="91">
        <v>1</v>
      </c>
      <c r="AG92" s="91">
        <v>0</v>
      </c>
      <c r="AH92" s="91">
        <v>0</v>
      </c>
      <c r="AI92" s="87">
        <f t="shared" si="15"/>
        <v>1</v>
      </c>
      <c r="AJ92" s="77" t="s">
        <v>57</v>
      </c>
      <c r="AK92" s="77" t="s">
        <v>85</v>
      </c>
      <c r="AL92" s="77"/>
      <c r="AM92" s="95">
        <v>45763</v>
      </c>
    </row>
    <row r="93" spans="2:39" s="65" customFormat="1" ht="15.9" customHeight="1">
      <c r="B93" s="75">
        <f>SUBTOTAL(3,C$4:$C93)</f>
        <v>90</v>
      </c>
      <c r="C93" s="76" t="s">
        <v>501</v>
      </c>
      <c r="D93" s="77"/>
      <c r="E93" s="77"/>
      <c r="F93" s="77" t="s">
        <v>56</v>
      </c>
      <c r="G93" s="77" t="s">
        <v>56</v>
      </c>
      <c r="H93" s="77" t="s">
        <v>56</v>
      </c>
      <c r="I93" s="79" t="str">
        <f t="shared" si="8"/>
        <v>-</v>
      </c>
      <c r="J93" s="77">
        <v>2</v>
      </c>
      <c r="K93" s="77" t="s">
        <v>56</v>
      </c>
      <c r="L93" s="77" t="s">
        <v>56</v>
      </c>
      <c r="M93" s="77">
        <f t="shared" si="9"/>
        <v>2</v>
      </c>
      <c r="N93" s="81">
        <f t="shared" si="10"/>
        <v>2</v>
      </c>
      <c r="O93" s="82" t="str">
        <f t="shared" si="11"/>
        <v>-</v>
      </c>
      <c r="P93" s="83">
        <v>2</v>
      </c>
      <c r="Q93" s="83">
        <v>0</v>
      </c>
      <c r="R93" s="83">
        <v>0</v>
      </c>
      <c r="S93" s="79">
        <f t="shared" si="12"/>
        <v>2</v>
      </c>
      <c r="T93" s="84">
        <v>2</v>
      </c>
      <c r="U93" s="84">
        <v>0</v>
      </c>
      <c r="V93" s="84">
        <v>0</v>
      </c>
      <c r="W93" s="85">
        <f t="shared" si="13"/>
        <v>2</v>
      </c>
      <c r="X93" s="86">
        <v>2</v>
      </c>
      <c r="Y93" s="86">
        <v>0</v>
      </c>
      <c r="Z93" s="86">
        <v>0</v>
      </c>
      <c r="AA93" s="88">
        <v>2</v>
      </c>
      <c r="AB93" s="89">
        <v>2</v>
      </c>
      <c r="AC93" s="89">
        <v>0</v>
      </c>
      <c r="AD93" s="89">
        <v>0</v>
      </c>
      <c r="AE93" s="90">
        <f t="shared" si="14"/>
        <v>2</v>
      </c>
      <c r="AF93" s="91">
        <v>2</v>
      </c>
      <c r="AG93" s="91">
        <v>0</v>
      </c>
      <c r="AH93" s="91">
        <v>0</v>
      </c>
      <c r="AI93" s="87">
        <f t="shared" si="15"/>
        <v>2</v>
      </c>
      <c r="AJ93" s="77" t="s">
        <v>57</v>
      </c>
      <c r="AK93" s="77" t="s">
        <v>85</v>
      </c>
      <c r="AL93" s="77"/>
      <c r="AM93" s="95"/>
    </row>
    <row r="94" spans="2:39" s="65" customFormat="1" ht="15.9" customHeight="1">
      <c r="B94" s="75">
        <f>SUBTOTAL(3,C$4:$C94)</f>
        <v>91</v>
      </c>
      <c r="C94" s="76" t="s">
        <v>54</v>
      </c>
      <c r="D94" s="77">
        <v>2010</v>
      </c>
      <c r="E94" s="77" t="s">
        <v>55</v>
      </c>
      <c r="F94" s="77">
        <v>8</v>
      </c>
      <c r="G94" s="77" t="s">
        <v>56</v>
      </c>
      <c r="H94" s="77" t="s">
        <v>56</v>
      </c>
      <c r="I94" s="79">
        <f t="shared" si="8"/>
        <v>8</v>
      </c>
      <c r="J94" s="77">
        <v>8</v>
      </c>
      <c r="K94" s="77" t="s">
        <v>56</v>
      </c>
      <c r="L94" s="77" t="s">
        <v>56</v>
      </c>
      <c r="M94" s="77">
        <f t="shared" si="9"/>
        <v>8</v>
      </c>
      <c r="N94" s="81">
        <f t="shared" si="10"/>
        <v>8</v>
      </c>
      <c r="O94" s="82" t="str">
        <f t="shared" si="11"/>
        <v>-</v>
      </c>
      <c r="P94" s="83">
        <v>8</v>
      </c>
      <c r="Q94" s="83">
        <v>0</v>
      </c>
      <c r="R94" s="83">
        <v>0</v>
      </c>
      <c r="S94" s="79">
        <f t="shared" si="12"/>
        <v>8</v>
      </c>
      <c r="T94" s="84">
        <v>8</v>
      </c>
      <c r="U94" s="84">
        <v>0</v>
      </c>
      <c r="V94" s="84">
        <v>0</v>
      </c>
      <c r="W94" s="85">
        <f t="shared" si="13"/>
        <v>8</v>
      </c>
      <c r="X94" s="86">
        <v>8</v>
      </c>
      <c r="Y94" s="86">
        <v>0</v>
      </c>
      <c r="Z94" s="86">
        <v>0</v>
      </c>
      <c r="AA94" s="88">
        <v>8</v>
      </c>
      <c r="AB94" s="89">
        <v>8</v>
      </c>
      <c r="AC94" s="89">
        <v>0</v>
      </c>
      <c r="AD94" s="89">
        <v>0</v>
      </c>
      <c r="AE94" s="90">
        <f t="shared" si="14"/>
        <v>8</v>
      </c>
      <c r="AF94" s="93">
        <v>7</v>
      </c>
      <c r="AG94" s="93">
        <v>1</v>
      </c>
      <c r="AH94" s="91">
        <v>0</v>
      </c>
      <c r="AI94" s="87">
        <f t="shared" si="15"/>
        <v>8</v>
      </c>
      <c r="AJ94" s="77" t="s">
        <v>57</v>
      </c>
      <c r="AK94" s="77" t="s">
        <v>86</v>
      </c>
      <c r="AL94" s="77"/>
      <c r="AM94" s="77"/>
    </row>
    <row r="95" spans="2:39" s="65" customFormat="1" ht="15.9" customHeight="1">
      <c r="B95" s="75">
        <f>SUBTOTAL(3,C$4:$C95)</f>
        <v>92</v>
      </c>
      <c r="C95" s="76" t="s">
        <v>59</v>
      </c>
      <c r="D95" s="77">
        <v>2015</v>
      </c>
      <c r="E95" s="77" t="s">
        <v>60</v>
      </c>
      <c r="F95" s="77">
        <v>8</v>
      </c>
      <c r="G95" s="77" t="s">
        <v>56</v>
      </c>
      <c r="H95" s="77" t="s">
        <v>56</v>
      </c>
      <c r="I95" s="79">
        <f t="shared" si="8"/>
        <v>8</v>
      </c>
      <c r="J95" s="77">
        <v>8</v>
      </c>
      <c r="K95" s="77" t="s">
        <v>56</v>
      </c>
      <c r="L95" s="77" t="s">
        <v>56</v>
      </c>
      <c r="M95" s="77">
        <f t="shared" si="9"/>
        <v>8</v>
      </c>
      <c r="N95" s="81">
        <f t="shared" si="10"/>
        <v>8</v>
      </c>
      <c r="O95" s="82" t="str">
        <f t="shared" si="11"/>
        <v>-</v>
      </c>
      <c r="P95" s="83">
        <v>8</v>
      </c>
      <c r="Q95" s="83">
        <v>0</v>
      </c>
      <c r="R95" s="83">
        <v>0</v>
      </c>
      <c r="S95" s="79">
        <f t="shared" si="12"/>
        <v>8</v>
      </c>
      <c r="T95" s="84">
        <v>8</v>
      </c>
      <c r="U95" s="84">
        <v>0</v>
      </c>
      <c r="V95" s="84">
        <v>0</v>
      </c>
      <c r="W95" s="85">
        <f t="shared" si="13"/>
        <v>8</v>
      </c>
      <c r="X95" s="86">
        <v>8</v>
      </c>
      <c r="Y95" s="86">
        <v>0</v>
      </c>
      <c r="Z95" s="86">
        <v>0</v>
      </c>
      <c r="AA95" s="88">
        <v>8</v>
      </c>
      <c r="AB95" s="89">
        <v>8</v>
      </c>
      <c r="AC95" s="89">
        <v>0</v>
      </c>
      <c r="AD95" s="89">
        <v>0</v>
      </c>
      <c r="AE95" s="90">
        <f t="shared" si="14"/>
        <v>8</v>
      </c>
      <c r="AF95" s="91">
        <v>8</v>
      </c>
      <c r="AG95" s="91">
        <v>0</v>
      </c>
      <c r="AH95" s="91">
        <v>0</v>
      </c>
      <c r="AI95" s="87">
        <f t="shared" si="15"/>
        <v>8</v>
      </c>
      <c r="AJ95" s="77" t="s">
        <v>57</v>
      </c>
      <c r="AK95" s="77" t="s">
        <v>86</v>
      </c>
      <c r="AL95" s="77"/>
      <c r="AM95" s="77"/>
    </row>
    <row r="96" spans="2:39" s="65" customFormat="1" ht="15.9" customHeight="1">
      <c r="B96" s="75">
        <f>SUBTOTAL(3,C$4:$C96)</f>
        <v>93</v>
      </c>
      <c r="C96" s="76" t="s">
        <v>61</v>
      </c>
      <c r="D96" s="78" t="s">
        <v>62</v>
      </c>
      <c r="E96" s="77" t="s">
        <v>63</v>
      </c>
      <c r="F96" s="77" t="s">
        <v>56</v>
      </c>
      <c r="G96" s="77" t="s">
        <v>56</v>
      </c>
      <c r="H96" s="77" t="s">
        <v>56</v>
      </c>
      <c r="I96" s="79" t="str">
        <f t="shared" si="8"/>
        <v>-</v>
      </c>
      <c r="J96" s="77">
        <v>8</v>
      </c>
      <c r="K96" s="77" t="s">
        <v>56</v>
      </c>
      <c r="L96" s="77" t="s">
        <v>56</v>
      </c>
      <c r="M96" s="77">
        <f t="shared" si="9"/>
        <v>8</v>
      </c>
      <c r="N96" s="81">
        <f t="shared" si="10"/>
        <v>8</v>
      </c>
      <c r="O96" s="82" t="str">
        <f t="shared" si="11"/>
        <v>-</v>
      </c>
      <c r="P96" s="83">
        <v>8</v>
      </c>
      <c r="Q96" s="83">
        <v>0</v>
      </c>
      <c r="R96" s="83">
        <v>0</v>
      </c>
      <c r="S96" s="79">
        <f t="shared" si="12"/>
        <v>8</v>
      </c>
      <c r="T96" s="84">
        <v>8</v>
      </c>
      <c r="U96" s="84">
        <v>0</v>
      </c>
      <c r="V96" s="84">
        <v>0</v>
      </c>
      <c r="W96" s="85">
        <f t="shared" si="13"/>
        <v>8</v>
      </c>
      <c r="X96" s="86">
        <v>8</v>
      </c>
      <c r="Y96" s="86">
        <v>0</v>
      </c>
      <c r="Z96" s="86">
        <v>0</v>
      </c>
      <c r="AA96" s="88">
        <v>8</v>
      </c>
      <c r="AB96" s="89">
        <v>8</v>
      </c>
      <c r="AC96" s="89">
        <v>0</v>
      </c>
      <c r="AD96" s="89">
        <v>0</v>
      </c>
      <c r="AE96" s="90">
        <f t="shared" si="14"/>
        <v>8</v>
      </c>
      <c r="AF96" s="91">
        <v>8</v>
      </c>
      <c r="AG96" s="91">
        <v>0</v>
      </c>
      <c r="AH96" s="91">
        <v>0</v>
      </c>
      <c r="AI96" s="87">
        <f t="shared" si="15"/>
        <v>8</v>
      </c>
      <c r="AJ96" s="77" t="s">
        <v>57</v>
      </c>
      <c r="AK96" s="77" t="s">
        <v>86</v>
      </c>
      <c r="AL96" s="77"/>
      <c r="AM96" s="77"/>
    </row>
    <row r="97" spans="2:39" s="65" customFormat="1" ht="15.9" customHeight="1">
      <c r="B97" s="75">
        <f>SUBTOTAL(3,C$4:$C97)</f>
        <v>94</v>
      </c>
      <c r="C97" s="76" t="s">
        <v>64</v>
      </c>
      <c r="D97" s="78" t="s">
        <v>62</v>
      </c>
      <c r="E97" s="77" t="s">
        <v>63</v>
      </c>
      <c r="F97" s="77" t="s">
        <v>56</v>
      </c>
      <c r="G97" s="77" t="s">
        <v>56</v>
      </c>
      <c r="H97" s="77" t="s">
        <v>56</v>
      </c>
      <c r="I97" s="79" t="str">
        <f t="shared" si="8"/>
        <v>-</v>
      </c>
      <c r="J97" s="77">
        <v>8</v>
      </c>
      <c r="K97" s="77" t="s">
        <v>56</v>
      </c>
      <c r="L97" s="77" t="s">
        <v>56</v>
      </c>
      <c r="M97" s="77">
        <f t="shared" si="9"/>
        <v>8</v>
      </c>
      <c r="N97" s="81">
        <f t="shared" si="10"/>
        <v>8</v>
      </c>
      <c r="O97" s="82" t="str">
        <f t="shared" si="11"/>
        <v>-</v>
      </c>
      <c r="P97" s="83">
        <v>8</v>
      </c>
      <c r="Q97" s="83">
        <v>0</v>
      </c>
      <c r="R97" s="83">
        <v>0</v>
      </c>
      <c r="S97" s="79">
        <f t="shared" si="12"/>
        <v>8</v>
      </c>
      <c r="T97" s="84">
        <v>8</v>
      </c>
      <c r="U97" s="84">
        <v>0</v>
      </c>
      <c r="V97" s="84">
        <v>0</v>
      </c>
      <c r="W97" s="85">
        <f t="shared" si="13"/>
        <v>8</v>
      </c>
      <c r="X97" s="86">
        <v>8</v>
      </c>
      <c r="Y97" s="86">
        <v>0</v>
      </c>
      <c r="Z97" s="86">
        <v>0</v>
      </c>
      <c r="AA97" s="88">
        <v>8</v>
      </c>
      <c r="AB97" s="89">
        <v>8</v>
      </c>
      <c r="AC97" s="89">
        <v>0</v>
      </c>
      <c r="AD97" s="89">
        <v>0</v>
      </c>
      <c r="AE97" s="90">
        <f t="shared" si="14"/>
        <v>8</v>
      </c>
      <c r="AF97" s="91">
        <v>8</v>
      </c>
      <c r="AG97" s="91">
        <v>0</v>
      </c>
      <c r="AH97" s="91">
        <v>0</v>
      </c>
      <c r="AI97" s="87">
        <f t="shared" si="15"/>
        <v>8</v>
      </c>
      <c r="AJ97" s="77" t="s">
        <v>57</v>
      </c>
      <c r="AK97" s="77" t="s">
        <v>86</v>
      </c>
      <c r="AL97" s="77"/>
      <c r="AM97" s="77"/>
    </row>
    <row r="98" spans="2:39" s="65" customFormat="1" ht="15.9" customHeight="1">
      <c r="B98" s="75">
        <f>SUBTOTAL(3,C$4:$C98)</f>
        <v>95</v>
      </c>
      <c r="C98" s="76" t="s">
        <v>65</v>
      </c>
      <c r="D98" s="77" t="s">
        <v>66</v>
      </c>
      <c r="E98" s="77" t="s">
        <v>67</v>
      </c>
      <c r="F98" s="77">
        <v>8</v>
      </c>
      <c r="G98" s="77" t="s">
        <v>56</v>
      </c>
      <c r="H98" s="77" t="s">
        <v>56</v>
      </c>
      <c r="I98" s="79">
        <f t="shared" si="8"/>
        <v>8</v>
      </c>
      <c r="J98" s="77">
        <v>8</v>
      </c>
      <c r="K98" s="77" t="s">
        <v>56</v>
      </c>
      <c r="L98" s="77" t="s">
        <v>56</v>
      </c>
      <c r="M98" s="77">
        <f t="shared" si="9"/>
        <v>8</v>
      </c>
      <c r="N98" s="81">
        <f t="shared" si="10"/>
        <v>8</v>
      </c>
      <c r="O98" s="82" t="str">
        <f t="shared" si="11"/>
        <v>-</v>
      </c>
      <c r="P98" s="83">
        <v>8</v>
      </c>
      <c r="Q98" s="83">
        <v>0</v>
      </c>
      <c r="R98" s="83">
        <v>0</v>
      </c>
      <c r="S98" s="79">
        <f t="shared" si="12"/>
        <v>8</v>
      </c>
      <c r="T98" s="84">
        <v>8</v>
      </c>
      <c r="U98" s="84">
        <v>0</v>
      </c>
      <c r="V98" s="84">
        <v>0</v>
      </c>
      <c r="W98" s="85">
        <f t="shared" si="13"/>
        <v>8</v>
      </c>
      <c r="X98" s="86">
        <v>8</v>
      </c>
      <c r="Y98" s="86">
        <v>0</v>
      </c>
      <c r="Z98" s="86">
        <v>0</v>
      </c>
      <c r="AA98" s="88">
        <v>8</v>
      </c>
      <c r="AB98" s="89">
        <v>8</v>
      </c>
      <c r="AC98" s="89">
        <v>0</v>
      </c>
      <c r="AD98" s="89">
        <v>0</v>
      </c>
      <c r="AE98" s="90">
        <f t="shared" si="14"/>
        <v>8</v>
      </c>
      <c r="AF98" s="91">
        <v>8</v>
      </c>
      <c r="AG98" s="91">
        <v>0</v>
      </c>
      <c r="AH98" s="91">
        <v>0</v>
      </c>
      <c r="AI98" s="87">
        <f t="shared" si="15"/>
        <v>8</v>
      </c>
      <c r="AJ98" s="77" t="s">
        <v>57</v>
      </c>
      <c r="AK98" s="77" t="s">
        <v>86</v>
      </c>
      <c r="AL98" s="77"/>
      <c r="AM98" s="77"/>
    </row>
    <row r="99" spans="2:39" s="65" customFormat="1" ht="15.9" customHeight="1">
      <c r="B99" s="75">
        <f>SUBTOTAL(3,C$4:$C99)</f>
        <v>96</v>
      </c>
      <c r="C99" s="76" t="s">
        <v>68</v>
      </c>
      <c r="D99" s="77" t="s">
        <v>84</v>
      </c>
      <c r="E99" s="77" t="s">
        <v>55</v>
      </c>
      <c r="F99" s="77">
        <v>4</v>
      </c>
      <c r="G99" s="77" t="s">
        <v>56</v>
      </c>
      <c r="H99" s="77" t="s">
        <v>56</v>
      </c>
      <c r="I99" s="79">
        <f t="shared" si="8"/>
        <v>4</v>
      </c>
      <c r="J99" s="77">
        <v>4</v>
      </c>
      <c r="K99" s="77" t="s">
        <v>56</v>
      </c>
      <c r="L99" s="77" t="s">
        <v>56</v>
      </c>
      <c r="M99" s="77">
        <f t="shared" si="9"/>
        <v>4</v>
      </c>
      <c r="N99" s="81">
        <f t="shared" si="10"/>
        <v>4</v>
      </c>
      <c r="O99" s="82" t="str">
        <f t="shared" si="11"/>
        <v>-</v>
      </c>
      <c r="P99" s="83">
        <v>4</v>
      </c>
      <c r="Q99" s="83">
        <v>0</v>
      </c>
      <c r="R99" s="83">
        <v>0</v>
      </c>
      <c r="S99" s="79">
        <f t="shared" si="12"/>
        <v>4</v>
      </c>
      <c r="T99" s="84">
        <v>4</v>
      </c>
      <c r="U99" s="84">
        <v>0</v>
      </c>
      <c r="V99" s="84">
        <v>0</v>
      </c>
      <c r="W99" s="85">
        <f t="shared" si="13"/>
        <v>4</v>
      </c>
      <c r="X99" s="86">
        <v>4</v>
      </c>
      <c r="Y99" s="86">
        <v>0</v>
      </c>
      <c r="Z99" s="86">
        <v>0</v>
      </c>
      <c r="AA99" s="88">
        <v>4</v>
      </c>
      <c r="AB99" s="89">
        <v>4</v>
      </c>
      <c r="AC99" s="89">
        <v>0</v>
      </c>
      <c r="AD99" s="89">
        <v>0</v>
      </c>
      <c r="AE99" s="90">
        <f t="shared" si="14"/>
        <v>4</v>
      </c>
      <c r="AF99" s="91">
        <v>4</v>
      </c>
      <c r="AG99" s="91">
        <v>0</v>
      </c>
      <c r="AH99" s="91">
        <v>0</v>
      </c>
      <c r="AI99" s="87">
        <f t="shared" si="15"/>
        <v>4</v>
      </c>
      <c r="AJ99" s="77" t="s">
        <v>57</v>
      </c>
      <c r="AK99" s="77" t="s">
        <v>86</v>
      </c>
      <c r="AL99" s="77"/>
      <c r="AM99" s="77"/>
    </row>
    <row r="100" spans="2:39" s="65" customFormat="1" ht="15.9" customHeight="1">
      <c r="B100" s="75">
        <f>SUBTOTAL(3,C$4:$C100)</f>
        <v>97</v>
      </c>
      <c r="C100" s="76" t="s">
        <v>69</v>
      </c>
      <c r="D100" s="77">
        <v>2015</v>
      </c>
      <c r="E100" s="77" t="s">
        <v>55</v>
      </c>
      <c r="F100" s="77">
        <v>3</v>
      </c>
      <c r="G100" s="77" t="s">
        <v>56</v>
      </c>
      <c r="H100" s="77" t="s">
        <v>56</v>
      </c>
      <c r="I100" s="79">
        <f t="shared" si="8"/>
        <v>3</v>
      </c>
      <c r="J100" s="77">
        <v>2</v>
      </c>
      <c r="K100" s="77" t="s">
        <v>56</v>
      </c>
      <c r="L100" s="77" t="s">
        <v>56</v>
      </c>
      <c r="M100" s="77">
        <f t="shared" si="9"/>
        <v>2</v>
      </c>
      <c r="N100" s="81">
        <f t="shared" si="10"/>
        <v>2</v>
      </c>
      <c r="O100" s="82" t="str">
        <f t="shared" si="11"/>
        <v>-</v>
      </c>
      <c r="P100" s="83">
        <v>4</v>
      </c>
      <c r="Q100" s="83">
        <v>0</v>
      </c>
      <c r="R100" s="83">
        <v>0</v>
      </c>
      <c r="S100" s="79">
        <f t="shared" si="12"/>
        <v>4</v>
      </c>
      <c r="T100" s="84">
        <v>4</v>
      </c>
      <c r="U100" s="84">
        <v>0</v>
      </c>
      <c r="V100" s="84">
        <v>0</v>
      </c>
      <c r="W100" s="85">
        <f t="shared" si="13"/>
        <v>4</v>
      </c>
      <c r="X100" s="86">
        <v>3</v>
      </c>
      <c r="Y100" s="86">
        <v>1</v>
      </c>
      <c r="Z100" s="86">
        <v>0</v>
      </c>
      <c r="AA100" s="88">
        <v>4</v>
      </c>
      <c r="AB100" s="89">
        <v>4</v>
      </c>
      <c r="AC100" s="89">
        <v>0</v>
      </c>
      <c r="AD100" s="89">
        <v>0</v>
      </c>
      <c r="AE100" s="90">
        <f t="shared" si="14"/>
        <v>4</v>
      </c>
      <c r="AF100" s="93">
        <v>3</v>
      </c>
      <c r="AG100" s="93">
        <v>1</v>
      </c>
      <c r="AH100" s="91">
        <v>0</v>
      </c>
      <c r="AI100" s="87">
        <f t="shared" si="15"/>
        <v>4</v>
      </c>
      <c r="AJ100" s="77" t="s">
        <v>57</v>
      </c>
      <c r="AK100" s="77" t="s">
        <v>86</v>
      </c>
      <c r="AL100" s="77" t="s">
        <v>591</v>
      </c>
      <c r="AM100" s="77"/>
    </row>
    <row r="101" spans="2:39" s="65" customFormat="1" ht="15.9" customHeight="1">
      <c r="B101" s="75">
        <f>SUBTOTAL(3,C$4:$C101)</f>
        <v>98</v>
      </c>
      <c r="C101" s="76" t="s">
        <v>70</v>
      </c>
      <c r="D101" s="77">
        <v>2010</v>
      </c>
      <c r="E101" s="77" t="s">
        <v>71</v>
      </c>
      <c r="F101" s="77">
        <v>4</v>
      </c>
      <c r="G101" s="77" t="s">
        <v>56</v>
      </c>
      <c r="H101" s="77" t="s">
        <v>56</v>
      </c>
      <c r="I101" s="79">
        <f t="shared" si="8"/>
        <v>4</v>
      </c>
      <c r="J101" s="77">
        <v>4</v>
      </c>
      <c r="K101" s="77" t="s">
        <v>56</v>
      </c>
      <c r="L101" s="77" t="s">
        <v>56</v>
      </c>
      <c r="M101" s="77">
        <f t="shared" si="9"/>
        <v>4</v>
      </c>
      <c r="N101" s="81">
        <f t="shared" si="10"/>
        <v>4</v>
      </c>
      <c r="O101" s="82" t="str">
        <f t="shared" si="11"/>
        <v>-</v>
      </c>
      <c r="P101" s="83">
        <v>4</v>
      </c>
      <c r="Q101" s="83">
        <v>0</v>
      </c>
      <c r="R101" s="83">
        <v>0</v>
      </c>
      <c r="S101" s="79">
        <f t="shared" si="12"/>
        <v>4</v>
      </c>
      <c r="T101" s="84">
        <v>4</v>
      </c>
      <c r="U101" s="84">
        <v>0</v>
      </c>
      <c r="V101" s="84">
        <v>0</v>
      </c>
      <c r="W101" s="85">
        <f t="shared" si="13"/>
        <v>4</v>
      </c>
      <c r="X101" s="86">
        <v>4</v>
      </c>
      <c r="Y101" s="86">
        <v>0</v>
      </c>
      <c r="Z101" s="86">
        <v>0</v>
      </c>
      <c r="AA101" s="88">
        <v>4</v>
      </c>
      <c r="AB101" s="89">
        <v>4</v>
      </c>
      <c r="AC101" s="89">
        <v>0</v>
      </c>
      <c r="AD101" s="89">
        <v>0</v>
      </c>
      <c r="AE101" s="90">
        <f t="shared" si="14"/>
        <v>4</v>
      </c>
      <c r="AF101" s="91">
        <v>4</v>
      </c>
      <c r="AG101" s="91">
        <v>0</v>
      </c>
      <c r="AH101" s="91">
        <v>0</v>
      </c>
      <c r="AI101" s="87">
        <f t="shared" si="15"/>
        <v>4</v>
      </c>
      <c r="AJ101" s="77" t="s">
        <v>57</v>
      </c>
      <c r="AK101" s="77" t="s">
        <v>86</v>
      </c>
      <c r="AL101" s="77"/>
      <c r="AM101" s="77"/>
    </row>
    <row r="102" spans="2:39" s="65" customFormat="1" ht="15.9" customHeight="1">
      <c r="B102" s="75">
        <f>SUBTOTAL(3,C$4:$C102)</f>
        <v>99</v>
      </c>
      <c r="C102" s="76" t="s">
        <v>72</v>
      </c>
      <c r="D102" s="77">
        <v>2010</v>
      </c>
      <c r="E102" s="77" t="s">
        <v>67</v>
      </c>
      <c r="F102" s="77">
        <v>2</v>
      </c>
      <c r="G102" s="77" t="s">
        <v>56</v>
      </c>
      <c r="H102" s="77" t="s">
        <v>56</v>
      </c>
      <c r="I102" s="79">
        <f t="shared" si="8"/>
        <v>2</v>
      </c>
      <c r="J102" s="77">
        <v>2</v>
      </c>
      <c r="K102" s="77" t="s">
        <v>56</v>
      </c>
      <c r="L102" s="77" t="s">
        <v>56</v>
      </c>
      <c r="M102" s="77">
        <f t="shared" si="9"/>
        <v>2</v>
      </c>
      <c r="N102" s="81">
        <f t="shared" si="10"/>
        <v>2</v>
      </c>
      <c r="O102" s="82" t="str">
        <f t="shared" si="11"/>
        <v>-</v>
      </c>
      <c r="P102" s="83">
        <v>2</v>
      </c>
      <c r="Q102" s="83">
        <v>0</v>
      </c>
      <c r="R102" s="83">
        <v>0</v>
      </c>
      <c r="S102" s="79">
        <f t="shared" si="12"/>
        <v>2</v>
      </c>
      <c r="T102" s="84">
        <v>2</v>
      </c>
      <c r="U102" s="84">
        <v>0</v>
      </c>
      <c r="V102" s="84">
        <v>0</v>
      </c>
      <c r="W102" s="85">
        <f t="shared" si="13"/>
        <v>2</v>
      </c>
      <c r="X102" s="86">
        <v>2</v>
      </c>
      <c r="Y102" s="86">
        <v>0</v>
      </c>
      <c r="Z102" s="86">
        <v>0</v>
      </c>
      <c r="AA102" s="88">
        <v>2</v>
      </c>
      <c r="AB102" s="89">
        <v>2</v>
      </c>
      <c r="AC102" s="89">
        <v>0</v>
      </c>
      <c r="AD102" s="89">
        <v>0</v>
      </c>
      <c r="AE102" s="90">
        <f t="shared" si="14"/>
        <v>2</v>
      </c>
      <c r="AF102" s="91">
        <v>2</v>
      </c>
      <c r="AG102" s="91">
        <v>0</v>
      </c>
      <c r="AH102" s="91">
        <v>0</v>
      </c>
      <c r="AI102" s="87">
        <f t="shared" si="15"/>
        <v>2</v>
      </c>
      <c r="AJ102" s="77" t="s">
        <v>57</v>
      </c>
      <c r="AK102" s="77" t="s">
        <v>86</v>
      </c>
      <c r="AL102" s="77"/>
      <c r="AM102" s="77"/>
    </row>
    <row r="103" spans="2:39" s="65" customFormat="1" ht="15.9" customHeight="1">
      <c r="B103" s="75">
        <f>SUBTOTAL(3,C$4:$C103)</f>
        <v>100</v>
      </c>
      <c r="C103" s="76" t="s">
        <v>73</v>
      </c>
      <c r="D103" s="77">
        <v>2010</v>
      </c>
      <c r="E103" s="77" t="s">
        <v>63</v>
      </c>
      <c r="F103" s="77" t="s">
        <v>56</v>
      </c>
      <c r="G103" s="77" t="s">
        <v>56</v>
      </c>
      <c r="H103" s="77" t="s">
        <v>56</v>
      </c>
      <c r="I103" s="79" t="str">
        <f t="shared" si="8"/>
        <v>-</v>
      </c>
      <c r="J103" s="77">
        <v>2</v>
      </c>
      <c r="K103" s="77" t="s">
        <v>56</v>
      </c>
      <c r="L103" s="77" t="s">
        <v>56</v>
      </c>
      <c r="M103" s="77">
        <f t="shared" si="9"/>
        <v>2</v>
      </c>
      <c r="N103" s="81">
        <f t="shared" si="10"/>
        <v>2</v>
      </c>
      <c r="O103" s="82" t="str">
        <f t="shared" si="11"/>
        <v>-</v>
      </c>
      <c r="P103" s="83">
        <v>2</v>
      </c>
      <c r="Q103" s="83">
        <v>0</v>
      </c>
      <c r="R103" s="83">
        <v>0</v>
      </c>
      <c r="S103" s="79">
        <f t="shared" si="12"/>
        <v>2</v>
      </c>
      <c r="T103" s="84">
        <v>2</v>
      </c>
      <c r="U103" s="84">
        <v>0</v>
      </c>
      <c r="V103" s="84">
        <v>0</v>
      </c>
      <c r="W103" s="85">
        <f t="shared" si="13"/>
        <v>2</v>
      </c>
      <c r="X103" s="86">
        <v>2</v>
      </c>
      <c r="Y103" s="86">
        <v>0</v>
      </c>
      <c r="Z103" s="86">
        <v>0</v>
      </c>
      <c r="AA103" s="88">
        <v>2</v>
      </c>
      <c r="AB103" s="89">
        <v>2</v>
      </c>
      <c r="AC103" s="89">
        <v>0</v>
      </c>
      <c r="AD103" s="89">
        <v>0</v>
      </c>
      <c r="AE103" s="90">
        <f t="shared" si="14"/>
        <v>2</v>
      </c>
      <c r="AF103" s="91">
        <v>2</v>
      </c>
      <c r="AG103" s="91">
        <v>0</v>
      </c>
      <c r="AH103" s="91">
        <v>0</v>
      </c>
      <c r="AI103" s="87">
        <f t="shared" si="15"/>
        <v>2</v>
      </c>
      <c r="AJ103" s="77" t="s">
        <v>57</v>
      </c>
      <c r="AK103" s="77" t="s">
        <v>86</v>
      </c>
      <c r="AL103" s="77"/>
      <c r="AM103" s="77"/>
    </row>
    <row r="104" spans="2:39" s="65" customFormat="1" ht="15.9" customHeight="1">
      <c r="B104" s="75">
        <f>SUBTOTAL(3,C$4:$C104)</f>
        <v>101</v>
      </c>
      <c r="C104" s="76" t="s">
        <v>74</v>
      </c>
      <c r="D104" s="77">
        <v>2018</v>
      </c>
      <c r="E104" s="77" t="s">
        <v>60</v>
      </c>
      <c r="F104" s="77">
        <v>4</v>
      </c>
      <c r="G104" s="77" t="s">
        <v>56</v>
      </c>
      <c r="H104" s="77" t="s">
        <v>56</v>
      </c>
      <c r="I104" s="79">
        <f t="shared" si="8"/>
        <v>4</v>
      </c>
      <c r="J104" s="77">
        <v>4</v>
      </c>
      <c r="K104" s="77" t="s">
        <v>56</v>
      </c>
      <c r="L104" s="77" t="s">
        <v>56</v>
      </c>
      <c r="M104" s="77">
        <f t="shared" si="9"/>
        <v>4</v>
      </c>
      <c r="N104" s="81">
        <f t="shared" si="10"/>
        <v>4</v>
      </c>
      <c r="O104" s="82" t="str">
        <f t="shared" si="11"/>
        <v>-</v>
      </c>
      <c r="P104" s="83">
        <v>4</v>
      </c>
      <c r="Q104" s="83">
        <v>0</v>
      </c>
      <c r="R104" s="83">
        <v>0</v>
      </c>
      <c r="S104" s="79">
        <f t="shared" si="12"/>
        <v>4</v>
      </c>
      <c r="T104" s="84">
        <v>4</v>
      </c>
      <c r="U104" s="84">
        <v>0</v>
      </c>
      <c r="V104" s="84">
        <v>0</v>
      </c>
      <c r="W104" s="85">
        <f t="shared" si="13"/>
        <v>4</v>
      </c>
      <c r="X104" s="86">
        <v>4</v>
      </c>
      <c r="Y104" s="86">
        <v>0</v>
      </c>
      <c r="Z104" s="86">
        <v>0</v>
      </c>
      <c r="AA104" s="88">
        <v>4</v>
      </c>
      <c r="AB104" s="89">
        <v>4</v>
      </c>
      <c r="AC104" s="89">
        <v>0</v>
      </c>
      <c r="AD104" s="89">
        <v>0</v>
      </c>
      <c r="AE104" s="90">
        <f t="shared" si="14"/>
        <v>4</v>
      </c>
      <c r="AF104" s="91">
        <v>4</v>
      </c>
      <c r="AG104" s="91">
        <v>0</v>
      </c>
      <c r="AH104" s="91">
        <v>0</v>
      </c>
      <c r="AI104" s="87">
        <f t="shared" si="15"/>
        <v>4</v>
      </c>
      <c r="AJ104" s="77" t="s">
        <v>57</v>
      </c>
      <c r="AK104" s="77" t="s">
        <v>86</v>
      </c>
      <c r="AL104" s="77"/>
      <c r="AM104" s="77"/>
    </row>
    <row r="105" spans="2:39" s="65" customFormat="1" ht="15.9" customHeight="1">
      <c r="B105" s="75">
        <f>SUBTOTAL(3,C$4:$C105)</f>
        <v>102</v>
      </c>
      <c r="C105" s="76" t="s">
        <v>75</v>
      </c>
      <c r="D105" s="77">
        <v>2010</v>
      </c>
      <c r="E105" s="77" t="s">
        <v>60</v>
      </c>
      <c r="F105" s="77">
        <v>4</v>
      </c>
      <c r="G105" s="77" t="s">
        <v>56</v>
      </c>
      <c r="H105" s="77" t="s">
        <v>56</v>
      </c>
      <c r="I105" s="79">
        <f t="shared" si="8"/>
        <v>4</v>
      </c>
      <c r="J105" s="77">
        <v>4</v>
      </c>
      <c r="K105" s="77" t="s">
        <v>56</v>
      </c>
      <c r="L105" s="77" t="s">
        <v>56</v>
      </c>
      <c r="M105" s="77">
        <f t="shared" si="9"/>
        <v>4</v>
      </c>
      <c r="N105" s="81">
        <f t="shared" si="10"/>
        <v>4</v>
      </c>
      <c r="O105" s="82" t="str">
        <f t="shared" si="11"/>
        <v>-</v>
      </c>
      <c r="P105" s="83">
        <v>4</v>
      </c>
      <c r="Q105" s="83">
        <v>0</v>
      </c>
      <c r="R105" s="83">
        <v>0</v>
      </c>
      <c r="S105" s="79">
        <f t="shared" si="12"/>
        <v>4</v>
      </c>
      <c r="T105" s="84">
        <v>4</v>
      </c>
      <c r="U105" s="84">
        <v>0</v>
      </c>
      <c r="V105" s="84">
        <v>0</v>
      </c>
      <c r="W105" s="85">
        <f t="shared" si="13"/>
        <v>4</v>
      </c>
      <c r="X105" s="86">
        <v>4</v>
      </c>
      <c r="Y105" s="86">
        <v>0</v>
      </c>
      <c r="Z105" s="86">
        <v>0</v>
      </c>
      <c r="AA105" s="88">
        <v>4</v>
      </c>
      <c r="AB105" s="89">
        <v>4</v>
      </c>
      <c r="AC105" s="89">
        <v>0</v>
      </c>
      <c r="AD105" s="89">
        <v>0</v>
      </c>
      <c r="AE105" s="90">
        <f t="shared" si="14"/>
        <v>4</v>
      </c>
      <c r="AF105" s="91">
        <v>4</v>
      </c>
      <c r="AG105" s="91">
        <v>0</v>
      </c>
      <c r="AH105" s="91">
        <v>0</v>
      </c>
      <c r="AI105" s="87">
        <f t="shared" si="15"/>
        <v>4</v>
      </c>
      <c r="AJ105" s="77" t="s">
        <v>57</v>
      </c>
      <c r="AK105" s="77" t="s">
        <v>86</v>
      </c>
      <c r="AL105" s="77" t="s">
        <v>592</v>
      </c>
      <c r="AM105" s="77"/>
    </row>
    <row r="106" spans="2:39" s="65" customFormat="1" ht="15.9" customHeight="1">
      <c r="B106" s="75">
        <f>SUBTOTAL(3,C$4:$C106)</f>
        <v>103</v>
      </c>
      <c r="C106" s="76" t="s">
        <v>76</v>
      </c>
      <c r="D106" s="77">
        <v>2010</v>
      </c>
      <c r="E106" s="77" t="s">
        <v>60</v>
      </c>
      <c r="F106" s="77">
        <v>5</v>
      </c>
      <c r="G106" s="77" t="s">
        <v>56</v>
      </c>
      <c r="H106" s="77">
        <v>1</v>
      </c>
      <c r="I106" s="79">
        <f t="shared" si="8"/>
        <v>5</v>
      </c>
      <c r="J106" s="77">
        <v>5</v>
      </c>
      <c r="K106" s="77" t="s">
        <v>56</v>
      </c>
      <c r="L106" s="77" t="s">
        <v>56</v>
      </c>
      <c r="M106" s="77">
        <f t="shared" si="9"/>
        <v>5</v>
      </c>
      <c r="N106" s="81">
        <f t="shared" si="10"/>
        <v>5</v>
      </c>
      <c r="O106" s="82" t="str">
        <f t="shared" si="11"/>
        <v>-</v>
      </c>
      <c r="P106" s="83">
        <v>5</v>
      </c>
      <c r="Q106" s="83">
        <v>0</v>
      </c>
      <c r="R106" s="83">
        <v>0</v>
      </c>
      <c r="S106" s="79">
        <f t="shared" si="12"/>
        <v>5</v>
      </c>
      <c r="T106" s="84">
        <v>4</v>
      </c>
      <c r="U106" s="84">
        <v>1</v>
      </c>
      <c r="V106" s="84">
        <v>0</v>
      </c>
      <c r="W106" s="85">
        <f t="shared" si="13"/>
        <v>5</v>
      </c>
      <c r="X106" s="86">
        <v>5</v>
      </c>
      <c r="Y106" s="86">
        <v>0</v>
      </c>
      <c r="Z106" s="86">
        <v>0</v>
      </c>
      <c r="AA106" s="88">
        <v>5</v>
      </c>
      <c r="AB106" s="89">
        <v>5</v>
      </c>
      <c r="AC106" s="89">
        <v>0</v>
      </c>
      <c r="AD106" s="89">
        <v>0</v>
      </c>
      <c r="AE106" s="90">
        <f t="shared" si="14"/>
        <v>5</v>
      </c>
      <c r="AF106" s="91">
        <v>5</v>
      </c>
      <c r="AG106" s="91">
        <v>0</v>
      </c>
      <c r="AH106" s="91">
        <v>0</v>
      </c>
      <c r="AI106" s="87">
        <f t="shared" si="15"/>
        <v>5</v>
      </c>
      <c r="AJ106" s="77" t="s">
        <v>57</v>
      </c>
      <c r="AK106" s="77" t="s">
        <v>86</v>
      </c>
      <c r="AL106" s="77" t="s">
        <v>589</v>
      </c>
      <c r="AM106" s="77"/>
    </row>
    <row r="107" spans="2:39" s="65" customFormat="1" ht="15.9" customHeight="1">
      <c r="B107" s="75">
        <f>SUBTOTAL(3,C$4:$C107)</f>
        <v>104</v>
      </c>
      <c r="C107" s="76" t="s">
        <v>77</v>
      </c>
      <c r="D107" s="77">
        <v>2025</v>
      </c>
      <c r="E107" s="77" t="s">
        <v>60</v>
      </c>
      <c r="F107" s="77" t="s">
        <v>56</v>
      </c>
      <c r="G107" s="77" t="s">
        <v>56</v>
      </c>
      <c r="H107" s="77" t="s">
        <v>56</v>
      </c>
      <c r="I107" s="79" t="str">
        <f t="shared" si="8"/>
        <v>-</v>
      </c>
      <c r="J107" s="77">
        <v>1</v>
      </c>
      <c r="K107" s="77" t="s">
        <v>56</v>
      </c>
      <c r="L107" s="77" t="s">
        <v>56</v>
      </c>
      <c r="M107" s="77">
        <f t="shared" si="9"/>
        <v>1</v>
      </c>
      <c r="N107" s="81">
        <f t="shared" si="10"/>
        <v>1</v>
      </c>
      <c r="O107" s="82" t="str">
        <f t="shared" si="11"/>
        <v>-</v>
      </c>
      <c r="P107" s="83">
        <v>1</v>
      </c>
      <c r="Q107" s="83">
        <v>0</v>
      </c>
      <c r="R107" s="83">
        <v>0</v>
      </c>
      <c r="S107" s="79">
        <f t="shared" si="12"/>
        <v>1</v>
      </c>
      <c r="T107" s="84">
        <v>1</v>
      </c>
      <c r="U107" s="84">
        <v>0</v>
      </c>
      <c r="V107" s="84">
        <v>0</v>
      </c>
      <c r="W107" s="85">
        <f t="shared" si="13"/>
        <v>1</v>
      </c>
      <c r="X107" s="86">
        <v>2</v>
      </c>
      <c r="Y107" s="86">
        <v>0</v>
      </c>
      <c r="Z107" s="86">
        <v>0</v>
      </c>
      <c r="AA107" s="88">
        <v>2</v>
      </c>
      <c r="AB107" s="89">
        <v>2</v>
      </c>
      <c r="AC107" s="89">
        <v>0</v>
      </c>
      <c r="AD107" s="89">
        <v>0</v>
      </c>
      <c r="AE107" s="90">
        <f t="shared" si="14"/>
        <v>2</v>
      </c>
      <c r="AF107" s="91">
        <v>2</v>
      </c>
      <c r="AG107" s="91">
        <v>0</v>
      </c>
      <c r="AH107" s="91">
        <v>0</v>
      </c>
      <c r="AI107" s="87">
        <f t="shared" si="15"/>
        <v>2</v>
      </c>
      <c r="AJ107" s="77" t="s">
        <v>57</v>
      </c>
      <c r="AK107" s="77" t="s">
        <v>86</v>
      </c>
      <c r="AL107" s="77"/>
      <c r="AM107" s="95">
        <v>45763</v>
      </c>
    </row>
    <row r="108" spans="2:39" s="65" customFormat="1" ht="15.9" customHeight="1">
      <c r="B108" s="75">
        <f>SUBTOTAL(3,C$4:$C108)</f>
        <v>105</v>
      </c>
      <c r="C108" s="76" t="s">
        <v>501</v>
      </c>
      <c r="D108" s="77"/>
      <c r="E108" s="77"/>
      <c r="F108" s="77" t="s">
        <v>56</v>
      </c>
      <c r="G108" s="77" t="s">
        <v>56</v>
      </c>
      <c r="H108" s="77" t="s">
        <v>56</v>
      </c>
      <c r="I108" s="79" t="str">
        <f t="shared" si="8"/>
        <v>-</v>
      </c>
      <c r="J108" s="77">
        <v>2</v>
      </c>
      <c r="K108" s="77" t="s">
        <v>56</v>
      </c>
      <c r="L108" s="77" t="s">
        <v>56</v>
      </c>
      <c r="M108" s="77">
        <f t="shared" si="9"/>
        <v>2</v>
      </c>
      <c r="N108" s="81">
        <f t="shared" si="10"/>
        <v>2</v>
      </c>
      <c r="O108" s="82" t="str">
        <f t="shared" si="11"/>
        <v>-</v>
      </c>
      <c r="P108" s="83">
        <v>2</v>
      </c>
      <c r="Q108" s="83">
        <v>0</v>
      </c>
      <c r="R108" s="83">
        <v>0</v>
      </c>
      <c r="S108" s="79">
        <f t="shared" si="12"/>
        <v>2</v>
      </c>
      <c r="T108" s="84">
        <v>2</v>
      </c>
      <c r="U108" s="84">
        <v>0</v>
      </c>
      <c r="V108" s="84">
        <v>0</v>
      </c>
      <c r="W108" s="85">
        <f t="shared" si="13"/>
        <v>2</v>
      </c>
      <c r="X108" s="86">
        <v>2</v>
      </c>
      <c r="Y108" s="86">
        <v>0</v>
      </c>
      <c r="Z108" s="86">
        <v>0</v>
      </c>
      <c r="AA108" s="88">
        <v>2</v>
      </c>
      <c r="AB108" s="89">
        <v>2</v>
      </c>
      <c r="AC108" s="89">
        <v>0</v>
      </c>
      <c r="AD108" s="89">
        <v>0</v>
      </c>
      <c r="AE108" s="90">
        <f t="shared" si="14"/>
        <v>2</v>
      </c>
      <c r="AF108" s="91">
        <v>2</v>
      </c>
      <c r="AG108" s="91">
        <v>0</v>
      </c>
      <c r="AH108" s="91">
        <v>0</v>
      </c>
      <c r="AI108" s="87">
        <f t="shared" si="15"/>
        <v>2</v>
      </c>
      <c r="AJ108" s="77" t="s">
        <v>57</v>
      </c>
      <c r="AK108" s="77" t="s">
        <v>86</v>
      </c>
      <c r="AL108" s="77"/>
      <c r="AM108" s="95"/>
    </row>
    <row r="109" spans="2:39" s="65" customFormat="1" ht="15.9" customHeight="1">
      <c r="B109" s="75">
        <f>SUBTOTAL(3,C$4:$C109)</f>
        <v>106</v>
      </c>
      <c r="C109" s="76" t="s">
        <v>54</v>
      </c>
      <c r="D109" s="77">
        <v>2010</v>
      </c>
      <c r="E109" s="77" t="s">
        <v>55</v>
      </c>
      <c r="F109" s="77">
        <v>8</v>
      </c>
      <c r="G109" s="77" t="s">
        <v>56</v>
      </c>
      <c r="H109" s="77" t="s">
        <v>56</v>
      </c>
      <c r="I109" s="79">
        <f t="shared" si="8"/>
        <v>8</v>
      </c>
      <c r="J109" s="77">
        <v>7</v>
      </c>
      <c r="K109" s="77" t="s">
        <v>56</v>
      </c>
      <c r="L109" s="77">
        <v>1</v>
      </c>
      <c r="M109" s="77">
        <f t="shared" si="9"/>
        <v>8</v>
      </c>
      <c r="N109" s="81">
        <f t="shared" si="10"/>
        <v>7</v>
      </c>
      <c r="O109" s="82">
        <f t="shared" si="11"/>
        <v>1</v>
      </c>
      <c r="P109" s="83">
        <v>7</v>
      </c>
      <c r="Q109" s="83">
        <v>1</v>
      </c>
      <c r="R109" s="83">
        <v>0</v>
      </c>
      <c r="S109" s="79">
        <f t="shared" si="12"/>
        <v>8</v>
      </c>
      <c r="T109" s="84">
        <v>7</v>
      </c>
      <c r="U109" s="84">
        <v>1</v>
      </c>
      <c r="V109" s="84">
        <v>0</v>
      </c>
      <c r="W109" s="85">
        <f t="shared" si="13"/>
        <v>8</v>
      </c>
      <c r="X109" s="86">
        <v>8</v>
      </c>
      <c r="Y109" s="86">
        <v>0</v>
      </c>
      <c r="Z109" s="86">
        <v>0</v>
      </c>
      <c r="AA109" s="88">
        <v>8</v>
      </c>
      <c r="AB109" s="89">
        <v>8</v>
      </c>
      <c r="AC109" s="89">
        <v>0</v>
      </c>
      <c r="AD109" s="89">
        <v>0</v>
      </c>
      <c r="AE109" s="90">
        <f t="shared" si="14"/>
        <v>8</v>
      </c>
      <c r="AF109" s="91">
        <v>8</v>
      </c>
      <c r="AG109" s="91">
        <v>0</v>
      </c>
      <c r="AH109" s="91">
        <v>0</v>
      </c>
      <c r="AI109" s="87">
        <f t="shared" si="15"/>
        <v>8</v>
      </c>
      <c r="AJ109" s="77" t="s">
        <v>57</v>
      </c>
      <c r="AK109" s="77" t="s">
        <v>87</v>
      </c>
      <c r="AL109" s="77"/>
      <c r="AM109" s="77"/>
    </row>
    <row r="110" spans="2:39" s="65" customFormat="1" ht="15.9" customHeight="1">
      <c r="B110" s="75">
        <f>SUBTOTAL(3,C$4:$C110)</f>
        <v>107</v>
      </c>
      <c r="C110" s="76" t="s">
        <v>59</v>
      </c>
      <c r="D110" s="77">
        <v>2015</v>
      </c>
      <c r="E110" s="77" t="s">
        <v>60</v>
      </c>
      <c r="F110" s="77">
        <v>8</v>
      </c>
      <c r="G110" s="77" t="s">
        <v>56</v>
      </c>
      <c r="H110" s="77" t="s">
        <v>56</v>
      </c>
      <c r="I110" s="79">
        <f t="shared" si="8"/>
        <v>8</v>
      </c>
      <c r="J110" s="77">
        <v>8</v>
      </c>
      <c r="K110" s="77" t="s">
        <v>56</v>
      </c>
      <c r="L110" s="77" t="s">
        <v>56</v>
      </c>
      <c r="M110" s="77">
        <f t="shared" si="9"/>
        <v>8</v>
      </c>
      <c r="N110" s="81">
        <f t="shared" si="10"/>
        <v>8</v>
      </c>
      <c r="O110" s="82" t="str">
        <f t="shared" si="11"/>
        <v>-</v>
      </c>
      <c r="P110" s="83">
        <v>8</v>
      </c>
      <c r="Q110" s="83">
        <v>0</v>
      </c>
      <c r="R110" s="83">
        <v>0</v>
      </c>
      <c r="S110" s="79">
        <f t="shared" si="12"/>
        <v>8</v>
      </c>
      <c r="T110" s="84">
        <v>8</v>
      </c>
      <c r="U110" s="84">
        <v>0</v>
      </c>
      <c r="V110" s="84">
        <v>0</v>
      </c>
      <c r="W110" s="85">
        <f t="shared" si="13"/>
        <v>8</v>
      </c>
      <c r="X110" s="86">
        <v>8</v>
      </c>
      <c r="Y110" s="86">
        <v>0</v>
      </c>
      <c r="Z110" s="86">
        <v>0</v>
      </c>
      <c r="AA110" s="88">
        <v>8</v>
      </c>
      <c r="AB110" s="89">
        <v>8</v>
      </c>
      <c r="AC110" s="89">
        <v>0</v>
      </c>
      <c r="AD110" s="89">
        <v>0</v>
      </c>
      <c r="AE110" s="90">
        <f t="shared" si="14"/>
        <v>8</v>
      </c>
      <c r="AF110" s="91">
        <v>8</v>
      </c>
      <c r="AG110" s="91">
        <v>0</v>
      </c>
      <c r="AH110" s="91">
        <v>0</v>
      </c>
      <c r="AI110" s="87">
        <f t="shared" si="15"/>
        <v>8</v>
      </c>
      <c r="AJ110" s="77" t="s">
        <v>57</v>
      </c>
      <c r="AK110" s="77" t="s">
        <v>87</v>
      </c>
      <c r="AL110" s="77"/>
      <c r="AM110" s="77"/>
    </row>
    <row r="111" spans="2:39" s="65" customFormat="1" ht="15.9" customHeight="1">
      <c r="B111" s="75">
        <f>SUBTOTAL(3,C$4:$C111)</f>
        <v>108</v>
      </c>
      <c r="C111" s="76" t="s">
        <v>61</v>
      </c>
      <c r="D111" s="78" t="s">
        <v>62</v>
      </c>
      <c r="E111" s="77" t="s">
        <v>63</v>
      </c>
      <c r="F111" s="77" t="s">
        <v>56</v>
      </c>
      <c r="G111" s="77" t="s">
        <v>56</v>
      </c>
      <c r="H111" s="77" t="s">
        <v>56</v>
      </c>
      <c r="I111" s="79" t="str">
        <f t="shared" si="8"/>
        <v>-</v>
      </c>
      <c r="J111" s="77">
        <v>8</v>
      </c>
      <c r="K111" s="77" t="s">
        <v>56</v>
      </c>
      <c r="L111" s="77" t="s">
        <v>56</v>
      </c>
      <c r="M111" s="77">
        <f t="shared" si="9"/>
        <v>8</v>
      </c>
      <c r="N111" s="81">
        <f t="shared" si="10"/>
        <v>8</v>
      </c>
      <c r="O111" s="82" t="str">
        <f t="shared" si="11"/>
        <v>-</v>
      </c>
      <c r="P111" s="83">
        <v>8</v>
      </c>
      <c r="Q111" s="83">
        <v>0</v>
      </c>
      <c r="R111" s="83">
        <v>0</v>
      </c>
      <c r="S111" s="79">
        <f t="shared" si="12"/>
        <v>8</v>
      </c>
      <c r="T111" s="84">
        <v>8</v>
      </c>
      <c r="U111" s="84">
        <v>0</v>
      </c>
      <c r="V111" s="84">
        <v>0</v>
      </c>
      <c r="W111" s="85">
        <f t="shared" si="13"/>
        <v>8</v>
      </c>
      <c r="X111" s="86">
        <v>8</v>
      </c>
      <c r="Y111" s="86">
        <v>0</v>
      </c>
      <c r="Z111" s="86">
        <v>0</v>
      </c>
      <c r="AA111" s="88">
        <v>8</v>
      </c>
      <c r="AB111" s="89">
        <v>8</v>
      </c>
      <c r="AC111" s="89">
        <v>0</v>
      </c>
      <c r="AD111" s="89">
        <v>0</v>
      </c>
      <c r="AE111" s="90">
        <f t="shared" si="14"/>
        <v>8</v>
      </c>
      <c r="AF111" s="91">
        <v>8</v>
      </c>
      <c r="AG111" s="91">
        <v>0</v>
      </c>
      <c r="AH111" s="91">
        <v>0</v>
      </c>
      <c r="AI111" s="87">
        <f t="shared" si="15"/>
        <v>8</v>
      </c>
      <c r="AJ111" s="77" t="s">
        <v>57</v>
      </c>
      <c r="AK111" s="77" t="s">
        <v>87</v>
      </c>
      <c r="AL111" s="77"/>
      <c r="AM111" s="77"/>
    </row>
    <row r="112" spans="2:39" s="65" customFormat="1" ht="15.9" customHeight="1">
      <c r="B112" s="75">
        <f>SUBTOTAL(3,C$4:$C112)</f>
        <v>109</v>
      </c>
      <c r="C112" s="76" t="s">
        <v>64</v>
      </c>
      <c r="D112" s="78" t="s">
        <v>62</v>
      </c>
      <c r="E112" s="77" t="s">
        <v>63</v>
      </c>
      <c r="F112" s="77" t="s">
        <v>56</v>
      </c>
      <c r="G112" s="77" t="s">
        <v>56</v>
      </c>
      <c r="H112" s="77" t="s">
        <v>56</v>
      </c>
      <c r="I112" s="79" t="str">
        <f t="shared" si="8"/>
        <v>-</v>
      </c>
      <c r="J112" s="77">
        <v>8</v>
      </c>
      <c r="K112" s="77" t="s">
        <v>56</v>
      </c>
      <c r="L112" s="77" t="s">
        <v>56</v>
      </c>
      <c r="M112" s="77">
        <f t="shared" si="9"/>
        <v>8</v>
      </c>
      <c r="N112" s="81">
        <f t="shared" si="10"/>
        <v>8</v>
      </c>
      <c r="O112" s="82" t="str">
        <f t="shared" si="11"/>
        <v>-</v>
      </c>
      <c r="P112" s="83">
        <v>8</v>
      </c>
      <c r="Q112" s="83">
        <v>0</v>
      </c>
      <c r="R112" s="83">
        <v>0</v>
      </c>
      <c r="S112" s="79">
        <f t="shared" si="12"/>
        <v>8</v>
      </c>
      <c r="T112" s="84">
        <v>8</v>
      </c>
      <c r="U112" s="84">
        <v>0</v>
      </c>
      <c r="V112" s="84">
        <v>0</v>
      </c>
      <c r="W112" s="85">
        <f t="shared" si="13"/>
        <v>8</v>
      </c>
      <c r="X112" s="86">
        <v>8</v>
      </c>
      <c r="Y112" s="86">
        <v>0</v>
      </c>
      <c r="Z112" s="86">
        <v>0</v>
      </c>
      <c r="AA112" s="88">
        <v>8</v>
      </c>
      <c r="AB112" s="89">
        <v>8</v>
      </c>
      <c r="AC112" s="89">
        <v>0</v>
      </c>
      <c r="AD112" s="89">
        <v>0</v>
      </c>
      <c r="AE112" s="90">
        <f t="shared" si="14"/>
        <v>8</v>
      </c>
      <c r="AF112" s="91">
        <v>8</v>
      </c>
      <c r="AG112" s="91">
        <v>0</v>
      </c>
      <c r="AH112" s="91">
        <v>0</v>
      </c>
      <c r="AI112" s="87">
        <f t="shared" si="15"/>
        <v>8</v>
      </c>
      <c r="AJ112" s="77" t="s">
        <v>57</v>
      </c>
      <c r="AK112" s="77" t="s">
        <v>87</v>
      </c>
      <c r="AL112" s="77"/>
      <c r="AM112" s="77"/>
    </row>
    <row r="113" spans="2:39" s="65" customFormat="1" ht="15.9" customHeight="1">
      <c r="B113" s="75">
        <f>SUBTOTAL(3,C$4:$C113)</f>
        <v>110</v>
      </c>
      <c r="C113" s="76" t="s">
        <v>65</v>
      </c>
      <c r="D113" s="77" t="s">
        <v>66</v>
      </c>
      <c r="E113" s="77" t="s">
        <v>67</v>
      </c>
      <c r="F113" s="77">
        <v>8</v>
      </c>
      <c r="G113" s="77" t="s">
        <v>56</v>
      </c>
      <c r="H113" s="77" t="s">
        <v>56</v>
      </c>
      <c r="I113" s="79">
        <f t="shared" si="8"/>
        <v>8</v>
      </c>
      <c r="J113" s="77">
        <v>8</v>
      </c>
      <c r="K113" s="77" t="s">
        <v>56</v>
      </c>
      <c r="L113" s="77" t="s">
        <v>56</v>
      </c>
      <c r="M113" s="77">
        <f t="shared" si="9"/>
        <v>8</v>
      </c>
      <c r="N113" s="81">
        <f t="shared" si="10"/>
        <v>8</v>
      </c>
      <c r="O113" s="82" t="str">
        <f t="shared" si="11"/>
        <v>-</v>
      </c>
      <c r="P113" s="83">
        <v>8</v>
      </c>
      <c r="Q113" s="83">
        <v>0</v>
      </c>
      <c r="R113" s="83">
        <v>0</v>
      </c>
      <c r="S113" s="79">
        <f t="shared" si="12"/>
        <v>8</v>
      </c>
      <c r="T113" s="84">
        <v>8</v>
      </c>
      <c r="U113" s="84">
        <v>0</v>
      </c>
      <c r="V113" s="84">
        <v>0</v>
      </c>
      <c r="W113" s="85">
        <f t="shared" si="13"/>
        <v>8</v>
      </c>
      <c r="X113" s="86">
        <v>8</v>
      </c>
      <c r="Y113" s="86">
        <v>0</v>
      </c>
      <c r="Z113" s="86">
        <v>0</v>
      </c>
      <c r="AA113" s="88">
        <v>8</v>
      </c>
      <c r="AB113" s="89">
        <v>8</v>
      </c>
      <c r="AC113" s="89">
        <v>0</v>
      </c>
      <c r="AD113" s="89">
        <v>0</v>
      </c>
      <c r="AE113" s="90">
        <f t="shared" si="14"/>
        <v>8</v>
      </c>
      <c r="AF113" s="91">
        <v>8</v>
      </c>
      <c r="AG113" s="91">
        <v>0</v>
      </c>
      <c r="AH113" s="91">
        <v>0</v>
      </c>
      <c r="AI113" s="87">
        <f t="shared" si="15"/>
        <v>8</v>
      </c>
      <c r="AJ113" s="77" t="s">
        <v>57</v>
      </c>
      <c r="AK113" s="77" t="s">
        <v>87</v>
      </c>
      <c r="AL113" s="77"/>
      <c r="AM113" s="77"/>
    </row>
    <row r="114" spans="2:39" s="65" customFormat="1" ht="15.9" customHeight="1">
      <c r="B114" s="75">
        <f>SUBTOTAL(3,C$4:$C114)</f>
        <v>111</v>
      </c>
      <c r="C114" s="76" t="s">
        <v>68</v>
      </c>
      <c r="D114" s="77">
        <v>2010</v>
      </c>
      <c r="E114" s="77" t="s">
        <v>55</v>
      </c>
      <c r="F114" s="77">
        <v>4</v>
      </c>
      <c r="G114" s="77" t="s">
        <v>56</v>
      </c>
      <c r="H114" s="77" t="s">
        <v>56</v>
      </c>
      <c r="I114" s="79">
        <f t="shared" si="8"/>
        <v>4</v>
      </c>
      <c r="J114" s="77">
        <v>4</v>
      </c>
      <c r="K114" s="77" t="s">
        <v>56</v>
      </c>
      <c r="L114" s="77" t="s">
        <v>56</v>
      </c>
      <c r="M114" s="77">
        <f t="shared" si="9"/>
        <v>4</v>
      </c>
      <c r="N114" s="81">
        <f t="shared" si="10"/>
        <v>4</v>
      </c>
      <c r="O114" s="82" t="str">
        <f t="shared" si="11"/>
        <v>-</v>
      </c>
      <c r="P114" s="83">
        <v>4</v>
      </c>
      <c r="Q114" s="83">
        <v>0</v>
      </c>
      <c r="R114" s="83">
        <v>0</v>
      </c>
      <c r="S114" s="79">
        <f t="shared" si="12"/>
        <v>4</v>
      </c>
      <c r="T114" s="84">
        <v>4</v>
      </c>
      <c r="U114" s="84">
        <v>0</v>
      </c>
      <c r="V114" s="84">
        <v>0</v>
      </c>
      <c r="W114" s="85">
        <f t="shared" si="13"/>
        <v>4</v>
      </c>
      <c r="X114" s="86">
        <v>4</v>
      </c>
      <c r="Y114" s="86">
        <v>0</v>
      </c>
      <c r="Z114" s="86">
        <v>0</v>
      </c>
      <c r="AA114" s="88">
        <v>4</v>
      </c>
      <c r="AB114" s="89">
        <v>4</v>
      </c>
      <c r="AC114" s="89">
        <v>0</v>
      </c>
      <c r="AD114" s="89">
        <v>0</v>
      </c>
      <c r="AE114" s="90">
        <f t="shared" si="14"/>
        <v>4</v>
      </c>
      <c r="AF114" s="91">
        <v>4</v>
      </c>
      <c r="AG114" s="91">
        <v>0</v>
      </c>
      <c r="AH114" s="91">
        <v>0</v>
      </c>
      <c r="AI114" s="87">
        <f t="shared" si="15"/>
        <v>4</v>
      </c>
      <c r="AJ114" s="77" t="s">
        <v>57</v>
      </c>
      <c r="AK114" s="77" t="s">
        <v>87</v>
      </c>
      <c r="AL114" s="77"/>
      <c r="AM114" s="77"/>
    </row>
    <row r="115" spans="2:39" s="65" customFormat="1" ht="15.9" customHeight="1">
      <c r="B115" s="75">
        <f>SUBTOTAL(3,C$4:$C115)</f>
        <v>112</v>
      </c>
      <c r="C115" s="76" t="s">
        <v>79</v>
      </c>
      <c r="D115" s="77">
        <v>2015</v>
      </c>
      <c r="E115" s="77" t="s">
        <v>55</v>
      </c>
      <c r="F115" s="77">
        <v>4</v>
      </c>
      <c r="G115" s="77" t="s">
        <v>56</v>
      </c>
      <c r="H115" s="77" t="s">
        <v>56</v>
      </c>
      <c r="I115" s="79">
        <f t="shared" si="8"/>
        <v>4</v>
      </c>
      <c r="J115" s="77">
        <v>4</v>
      </c>
      <c r="K115" s="77" t="s">
        <v>56</v>
      </c>
      <c r="L115" s="77" t="s">
        <v>56</v>
      </c>
      <c r="M115" s="77">
        <f t="shared" si="9"/>
        <v>4</v>
      </c>
      <c r="N115" s="81">
        <f t="shared" si="10"/>
        <v>4</v>
      </c>
      <c r="O115" s="82" t="str">
        <f t="shared" si="11"/>
        <v>-</v>
      </c>
      <c r="P115" s="83">
        <v>4</v>
      </c>
      <c r="Q115" s="83">
        <v>0</v>
      </c>
      <c r="R115" s="83">
        <v>0</v>
      </c>
      <c r="S115" s="79">
        <f t="shared" si="12"/>
        <v>4</v>
      </c>
      <c r="T115" s="84">
        <v>4</v>
      </c>
      <c r="U115" s="84">
        <v>0</v>
      </c>
      <c r="V115" s="84">
        <v>0</v>
      </c>
      <c r="W115" s="85">
        <f t="shared" si="13"/>
        <v>4</v>
      </c>
      <c r="X115" s="86">
        <v>4</v>
      </c>
      <c r="Y115" s="86">
        <v>0</v>
      </c>
      <c r="Z115" s="86">
        <v>0</v>
      </c>
      <c r="AA115" s="88">
        <v>4</v>
      </c>
      <c r="AB115" s="89">
        <v>4</v>
      </c>
      <c r="AC115" s="89">
        <v>0</v>
      </c>
      <c r="AD115" s="89">
        <v>0</v>
      </c>
      <c r="AE115" s="90">
        <f t="shared" si="14"/>
        <v>4</v>
      </c>
      <c r="AF115" s="91">
        <v>4</v>
      </c>
      <c r="AG115" s="91">
        <v>0</v>
      </c>
      <c r="AH115" s="91">
        <v>0</v>
      </c>
      <c r="AI115" s="87">
        <f t="shared" si="15"/>
        <v>4</v>
      </c>
      <c r="AJ115" s="77" t="s">
        <v>57</v>
      </c>
      <c r="AK115" s="77" t="s">
        <v>87</v>
      </c>
      <c r="AL115" s="77"/>
      <c r="AM115" s="77"/>
    </row>
    <row r="116" spans="2:39" s="65" customFormat="1" ht="15.9" customHeight="1">
      <c r="B116" s="75">
        <f>SUBTOTAL(3,C$4:$C116)</f>
        <v>113</v>
      </c>
      <c r="C116" s="76" t="s">
        <v>70</v>
      </c>
      <c r="D116" s="77">
        <v>2010</v>
      </c>
      <c r="E116" s="77" t="s">
        <v>71</v>
      </c>
      <c r="F116" s="77">
        <v>4</v>
      </c>
      <c r="G116" s="77" t="s">
        <v>56</v>
      </c>
      <c r="H116" s="77" t="s">
        <v>56</v>
      </c>
      <c r="I116" s="79">
        <f t="shared" si="8"/>
        <v>4</v>
      </c>
      <c r="J116" s="77">
        <v>4</v>
      </c>
      <c r="K116" s="77" t="s">
        <v>56</v>
      </c>
      <c r="L116" s="77" t="s">
        <v>56</v>
      </c>
      <c r="M116" s="77">
        <f t="shared" si="9"/>
        <v>4</v>
      </c>
      <c r="N116" s="81">
        <f t="shared" si="10"/>
        <v>4</v>
      </c>
      <c r="O116" s="82" t="str">
        <f t="shared" si="11"/>
        <v>-</v>
      </c>
      <c r="P116" s="83">
        <v>4</v>
      </c>
      <c r="Q116" s="83">
        <v>0</v>
      </c>
      <c r="R116" s="83">
        <v>0</v>
      </c>
      <c r="S116" s="79">
        <f t="shared" si="12"/>
        <v>4</v>
      </c>
      <c r="T116" s="84">
        <v>4</v>
      </c>
      <c r="U116" s="84">
        <v>0</v>
      </c>
      <c r="V116" s="84">
        <v>0</v>
      </c>
      <c r="W116" s="85">
        <f t="shared" si="13"/>
        <v>4</v>
      </c>
      <c r="X116" s="86">
        <v>4</v>
      </c>
      <c r="Y116" s="86">
        <v>0</v>
      </c>
      <c r="Z116" s="86">
        <v>0</v>
      </c>
      <c r="AA116" s="88">
        <v>4</v>
      </c>
      <c r="AB116" s="89">
        <v>4</v>
      </c>
      <c r="AC116" s="89">
        <v>0</v>
      </c>
      <c r="AD116" s="89">
        <v>0</v>
      </c>
      <c r="AE116" s="90">
        <f t="shared" si="14"/>
        <v>4</v>
      </c>
      <c r="AF116" s="91">
        <v>4</v>
      </c>
      <c r="AG116" s="91">
        <v>0</v>
      </c>
      <c r="AH116" s="91">
        <v>0</v>
      </c>
      <c r="AI116" s="87">
        <f t="shared" si="15"/>
        <v>4</v>
      </c>
      <c r="AJ116" s="77" t="s">
        <v>57</v>
      </c>
      <c r="AK116" s="77" t="s">
        <v>87</v>
      </c>
      <c r="AL116" s="77"/>
      <c r="AM116" s="77"/>
    </row>
    <row r="117" spans="2:39" s="65" customFormat="1" ht="15.9" customHeight="1">
      <c r="B117" s="75">
        <f>SUBTOTAL(3,C$4:$C117)</f>
        <v>114</v>
      </c>
      <c r="C117" s="76" t="s">
        <v>72</v>
      </c>
      <c r="D117" s="77">
        <v>2010</v>
      </c>
      <c r="E117" s="77" t="s">
        <v>67</v>
      </c>
      <c r="F117" s="77">
        <v>2</v>
      </c>
      <c r="G117" s="77" t="s">
        <v>56</v>
      </c>
      <c r="H117" s="77" t="s">
        <v>56</v>
      </c>
      <c r="I117" s="79">
        <f t="shared" si="8"/>
        <v>2</v>
      </c>
      <c r="J117" s="77">
        <v>2</v>
      </c>
      <c r="K117" s="77" t="s">
        <v>56</v>
      </c>
      <c r="L117" s="77" t="s">
        <v>56</v>
      </c>
      <c r="M117" s="77">
        <f t="shared" si="9"/>
        <v>2</v>
      </c>
      <c r="N117" s="81">
        <f t="shared" si="10"/>
        <v>2</v>
      </c>
      <c r="O117" s="82" t="str">
        <f t="shared" si="11"/>
        <v>-</v>
      </c>
      <c r="P117" s="83">
        <v>2</v>
      </c>
      <c r="Q117" s="83">
        <v>0</v>
      </c>
      <c r="R117" s="83">
        <v>0</v>
      </c>
      <c r="S117" s="79">
        <f t="shared" si="12"/>
        <v>2</v>
      </c>
      <c r="T117" s="84">
        <v>2</v>
      </c>
      <c r="U117" s="84">
        <v>0</v>
      </c>
      <c r="V117" s="84">
        <v>0</v>
      </c>
      <c r="W117" s="85">
        <f t="shared" si="13"/>
        <v>2</v>
      </c>
      <c r="X117" s="86">
        <v>2</v>
      </c>
      <c r="Y117" s="86">
        <v>0</v>
      </c>
      <c r="Z117" s="86">
        <v>0</v>
      </c>
      <c r="AA117" s="88">
        <v>2</v>
      </c>
      <c r="AB117" s="89">
        <v>2</v>
      </c>
      <c r="AC117" s="89">
        <v>0</v>
      </c>
      <c r="AD117" s="89">
        <v>0</v>
      </c>
      <c r="AE117" s="90">
        <f t="shared" si="14"/>
        <v>2</v>
      </c>
      <c r="AF117" s="91">
        <v>2</v>
      </c>
      <c r="AG117" s="91">
        <v>0</v>
      </c>
      <c r="AH117" s="91">
        <v>0</v>
      </c>
      <c r="AI117" s="87">
        <f t="shared" si="15"/>
        <v>2</v>
      </c>
      <c r="AJ117" s="77" t="s">
        <v>57</v>
      </c>
      <c r="AK117" s="77" t="s">
        <v>87</v>
      </c>
      <c r="AL117" s="77"/>
      <c r="AM117" s="77"/>
    </row>
    <row r="118" spans="2:39" s="65" customFormat="1" ht="15.9" customHeight="1">
      <c r="B118" s="75">
        <f>SUBTOTAL(3,C$4:$C118)</f>
        <v>115</v>
      </c>
      <c r="C118" s="76" t="s">
        <v>73</v>
      </c>
      <c r="D118" s="77">
        <v>2010</v>
      </c>
      <c r="E118" s="77" t="s">
        <v>63</v>
      </c>
      <c r="F118" s="77">
        <v>1</v>
      </c>
      <c r="G118" s="77" t="s">
        <v>56</v>
      </c>
      <c r="H118" s="77" t="s">
        <v>56</v>
      </c>
      <c r="I118" s="79">
        <f t="shared" si="8"/>
        <v>1</v>
      </c>
      <c r="J118" s="77">
        <v>2</v>
      </c>
      <c r="K118" s="77" t="s">
        <v>56</v>
      </c>
      <c r="L118" s="77" t="s">
        <v>56</v>
      </c>
      <c r="M118" s="77">
        <f t="shared" si="9"/>
        <v>2</v>
      </c>
      <c r="N118" s="81">
        <f t="shared" si="10"/>
        <v>2</v>
      </c>
      <c r="O118" s="82" t="str">
        <f t="shared" si="11"/>
        <v>-</v>
      </c>
      <c r="P118" s="83">
        <v>2</v>
      </c>
      <c r="Q118" s="83">
        <v>0</v>
      </c>
      <c r="R118" s="83">
        <v>0</v>
      </c>
      <c r="S118" s="79">
        <f t="shared" si="12"/>
        <v>2</v>
      </c>
      <c r="T118" s="84">
        <v>2</v>
      </c>
      <c r="U118" s="84">
        <v>0</v>
      </c>
      <c r="V118" s="84">
        <v>0</v>
      </c>
      <c r="W118" s="85">
        <f t="shared" si="13"/>
        <v>2</v>
      </c>
      <c r="X118" s="86">
        <v>2</v>
      </c>
      <c r="Y118" s="86">
        <v>0</v>
      </c>
      <c r="Z118" s="86">
        <v>0</v>
      </c>
      <c r="AA118" s="88">
        <v>2</v>
      </c>
      <c r="AB118" s="89">
        <v>2</v>
      </c>
      <c r="AC118" s="89">
        <v>0</v>
      </c>
      <c r="AD118" s="89">
        <v>0</v>
      </c>
      <c r="AE118" s="90">
        <f t="shared" si="14"/>
        <v>2</v>
      </c>
      <c r="AF118" s="91">
        <v>2</v>
      </c>
      <c r="AG118" s="91">
        <v>0</v>
      </c>
      <c r="AH118" s="91">
        <v>0</v>
      </c>
      <c r="AI118" s="87">
        <f t="shared" si="15"/>
        <v>2</v>
      </c>
      <c r="AJ118" s="77" t="s">
        <v>57</v>
      </c>
      <c r="AK118" s="77" t="s">
        <v>87</v>
      </c>
      <c r="AL118" s="77"/>
      <c r="AM118" s="77"/>
    </row>
    <row r="119" spans="2:39" s="65" customFormat="1" ht="15.9" customHeight="1">
      <c r="B119" s="75">
        <f>SUBTOTAL(3,C$4:$C119)</f>
        <v>116</v>
      </c>
      <c r="C119" s="76" t="s">
        <v>74</v>
      </c>
      <c r="D119" s="77">
        <v>2018</v>
      </c>
      <c r="E119" s="77" t="s">
        <v>60</v>
      </c>
      <c r="F119" s="77">
        <v>4</v>
      </c>
      <c r="G119" s="77" t="s">
        <v>56</v>
      </c>
      <c r="H119" s="77" t="s">
        <v>56</v>
      </c>
      <c r="I119" s="79">
        <f t="shared" si="8"/>
        <v>4</v>
      </c>
      <c r="J119" s="77">
        <v>4</v>
      </c>
      <c r="K119" s="77" t="s">
        <v>56</v>
      </c>
      <c r="L119" s="77" t="s">
        <v>56</v>
      </c>
      <c r="M119" s="77">
        <f t="shared" si="9"/>
        <v>4</v>
      </c>
      <c r="N119" s="81">
        <f t="shared" si="10"/>
        <v>4</v>
      </c>
      <c r="O119" s="82" t="str">
        <f t="shared" si="11"/>
        <v>-</v>
      </c>
      <c r="P119" s="83">
        <v>4</v>
      </c>
      <c r="Q119" s="83">
        <v>0</v>
      </c>
      <c r="R119" s="83">
        <v>0</v>
      </c>
      <c r="S119" s="79">
        <f t="shared" si="12"/>
        <v>4</v>
      </c>
      <c r="T119" s="84">
        <v>4</v>
      </c>
      <c r="U119" s="84">
        <v>0</v>
      </c>
      <c r="V119" s="84">
        <v>0</v>
      </c>
      <c r="W119" s="85">
        <f t="shared" si="13"/>
        <v>4</v>
      </c>
      <c r="X119" s="86">
        <v>4</v>
      </c>
      <c r="Y119" s="86">
        <v>0</v>
      </c>
      <c r="Z119" s="86">
        <v>0</v>
      </c>
      <c r="AA119" s="88">
        <v>4</v>
      </c>
      <c r="AB119" s="89">
        <v>4</v>
      </c>
      <c r="AC119" s="89">
        <v>0</v>
      </c>
      <c r="AD119" s="89">
        <v>0</v>
      </c>
      <c r="AE119" s="90">
        <f t="shared" si="14"/>
        <v>4</v>
      </c>
      <c r="AF119" s="91">
        <v>4</v>
      </c>
      <c r="AG119" s="91">
        <v>0</v>
      </c>
      <c r="AH119" s="91">
        <v>0</v>
      </c>
      <c r="AI119" s="87">
        <f t="shared" si="15"/>
        <v>4</v>
      </c>
      <c r="AJ119" s="77" t="s">
        <v>57</v>
      </c>
      <c r="AK119" s="77" t="s">
        <v>87</v>
      </c>
      <c r="AL119" s="77"/>
      <c r="AM119" s="77"/>
    </row>
    <row r="120" spans="2:39" s="65" customFormat="1" ht="15.9" customHeight="1">
      <c r="B120" s="75">
        <f>SUBTOTAL(3,C$4:$C120)</f>
        <v>117</v>
      </c>
      <c r="C120" s="76" t="s">
        <v>75</v>
      </c>
      <c r="D120" s="77">
        <v>2010</v>
      </c>
      <c r="E120" s="77" t="s">
        <v>60</v>
      </c>
      <c r="F120" s="77">
        <v>4</v>
      </c>
      <c r="G120" s="77" t="s">
        <v>56</v>
      </c>
      <c r="H120" s="77" t="s">
        <v>56</v>
      </c>
      <c r="I120" s="79">
        <f t="shared" si="8"/>
        <v>4</v>
      </c>
      <c r="J120" s="77">
        <v>4</v>
      </c>
      <c r="K120" s="77" t="s">
        <v>56</v>
      </c>
      <c r="L120" s="77" t="s">
        <v>56</v>
      </c>
      <c r="M120" s="77">
        <f t="shared" si="9"/>
        <v>4</v>
      </c>
      <c r="N120" s="81">
        <f t="shared" si="10"/>
        <v>4</v>
      </c>
      <c r="O120" s="82" t="str">
        <f t="shared" si="11"/>
        <v>-</v>
      </c>
      <c r="P120" s="83">
        <v>4</v>
      </c>
      <c r="Q120" s="83">
        <v>0</v>
      </c>
      <c r="R120" s="83">
        <v>0</v>
      </c>
      <c r="S120" s="79">
        <f t="shared" si="12"/>
        <v>4</v>
      </c>
      <c r="T120" s="84">
        <v>4</v>
      </c>
      <c r="U120" s="84">
        <v>0</v>
      </c>
      <c r="V120" s="84">
        <v>0</v>
      </c>
      <c r="W120" s="85">
        <f t="shared" si="13"/>
        <v>4</v>
      </c>
      <c r="X120" s="86">
        <v>4</v>
      </c>
      <c r="Y120" s="86">
        <v>0</v>
      </c>
      <c r="Z120" s="86">
        <v>0</v>
      </c>
      <c r="AA120" s="88">
        <v>4</v>
      </c>
      <c r="AB120" s="89">
        <v>4</v>
      </c>
      <c r="AC120" s="89">
        <v>0</v>
      </c>
      <c r="AD120" s="89">
        <v>0</v>
      </c>
      <c r="AE120" s="90">
        <f t="shared" si="14"/>
        <v>4</v>
      </c>
      <c r="AF120" s="91">
        <v>4</v>
      </c>
      <c r="AG120" s="91">
        <v>0</v>
      </c>
      <c r="AH120" s="91">
        <v>0</v>
      </c>
      <c r="AI120" s="87">
        <f t="shared" si="15"/>
        <v>4</v>
      </c>
      <c r="AJ120" s="77" t="s">
        <v>57</v>
      </c>
      <c r="AK120" s="77" t="s">
        <v>87</v>
      </c>
      <c r="AL120" s="77"/>
      <c r="AM120" s="77"/>
    </row>
    <row r="121" spans="2:39" s="65" customFormat="1" ht="15.9" customHeight="1">
      <c r="B121" s="75">
        <f>SUBTOTAL(3,C$4:$C121)</f>
        <v>118</v>
      </c>
      <c r="C121" s="76" t="s">
        <v>76</v>
      </c>
      <c r="D121" s="77">
        <v>2010</v>
      </c>
      <c r="E121" s="77" t="s">
        <v>60</v>
      </c>
      <c r="F121" s="77">
        <v>5</v>
      </c>
      <c r="G121" s="77" t="s">
        <v>56</v>
      </c>
      <c r="H121" s="77" t="s">
        <v>56</v>
      </c>
      <c r="I121" s="79">
        <f t="shared" si="8"/>
        <v>5</v>
      </c>
      <c r="J121" s="77">
        <v>5</v>
      </c>
      <c r="K121" s="77" t="s">
        <v>56</v>
      </c>
      <c r="L121" s="77" t="s">
        <v>56</v>
      </c>
      <c r="M121" s="77">
        <f t="shared" si="9"/>
        <v>5</v>
      </c>
      <c r="N121" s="81">
        <f t="shared" si="10"/>
        <v>5</v>
      </c>
      <c r="O121" s="82" t="str">
        <f t="shared" si="11"/>
        <v>-</v>
      </c>
      <c r="P121" s="83">
        <v>5</v>
      </c>
      <c r="Q121" s="83">
        <v>0</v>
      </c>
      <c r="R121" s="83">
        <v>0</v>
      </c>
      <c r="S121" s="79">
        <f t="shared" si="12"/>
        <v>5</v>
      </c>
      <c r="T121" s="84">
        <v>5</v>
      </c>
      <c r="U121" s="84">
        <v>0</v>
      </c>
      <c r="V121" s="84">
        <v>0</v>
      </c>
      <c r="W121" s="85">
        <f t="shared" si="13"/>
        <v>5</v>
      </c>
      <c r="X121" s="86">
        <v>5</v>
      </c>
      <c r="Y121" s="86">
        <v>0</v>
      </c>
      <c r="Z121" s="86">
        <v>0</v>
      </c>
      <c r="AA121" s="88">
        <v>5</v>
      </c>
      <c r="AB121" s="89">
        <v>5</v>
      </c>
      <c r="AC121" s="89">
        <v>0</v>
      </c>
      <c r="AD121" s="89">
        <v>0</v>
      </c>
      <c r="AE121" s="90">
        <f t="shared" si="14"/>
        <v>5</v>
      </c>
      <c r="AF121" s="93">
        <v>4</v>
      </c>
      <c r="AG121" s="93">
        <v>1</v>
      </c>
      <c r="AH121" s="91">
        <v>0</v>
      </c>
      <c r="AI121" s="87">
        <f t="shared" si="15"/>
        <v>5</v>
      </c>
      <c r="AJ121" s="77" t="s">
        <v>57</v>
      </c>
      <c r="AK121" s="77" t="s">
        <v>87</v>
      </c>
      <c r="AL121" s="77"/>
      <c r="AM121" s="77"/>
    </row>
    <row r="122" spans="2:39" s="65" customFormat="1" ht="15.9" customHeight="1">
      <c r="B122" s="75">
        <f>SUBTOTAL(3,C$4:$C122)</f>
        <v>119</v>
      </c>
      <c r="C122" s="76" t="s">
        <v>77</v>
      </c>
      <c r="D122" s="77">
        <v>2025</v>
      </c>
      <c r="E122" s="77" t="s">
        <v>60</v>
      </c>
      <c r="F122" s="77" t="s">
        <v>56</v>
      </c>
      <c r="G122" s="77" t="s">
        <v>56</v>
      </c>
      <c r="H122" s="77" t="s">
        <v>56</v>
      </c>
      <c r="I122" s="79" t="str">
        <f t="shared" si="8"/>
        <v>-</v>
      </c>
      <c r="J122" s="77">
        <v>1</v>
      </c>
      <c r="K122" s="77" t="s">
        <v>56</v>
      </c>
      <c r="L122" s="77" t="s">
        <v>56</v>
      </c>
      <c r="M122" s="77">
        <f t="shared" si="9"/>
        <v>1</v>
      </c>
      <c r="N122" s="81">
        <f t="shared" si="10"/>
        <v>1</v>
      </c>
      <c r="O122" s="82" t="str">
        <f t="shared" si="11"/>
        <v>-</v>
      </c>
      <c r="P122" s="83">
        <v>1</v>
      </c>
      <c r="Q122" s="83">
        <v>0</v>
      </c>
      <c r="R122" s="83">
        <v>0</v>
      </c>
      <c r="S122" s="79">
        <f t="shared" si="12"/>
        <v>1</v>
      </c>
      <c r="T122" s="84">
        <v>1</v>
      </c>
      <c r="U122" s="84">
        <v>0</v>
      </c>
      <c r="V122" s="84">
        <v>0</v>
      </c>
      <c r="W122" s="85">
        <f t="shared" si="13"/>
        <v>1</v>
      </c>
      <c r="X122" s="86">
        <v>1</v>
      </c>
      <c r="Y122" s="86">
        <v>0</v>
      </c>
      <c r="Z122" s="86">
        <v>0</v>
      </c>
      <c r="AA122" s="88">
        <v>1</v>
      </c>
      <c r="AB122" s="89">
        <v>1</v>
      </c>
      <c r="AC122" s="89">
        <v>0</v>
      </c>
      <c r="AD122" s="89">
        <v>0</v>
      </c>
      <c r="AE122" s="90">
        <f t="shared" si="14"/>
        <v>1</v>
      </c>
      <c r="AF122" s="91">
        <v>1</v>
      </c>
      <c r="AG122" s="91">
        <v>0</v>
      </c>
      <c r="AH122" s="91">
        <v>0</v>
      </c>
      <c r="AI122" s="87">
        <f t="shared" si="15"/>
        <v>1</v>
      </c>
      <c r="AJ122" s="77" t="s">
        <v>57</v>
      </c>
      <c r="AK122" s="77" t="s">
        <v>87</v>
      </c>
      <c r="AL122" s="77"/>
      <c r="AM122" s="95">
        <v>45763</v>
      </c>
    </row>
    <row r="123" spans="2:39" s="65" customFormat="1" ht="15.9" customHeight="1">
      <c r="B123" s="75">
        <f>SUBTOTAL(3,C$4:$C123)</f>
        <v>120</v>
      </c>
      <c r="C123" s="76" t="s">
        <v>501</v>
      </c>
      <c r="D123" s="77"/>
      <c r="E123" s="77"/>
      <c r="F123" s="77" t="s">
        <v>56</v>
      </c>
      <c r="G123" s="77" t="s">
        <v>56</v>
      </c>
      <c r="H123" s="77" t="s">
        <v>56</v>
      </c>
      <c r="I123" s="79" t="str">
        <f t="shared" si="8"/>
        <v>-</v>
      </c>
      <c r="J123" s="77">
        <v>2</v>
      </c>
      <c r="K123" s="77" t="s">
        <v>56</v>
      </c>
      <c r="L123" s="77" t="s">
        <v>56</v>
      </c>
      <c r="M123" s="77">
        <f t="shared" si="9"/>
        <v>2</v>
      </c>
      <c r="N123" s="81">
        <f t="shared" si="10"/>
        <v>2</v>
      </c>
      <c r="O123" s="82" t="str">
        <f t="shared" si="11"/>
        <v>-</v>
      </c>
      <c r="P123" s="83">
        <v>2</v>
      </c>
      <c r="Q123" s="83">
        <v>0</v>
      </c>
      <c r="R123" s="83">
        <v>0</v>
      </c>
      <c r="S123" s="79">
        <f t="shared" si="12"/>
        <v>2</v>
      </c>
      <c r="T123" s="84">
        <v>2</v>
      </c>
      <c r="U123" s="84">
        <v>0</v>
      </c>
      <c r="V123" s="84">
        <v>0</v>
      </c>
      <c r="W123" s="85">
        <f t="shared" si="13"/>
        <v>2</v>
      </c>
      <c r="X123" s="86">
        <v>2</v>
      </c>
      <c r="Y123" s="86">
        <v>0</v>
      </c>
      <c r="Z123" s="86">
        <v>0</v>
      </c>
      <c r="AA123" s="88">
        <v>2</v>
      </c>
      <c r="AB123" s="89">
        <v>2</v>
      </c>
      <c r="AC123" s="89">
        <v>0</v>
      </c>
      <c r="AD123" s="89">
        <v>0</v>
      </c>
      <c r="AE123" s="90">
        <f t="shared" si="14"/>
        <v>2</v>
      </c>
      <c r="AF123" s="91">
        <v>2</v>
      </c>
      <c r="AG123" s="91">
        <v>0</v>
      </c>
      <c r="AH123" s="91">
        <v>0</v>
      </c>
      <c r="AI123" s="87">
        <f t="shared" si="15"/>
        <v>2</v>
      </c>
      <c r="AJ123" s="77" t="s">
        <v>57</v>
      </c>
      <c r="AK123" s="77" t="s">
        <v>87</v>
      </c>
      <c r="AL123" s="77"/>
      <c r="AM123" s="95"/>
    </row>
    <row r="124" spans="2:39" s="65" customFormat="1" ht="15.9" customHeight="1">
      <c r="B124" s="75">
        <f>SUBTOTAL(3,C$4:$C124)</f>
        <v>121</v>
      </c>
      <c r="C124" s="76" t="s">
        <v>54</v>
      </c>
      <c r="D124" s="77">
        <v>2010</v>
      </c>
      <c r="E124" s="77" t="s">
        <v>55</v>
      </c>
      <c r="F124" s="77">
        <v>8</v>
      </c>
      <c r="G124" s="77" t="s">
        <v>56</v>
      </c>
      <c r="H124" s="77" t="s">
        <v>56</v>
      </c>
      <c r="I124" s="79">
        <f t="shared" si="8"/>
        <v>8</v>
      </c>
      <c r="J124" s="77">
        <v>7</v>
      </c>
      <c r="K124" s="77" t="s">
        <v>56</v>
      </c>
      <c r="L124" s="77">
        <v>1</v>
      </c>
      <c r="M124" s="77">
        <f t="shared" si="9"/>
        <v>8</v>
      </c>
      <c r="N124" s="81">
        <f t="shared" si="10"/>
        <v>7</v>
      </c>
      <c r="O124" s="82">
        <f t="shared" si="11"/>
        <v>1</v>
      </c>
      <c r="P124" s="83">
        <v>7</v>
      </c>
      <c r="Q124" s="83">
        <v>1</v>
      </c>
      <c r="R124" s="83">
        <v>0</v>
      </c>
      <c r="S124" s="79">
        <f t="shared" si="12"/>
        <v>8</v>
      </c>
      <c r="T124" s="84">
        <v>7</v>
      </c>
      <c r="U124" s="84">
        <v>1</v>
      </c>
      <c r="V124" s="84">
        <v>0</v>
      </c>
      <c r="W124" s="85">
        <f t="shared" si="13"/>
        <v>8</v>
      </c>
      <c r="X124" s="86">
        <v>8</v>
      </c>
      <c r="Y124" s="86">
        <v>0</v>
      </c>
      <c r="Z124" s="86">
        <v>0</v>
      </c>
      <c r="AA124" s="88">
        <v>8</v>
      </c>
      <c r="AB124" s="89">
        <v>8</v>
      </c>
      <c r="AC124" s="89">
        <v>0</v>
      </c>
      <c r="AD124" s="89">
        <v>0</v>
      </c>
      <c r="AE124" s="90">
        <f t="shared" si="14"/>
        <v>8</v>
      </c>
      <c r="AF124" s="91">
        <v>8</v>
      </c>
      <c r="AG124" s="91">
        <v>0</v>
      </c>
      <c r="AH124" s="91">
        <v>0</v>
      </c>
      <c r="AI124" s="87">
        <f t="shared" si="15"/>
        <v>8</v>
      </c>
      <c r="AJ124" s="77" t="s">
        <v>57</v>
      </c>
      <c r="AK124" s="77" t="s">
        <v>89</v>
      </c>
      <c r="AL124" s="77" t="s">
        <v>90</v>
      </c>
      <c r="AM124" s="77"/>
    </row>
    <row r="125" spans="2:39" s="65" customFormat="1" ht="15.9" customHeight="1">
      <c r="B125" s="75">
        <f>SUBTOTAL(3,C$4:$C125)</f>
        <v>122</v>
      </c>
      <c r="C125" s="76" t="s">
        <v>59</v>
      </c>
      <c r="D125" s="77">
        <v>2015</v>
      </c>
      <c r="E125" s="77" t="s">
        <v>60</v>
      </c>
      <c r="F125" s="77">
        <v>8</v>
      </c>
      <c r="G125" s="77" t="s">
        <v>56</v>
      </c>
      <c r="H125" s="77" t="s">
        <v>56</v>
      </c>
      <c r="I125" s="79">
        <f t="shared" si="8"/>
        <v>8</v>
      </c>
      <c r="J125" s="77">
        <v>8</v>
      </c>
      <c r="K125" s="77" t="s">
        <v>56</v>
      </c>
      <c r="L125" s="77" t="s">
        <v>56</v>
      </c>
      <c r="M125" s="77">
        <f t="shared" si="9"/>
        <v>8</v>
      </c>
      <c r="N125" s="81">
        <f t="shared" si="10"/>
        <v>8</v>
      </c>
      <c r="O125" s="82" t="str">
        <f t="shared" si="11"/>
        <v>-</v>
      </c>
      <c r="P125" s="83">
        <v>8</v>
      </c>
      <c r="Q125" s="83">
        <v>0</v>
      </c>
      <c r="R125" s="83">
        <v>0</v>
      </c>
      <c r="S125" s="79">
        <f t="shared" si="12"/>
        <v>8</v>
      </c>
      <c r="T125" s="84">
        <v>8</v>
      </c>
      <c r="U125" s="84">
        <v>0</v>
      </c>
      <c r="V125" s="84">
        <v>0</v>
      </c>
      <c r="W125" s="85">
        <f t="shared" si="13"/>
        <v>8</v>
      </c>
      <c r="X125" s="86">
        <v>8</v>
      </c>
      <c r="Y125" s="86">
        <v>0</v>
      </c>
      <c r="Z125" s="86">
        <v>0</v>
      </c>
      <c r="AA125" s="88">
        <v>8</v>
      </c>
      <c r="AB125" s="89">
        <v>8</v>
      </c>
      <c r="AC125" s="89">
        <v>0</v>
      </c>
      <c r="AD125" s="89">
        <v>0</v>
      </c>
      <c r="AE125" s="90">
        <f t="shared" si="14"/>
        <v>8</v>
      </c>
      <c r="AF125" s="91">
        <v>8</v>
      </c>
      <c r="AG125" s="91">
        <v>0</v>
      </c>
      <c r="AH125" s="91">
        <v>0</v>
      </c>
      <c r="AI125" s="87">
        <f t="shared" si="15"/>
        <v>8</v>
      </c>
      <c r="AJ125" s="77" t="s">
        <v>57</v>
      </c>
      <c r="AK125" s="77" t="s">
        <v>89</v>
      </c>
      <c r="AL125" s="77"/>
      <c r="AM125" s="77"/>
    </row>
    <row r="126" spans="2:39" s="65" customFormat="1" ht="15.9" customHeight="1">
      <c r="B126" s="75">
        <f>SUBTOTAL(3,C$4:$C126)</f>
        <v>123</v>
      </c>
      <c r="C126" s="76" t="s">
        <v>61</v>
      </c>
      <c r="D126" s="78" t="s">
        <v>62</v>
      </c>
      <c r="E126" s="77" t="s">
        <v>63</v>
      </c>
      <c r="F126" s="77" t="s">
        <v>56</v>
      </c>
      <c r="G126" s="77" t="s">
        <v>56</v>
      </c>
      <c r="H126" s="77" t="s">
        <v>56</v>
      </c>
      <c r="I126" s="79" t="str">
        <f t="shared" si="8"/>
        <v>-</v>
      </c>
      <c r="J126" s="77">
        <v>8</v>
      </c>
      <c r="K126" s="77" t="s">
        <v>56</v>
      </c>
      <c r="L126" s="77" t="s">
        <v>56</v>
      </c>
      <c r="M126" s="77">
        <f t="shared" si="9"/>
        <v>8</v>
      </c>
      <c r="N126" s="81">
        <f t="shared" si="10"/>
        <v>8</v>
      </c>
      <c r="O126" s="82" t="str">
        <f t="shared" si="11"/>
        <v>-</v>
      </c>
      <c r="P126" s="83">
        <v>8</v>
      </c>
      <c r="Q126" s="83">
        <v>0</v>
      </c>
      <c r="R126" s="83">
        <v>0</v>
      </c>
      <c r="S126" s="79">
        <f t="shared" si="12"/>
        <v>8</v>
      </c>
      <c r="T126" s="84">
        <v>8</v>
      </c>
      <c r="U126" s="84">
        <v>0</v>
      </c>
      <c r="V126" s="84">
        <v>0</v>
      </c>
      <c r="W126" s="85">
        <f t="shared" si="13"/>
        <v>8</v>
      </c>
      <c r="X126" s="86">
        <v>8</v>
      </c>
      <c r="Y126" s="86">
        <v>0</v>
      </c>
      <c r="Z126" s="86">
        <v>0</v>
      </c>
      <c r="AA126" s="88">
        <v>8</v>
      </c>
      <c r="AB126" s="89">
        <v>8</v>
      </c>
      <c r="AC126" s="89">
        <v>0</v>
      </c>
      <c r="AD126" s="89">
        <v>0</v>
      </c>
      <c r="AE126" s="90">
        <f t="shared" si="14"/>
        <v>8</v>
      </c>
      <c r="AF126" s="91">
        <v>8</v>
      </c>
      <c r="AG126" s="91">
        <v>0</v>
      </c>
      <c r="AH126" s="91">
        <v>0</v>
      </c>
      <c r="AI126" s="87">
        <f t="shared" si="15"/>
        <v>8</v>
      </c>
      <c r="AJ126" s="77" t="s">
        <v>57</v>
      </c>
      <c r="AK126" s="77" t="s">
        <v>89</v>
      </c>
      <c r="AL126" s="77"/>
      <c r="AM126" s="77"/>
    </row>
    <row r="127" spans="2:39" s="65" customFormat="1" ht="15.9" customHeight="1">
      <c r="B127" s="75">
        <f>SUBTOTAL(3,C$4:$C127)</f>
        <v>124</v>
      </c>
      <c r="C127" s="76" t="s">
        <v>64</v>
      </c>
      <c r="D127" s="78" t="s">
        <v>62</v>
      </c>
      <c r="E127" s="77" t="s">
        <v>63</v>
      </c>
      <c r="F127" s="77" t="s">
        <v>56</v>
      </c>
      <c r="G127" s="77" t="s">
        <v>56</v>
      </c>
      <c r="H127" s="77" t="s">
        <v>56</v>
      </c>
      <c r="I127" s="79" t="str">
        <f t="shared" si="8"/>
        <v>-</v>
      </c>
      <c r="J127" s="77">
        <v>8</v>
      </c>
      <c r="K127" s="77" t="s">
        <v>56</v>
      </c>
      <c r="L127" s="77" t="s">
        <v>56</v>
      </c>
      <c r="M127" s="77">
        <f t="shared" si="9"/>
        <v>8</v>
      </c>
      <c r="N127" s="81">
        <f t="shared" si="10"/>
        <v>8</v>
      </c>
      <c r="O127" s="82" t="str">
        <f t="shared" si="11"/>
        <v>-</v>
      </c>
      <c r="P127" s="83">
        <v>8</v>
      </c>
      <c r="Q127" s="83">
        <v>0</v>
      </c>
      <c r="R127" s="83">
        <v>0</v>
      </c>
      <c r="S127" s="79">
        <f t="shared" si="12"/>
        <v>8</v>
      </c>
      <c r="T127" s="84">
        <v>8</v>
      </c>
      <c r="U127" s="84">
        <v>0</v>
      </c>
      <c r="V127" s="84">
        <v>0</v>
      </c>
      <c r="W127" s="85">
        <f t="shared" si="13"/>
        <v>8</v>
      </c>
      <c r="X127" s="86">
        <v>8</v>
      </c>
      <c r="Y127" s="86">
        <v>0</v>
      </c>
      <c r="Z127" s="86">
        <v>0</v>
      </c>
      <c r="AA127" s="88">
        <v>8</v>
      </c>
      <c r="AB127" s="89">
        <v>8</v>
      </c>
      <c r="AC127" s="89">
        <v>0</v>
      </c>
      <c r="AD127" s="89">
        <v>0</v>
      </c>
      <c r="AE127" s="90">
        <f t="shared" si="14"/>
        <v>8</v>
      </c>
      <c r="AF127" s="91">
        <v>8</v>
      </c>
      <c r="AG127" s="91">
        <v>0</v>
      </c>
      <c r="AH127" s="91">
        <v>0</v>
      </c>
      <c r="AI127" s="87">
        <f t="shared" si="15"/>
        <v>8</v>
      </c>
      <c r="AJ127" s="77" t="s">
        <v>57</v>
      </c>
      <c r="AK127" s="77" t="s">
        <v>89</v>
      </c>
      <c r="AL127" s="77"/>
      <c r="AM127" s="77"/>
    </row>
    <row r="128" spans="2:39" s="65" customFormat="1" ht="15.9" customHeight="1">
      <c r="B128" s="75">
        <f>SUBTOTAL(3,C$4:$C128)</f>
        <v>125</v>
      </c>
      <c r="C128" s="76" t="s">
        <v>65</v>
      </c>
      <c r="D128" s="77" t="s">
        <v>66</v>
      </c>
      <c r="E128" s="77" t="s">
        <v>67</v>
      </c>
      <c r="F128" s="77">
        <v>8</v>
      </c>
      <c r="G128" s="77" t="s">
        <v>56</v>
      </c>
      <c r="H128" s="77" t="s">
        <v>56</v>
      </c>
      <c r="I128" s="79">
        <f t="shared" si="8"/>
        <v>8</v>
      </c>
      <c r="J128" s="77">
        <v>8</v>
      </c>
      <c r="K128" s="77" t="s">
        <v>56</v>
      </c>
      <c r="L128" s="77" t="s">
        <v>56</v>
      </c>
      <c r="M128" s="77">
        <f t="shared" si="9"/>
        <v>8</v>
      </c>
      <c r="N128" s="81">
        <f t="shared" si="10"/>
        <v>8</v>
      </c>
      <c r="O128" s="82" t="str">
        <f t="shared" si="11"/>
        <v>-</v>
      </c>
      <c r="P128" s="83">
        <v>8</v>
      </c>
      <c r="Q128" s="83">
        <v>0</v>
      </c>
      <c r="R128" s="83">
        <v>0</v>
      </c>
      <c r="S128" s="79">
        <f t="shared" si="12"/>
        <v>8</v>
      </c>
      <c r="T128" s="84">
        <v>8</v>
      </c>
      <c r="U128" s="84">
        <v>0</v>
      </c>
      <c r="V128" s="84">
        <v>0</v>
      </c>
      <c r="W128" s="85">
        <f t="shared" si="13"/>
        <v>8</v>
      </c>
      <c r="X128" s="86">
        <v>8</v>
      </c>
      <c r="Y128" s="86">
        <v>0</v>
      </c>
      <c r="Z128" s="86">
        <v>0</v>
      </c>
      <c r="AA128" s="88">
        <v>8</v>
      </c>
      <c r="AB128" s="89">
        <v>8</v>
      </c>
      <c r="AC128" s="89">
        <v>0</v>
      </c>
      <c r="AD128" s="89">
        <v>0</v>
      </c>
      <c r="AE128" s="90">
        <f t="shared" si="14"/>
        <v>8</v>
      </c>
      <c r="AF128" s="91">
        <v>8</v>
      </c>
      <c r="AG128" s="91">
        <v>0</v>
      </c>
      <c r="AH128" s="91">
        <v>0</v>
      </c>
      <c r="AI128" s="87">
        <f t="shared" si="15"/>
        <v>8</v>
      </c>
      <c r="AJ128" s="77" t="s">
        <v>57</v>
      </c>
      <c r="AK128" s="77" t="s">
        <v>89</v>
      </c>
      <c r="AL128" s="77"/>
      <c r="AM128" s="77"/>
    </row>
    <row r="129" spans="2:39" s="65" customFormat="1" ht="15.9" customHeight="1">
      <c r="B129" s="75">
        <f>SUBTOTAL(3,C$4:$C129)</f>
        <v>126</v>
      </c>
      <c r="C129" s="76" t="s">
        <v>68</v>
      </c>
      <c r="D129" s="77">
        <v>2010</v>
      </c>
      <c r="E129" s="77" t="s">
        <v>55</v>
      </c>
      <c r="F129" s="77">
        <v>4</v>
      </c>
      <c r="G129" s="77" t="s">
        <v>56</v>
      </c>
      <c r="H129" s="77" t="s">
        <v>56</v>
      </c>
      <c r="I129" s="79">
        <f t="shared" si="8"/>
        <v>4</v>
      </c>
      <c r="J129" s="77">
        <v>4</v>
      </c>
      <c r="K129" s="77" t="s">
        <v>56</v>
      </c>
      <c r="L129" s="77" t="s">
        <v>56</v>
      </c>
      <c r="M129" s="77">
        <f t="shared" si="9"/>
        <v>4</v>
      </c>
      <c r="N129" s="81">
        <f t="shared" si="10"/>
        <v>4</v>
      </c>
      <c r="O129" s="82" t="str">
        <f t="shared" si="11"/>
        <v>-</v>
      </c>
      <c r="P129" s="83">
        <v>4</v>
      </c>
      <c r="Q129" s="83">
        <v>0</v>
      </c>
      <c r="R129" s="83">
        <v>0</v>
      </c>
      <c r="S129" s="79">
        <f t="shared" si="12"/>
        <v>4</v>
      </c>
      <c r="T129" s="84">
        <v>3</v>
      </c>
      <c r="U129" s="84">
        <v>1</v>
      </c>
      <c r="V129" s="84">
        <v>0</v>
      </c>
      <c r="W129" s="85">
        <f t="shared" si="13"/>
        <v>4</v>
      </c>
      <c r="X129" s="86">
        <v>4</v>
      </c>
      <c r="Y129" s="86">
        <v>0</v>
      </c>
      <c r="Z129" s="86">
        <v>0</v>
      </c>
      <c r="AA129" s="88">
        <v>4</v>
      </c>
      <c r="AB129" s="89">
        <v>4</v>
      </c>
      <c r="AC129" s="89">
        <v>0</v>
      </c>
      <c r="AD129" s="89">
        <v>0</v>
      </c>
      <c r="AE129" s="90">
        <f t="shared" si="14"/>
        <v>4</v>
      </c>
      <c r="AF129" s="91">
        <v>4</v>
      </c>
      <c r="AG129" s="91">
        <v>0</v>
      </c>
      <c r="AH129" s="91">
        <v>0</v>
      </c>
      <c r="AI129" s="87">
        <f t="shared" si="15"/>
        <v>4</v>
      </c>
      <c r="AJ129" s="77" t="s">
        <v>57</v>
      </c>
      <c r="AK129" s="77" t="s">
        <v>89</v>
      </c>
      <c r="AL129" s="77"/>
      <c r="AM129" s="77"/>
    </row>
    <row r="130" spans="2:39" s="65" customFormat="1" ht="15.9" customHeight="1">
      <c r="B130" s="75">
        <f>SUBTOTAL(3,C$4:$C130)</f>
        <v>127</v>
      </c>
      <c r="C130" s="76" t="s">
        <v>79</v>
      </c>
      <c r="D130" s="77">
        <v>2015</v>
      </c>
      <c r="E130" s="77" t="s">
        <v>55</v>
      </c>
      <c r="F130" s="77">
        <v>4</v>
      </c>
      <c r="G130" s="77" t="s">
        <v>56</v>
      </c>
      <c r="H130" s="77" t="s">
        <v>56</v>
      </c>
      <c r="I130" s="79">
        <f t="shared" si="8"/>
        <v>4</v>
      </c>
      <c r="J130" s="77">
        <v>4</v>
      </c>
      <c r="K130" s="77" t="s">
        <v>56</v>
      </c>
      <c r="L130" s="77" t="s">
        <v>56</v>
      </c>
      <c r="M130" s="77">
        <f t="shared" si="9"/>
        <v>4</v>
      </c>
      <c r="N130" s="81">
        <f t="shared" si="10"/>
        <v>4</v>
      </c>
      <c r="O130" s="82" t="str">
        <f t="shared" si="11"/>
        <v>-</v>
      </c>
      <c r="P130" s="83">
        <v>4</v>
      </c>
      <c r="Q130" s="83">
        <v>0</v>
      </c>
      <c r="R130" s="83">
        <v>0</v>
      </c>
      <c r="S130" s="79">
        <f t="shared" si="12"/>
        <v>4</v>
      </c>
      <c r="T130" s="84">
        <v>4</v>
      </c>
      <c r="U130" s="84">
        <v>0</v>
      </c>
      <c r="V130" s="84">
        <v>0</v>
      </c>
      <c r="W130" s="85">
        <f t="shared" si="13"/>
        <v>4</v>
      </c>
      <c r="X130" s="86">
        <v>4</v>
      </c>
      <c r="Y130" s="86">
        <v>0</v>
      </c>
      <c r="Z130" s="86">
        <v>0</v>
      </c>
      <c r="AA130" s="88">
        <v>4</v>
      </c>
      <c r="AB130" s="89">
        <v>4</v>
      </c>
      <c r="AC130" s="89">
        <v>0</v>
      </c>
      <c r="AD130" s="89">
        <v>0</v>
      </c>
      <c r="AE130" s="90">
        <f t="shared" si="14"/>
        <v>4</v>
      </c>
      <c r="AF130" s="91">
        <v>4</v>
      </c>
      <c r="AG130" s="91">
        <v>0</v>
      </c>
      <c r="AH130" s="91">
        <v>0</v>
      </c>
      <c r="AI130" s="87">
        <f t="shared" si="15"/>
        <v>4</v>
      </c>
      <c r="AJ130" s="77" t="s">
        <v>57</v>
      </c>
      <c r="AK130" s="77" t="s">
        <v>89</v>
      </c>
      <c r="AL130" s="77"/>
      <c r="AM130" s="77"/>
    </row>
    <row r="131" spans="2:39" s="65" customFormat="1" ht="15.9" customHeight="1">
      <c r="B131" s="75">
        <f>SUBTOTAL(3,C$4:$C131)</f>
        <v>128</v>
      </c>
      <c r="C131" s="76" t="s">
        <v>70</v>
      </c>
      <c r="D131" s="77">
        <v>2010</v>
      </c>
      <c r="E131" s="77" t="s">
        <v>71</v>
      </c>
      <c r="F131" s="77">
        <v>4</v>
      </c>
      <c r="G131" s="77" t="s">
        <v>56</v>
      </c>
      <c r="H131" s="77" t="s">
        <v>56</v>
      </c>
      <c r="I131" s="79">
        <f t="shared" si="8"/>
        <v>4</v>
      </c>
      <c r="J131" s="77">
        <v>4</v>
      </c>
      <c r="K131" s="77" t="s">
        <v>56</v>
      </c>
      <c r="L131" s="77" t="s">
        <v>56</v>
      </c>
      <c r="M131" s="77">
        <f t="shared" si="9"/>
        <v>4</v>
      </c>
      <c r="N131" s="81">
        <f t="shared" si="10"/>
        <v>4</v>
      </c>
      <c r="O131" s="82" t="str">
        <f t="shared" si="11"/>
        <v>-</v>
      </c>
      <c r="P131" s="83">
        <v>4</v>
      </c>
      <c r="Q131" s="83">
        <v>0</v>
      </c>
      <c r="R131" s="83">
        <v>0</v>
      </c>
      <c r="S131" s="79">
        <f t="shared" si="12"/>
        <v>4</v>
      </c>
      <c r="T131" s="84">
        <v>4</v>
      </c>
      <c r="U131" s="84">
        <v>0</v>
      </c>
      <c r="V131" s="84">
        <v>0</v>
      </c>
      <c r="W131" s="85">
        <f t="shared" si="13"/>
        <v>4</v>
      </c>
      <c r="X131" s="86">
        <v>4</v>
      </c>
      <c r="Y131" s="86">
        <v>0</v>
      </c>
      <c r="Z131" s="86">
        <v>0</v>
      </c>
      <c r="AA131" s="88">
        <v>4</v>
      </c>
      <c r="AB131" s="89">
        <v>4</v>
      </c>
      <c r="AC131" s="89">
        <v>0</v>
      </c>
      <c r="AD131" s="89">
        <v>0</v>
      </c>
      <c r="AE131" s="90">
        <f t="shared" si="14"/>
        <v>4</v>
      </c>
      <c r="AF131" s="91">
        <v>4</v>
      </c>
      <c r="AG131" s="91">
        <v>0</v>
      </c>
      <c r="AH131" s="91">
        <v>0</v>
      </c>
      <c r="AI131" s="87">
        <f t="shared" si="15"/>
        <v>4</v>
      </c>
      <c r="AJ131" s="77" t="s">
        <v>57</v>
      </c>
      <c r="AK131" s="77" t="s">
        <v>89</v>
      </c>
      <c r="AL131" s="77"/>
      <c r="AM131" s="77"/>
    </row>
    <row r="132" spans="2:39" s="65" customFormat="1" ht="15.9" customHeight="1">
      <c r="B132" s="75">
        <f>SUBTOTAL(3,C$4:$C132)</f>
        <v>129</v>
      </c>
      <c r="C132" s="76" t="s">
        <v>72</v>
      </c>
      <c r="D132" s="77">
        <v>2010</v>
      </c>
      <c r="E132" s="77" t="s">
        <v>67</v>
      </c>
      <c r="F132" s="77">
        <v>2</v>
      </c>
      <c r="G132" s="77" t="s">
        <v>56</v>
      </c>
      <c r="H132" s="77" t="s">
        <v>56</v>
      </c>
      <c r="I132" s="79">
        <f t="shared" ref="I132:I194" si="16">F132</f>
        <v>2</v>
      </c>
      <c r="J132" s="77">
        <v>2</v>
      </c>
      <c r="K132" s="77" t="s">
        <v>56</v>
      </c>
      <c r="L132" s="77" t="s">
        <v>56</v>
      </c>
      <c r="M132" s="77">
        <f t="shared" ref="M132:M194" si="17">SUM(J132:L132)</f>
        <v>2</v>
      </c>
      <c r="N132" s="81">
        <f t="shared" ref="N132:N194" si="18">J132</f>
        <v>2</v>
      </c>
      <c r="O132" s="82" t="str">
        <f t="shared" ref="O132:O194" si="19">L132</f>
        <v>-</v>
      </c>
      <c r="P132" s="83">
        <v>2</v>
      </c>
      <c r="Q132" s="83">
        <v>0</v>
      </c>
      <c r="R132" s="83">
        <v>0</v>
      </c>
      <c r="S132" s="79">
        <f t="shared" ref="S132:S194" si="20">SUM(P132:R132)</f>
        <v>2</v>
      </c>
      <c r="T132" s="84">
        <v>2</v>
      </c>
      <c r="U132" s="84">
        <v>0</v>
      </c>
      <c r="V132" s="84">
        <v>0</v>
      </c>
      <c r="W132" s="85">
        <f t="shared" ref="W132:W194" si="21">SUM(T132:V132)</f>
        <v>2</v>
      </c>
      <c r="X132" s="86">
        <v>2</v>
      </c>
      <c r="Y132" s="86">
        <v>0</v>
      </c>
      <c r="Z132" s="86">
        <v>0</v>
      </c>
      <c r="AA132" s="88">
        <v>2</v>
      </c>
      <c r="AB132" s="89">
        <v>2</v>
      </c>
      <c r="AC132" s="89">
        <v>0</v>
      </c>
      <c r="AD132" s="89">
        <v>0</v>
      </c>
      <c r="AE132" s="90">
        <f t="shared" ref="AE132:AE194" si="22">SUM(AB132:AD132)</f>
        <v>2</v>
      </c>
      <c r="AF132" s="91">
        <v>2</v>
      </c>
      <c r="AG132" s="91">
        <v>0</v>
      </c>
      <c r="AH132" s="91">
        <v>0</v>
      </c>
      <c r="AI132" s="87">
        <f t="shared" ref="AI132:AI194" si="23">SUM(AF132:AH132)</f>
        <v>2</v>
      </c>
      <c r="AJ132" s="77" t="s">
        <v>57</v>
      </c>
      <c r="AK132" s="77" t="s">
        <v>89</v>
      </c>
      <c r="AL132" s="77"/>
      <c r="AM132" s="77"/>
    </row>
    <row r="133" spans="2:39" s="65" customFormat="1" ht="15.9" customHeight="1">
      <c r="B133" s="75">
        <f>SUBTOTAL(3,C$4:$C133)</f>
        <v>130</v>
      </c>
      <c r="C133" s="76" t="s">
        <v>73</v>
      </c>
      <c r="D133" s="77">
        <v>2010</v>
      </c>
      <c r="E133" s="77" t="s">
        <v>63</v>
      </c>
      <c r="F133" s="77">
        <v>1</v>
      </c>
      <c r="G133" s="77" t="s">
        <v>56</v>
      </c>
      <c r="H133" s="77" t="s">
        <v>56</v>
      </c>
      <c r="I133" s="79">
        <f t="shared" si="16"/>
        <v>1</v>
      </c>
      <c r="J133" s="77">
        <v>2</v>
      </c>
      <c r="K133" s="77" t="s">
        <v>56</v>
      </c>
      <c r="L133" s="77" t="s">
        <v>56</v>
      </c>
      <c r="M133" s="77">
        <f t="shared" si="17"/>
        <v>2</v>
      </c>
      <c r="N133" s="81">
        <f t="shared" si="18"/>
        <v>2</v>
      </c>
      <c r="O133" s="82" t="str">
        <f t="shared" si="19"/>
        <v>-</v>
      </c>
      <c r="P133" s="83">
        <v>2</v>
      </c>
      <c r="Q133" s="83">
        <v>0</v>
      </c>
      <c r="R133" s="83">
        <v>0</v>
      </c>
      <c r="S133" s="79">
        <f t="shared" si="20"/>
        <v>2</v>
      </c>
      <c r="T133" s="84">
        <v>2</v>
      </c>
      <c r="U133" s="84">
        <v>0</v>
      </c>
      <c r="V133" s="84">
        <v>0</v>
      </c>
      <c r="W133" s="85">
        <f t="shared" si="21"/>
        <v>2</v>
      </c>
      <c r="X133" s="86">
        <v>2</v>
      </c>
      <c r="Y133" s="86">
        <v>0</v>
      </c>
      <c r="Z133" s="86">
        <v>0</v>
      </c>
      <c r="AA133" s="88">
        <v>2</v>
      </c>
      <c r="AB133" s="89">
        <v>2</v>
      </c>
      <c r="AC133" s="89">
        <v>0</v>
      </c>
      <c r="AD133" s="89">
        <v>0</v>
      </c>
      <c r="AE133" s="90">
        <f t="shared" si="22"/>
        <v>2</v>
      </c>
      <c r="AF133" s="91">
        <v>2</v>
      </c>
      <c r="AG133" s="91">
        <v>0</v>
      </c>
      <c r="AH133" s="91">
        <v>0</v>
      </c>
      <c r="AI133" s="87">
        <f t="shared" si="23"/>
        <v>2</v>
      </c>
      <c r="AJ133" s="77" t="s">
        <v>57</v>
      </c>
      <c r="AK133" s="77" t="s">
        <v>89</v>
      </c>
      <c r="AL133" s="77"/>
      <c r="AM133" s="77"/>
    </row>
    <row r="134" spans="2:39" s="65" customFormat="1" ht="15.9" customHeight="1">
      <c r="B134" s="75">
        <f>SUBTOTAL(3,C$4:$C134)</f>
        <v>131</v>
      </c>
      <c r="C134" s="76" t="s">
        <v>74</v>
      </c>
      <c r="D134" s="77">
        <v>2018</v>
      </c>
      <c r="E134" s="77" t="s">
        <v>60</v>
      </c>
      <c r="F134" s="77">
        <v>4</v>
      </c>
      <c r="G134" s="77" t="s">
        <v>56</v>
      </c>
      <c r="H134" s="77" t="s">
        <v>56</v>
      </c>
      <c r="I134" s="79">
        <f t="shared" si="16"/>
        <v>4</v>
      </c>
      <c r="J134" s="77">
        <v>4</v>
      </c>
      <c r="K134" s="77" t="s">
        <v>56</v>
      </c>
      <c r="L134" s="77" t="s">
        <v>56</v>
      </c>
      <c r="M134" s="77">
        <f t="shared" si="17"/>
        <v>4</v>
      </c>
      <c r="N134" s="81">
        <f t="shared" si="18"/>
        <v>4</v>
      </c>
      <c r="O134" s="82" t="str">
        <f t="shared" si="19"/>
        <v>-</v>
      </c>
      <c r="P134" s="83">
        <v>4</v>
      </c>
      <c r="Q134" s="83">
        <v>0</v>
      </c>
      <c r="R134" s="83">
        <v>0</v>
      </c>
      <c r="S134" s="79">
        <f t="shared" si="20"/>
        <v>4</v>
      </c>
      <c r="T134" s="84">
        <v>4</v>
      </c>
      <c r="U134" s="84">
        <v>0</v>
      </c>
      <c r="V134" s="84">
        <v>0</v>
      </c>
      <c r="W134" s="85">
        <f t="shared" si="21"/>
        <v>4</v>
      </c>
      <c r="X134" s="86">
        <v>4</v>
      </c>
      <c r="Y134" s="86">
        <v>0</v>
      </c>
      <c r="Z134" s="86">
        <v>0</v>
      </c>
      <c r="AA134" s="88">
        <v>4</v>
      </c>
      <c r="AB134" s="89">
        <v>4</v>
      </c>
      <c r="AC134" s="89">
        <v>0</v>
      </c>
      <c r="AD134" s="89">
        <v>0</v>
      </c>
      <c r="AE134" s="90">
        <f t="shared" si="22"/>
        <v>4</v>
      </c>
      <c r="AF134" s="91">
        <v>4</v>
      </c>
      <c r="AG134" s="91">
        <v>0</v>
      </c>
      <c r="AH134" s="91">
        <v>0</v>
      </c>
      <c r="AI134" s="87">
        <f t="shared" si="23"/>
        <v>4</v>
      </c>
      <c r="AJ134" s="77" t="s">
        <v>57</v>
      </c>
      <c r="AK134" s="77" t="s">
        <v>89</v>
      </c>
      <c r="AL134" s="77"/>
      <c r="AM134" s="77"/>
    </row>
    <row r="135" spans="2:39" s="65" customFormat="1" ht="15.9" customHeight="1">
      <c r="B135" s="75">
        <f>SUBTOTAL(3,C$4:$C135)</f>
        <v>132</v>
      </c>
      <c r="C135" s="76" t="s">
        <v>75</v>
      </c>
      <c r="D135" s="77">
        <v>2010</v>
      </c>
      <c r="E135" s="77" t="s">
        <v>60</v>
      </c>
      <c r="F135" s="77">
        <v>4</v>
      </c>
      <c r="G135" s="77" t="s">
        <v>56</v>
      </c>
      <c r="H135" s="77" t="s">
        <v>56</v>
      </c>
      <c r="I135" s="79">
        <f t="shared" si="16"/>
        <v>4</v>
      </c>
      <c r="J135" s="77">
        <v>4</v>
      </c>
      <c r="K135" s="77" t="s">
        <v>56</v>
      </c>
      <c r="L135" s="77" t="s">
        <v>56</v>
      </c>
      <c r="M135" s="77">
        <f t="shared" si="17"/>
        <v>4</v>
      </c>
      <c r="N135" s="81">
        <f t="shared" si="18"/>
        <v>4</v>
      </c>
      <c r="O135" s="82" t="str">
        <f t="shared" si="19"/>
        <v>-</v>
      </c>
      <c r="P135" s="83">
        <v>4</v>
      </c>
      <c r="Q135" s="83">
        <v>0</v>
      </c>
      <c r="R135" s="83">
        <v>0</v>
      </c>
      <c r="S135" s="79">
        <f t="shared" si="20"/>
        <v>4</v>
      </c>
      <c r="T135" s="84">
        <v>4</v>
      </c>
      <c r="U135" s="84">
        <v>0</v>
      </c>
      <c r="V135" s="84">
        <v>0</v>
      </c>
      <c r="W135" s="85">
        <f t="shared" si="21"/>
        <v>4</v>
      </c>
      <c r="X135" s="86">
        <v>4</v>
      </c>
      <c r="Y135" s="86">
        <v>0</v>
      </c>
      <c r="Z135" s="86">
        <v>0</v>
      </c>
      <c r="AA135" s="88">
        <v>4</v>
      </c>
      <c r="AB135" s="89">
        <v>4</v>
      </c>
      <c r="AC135" s="89">
        <v>0</v>
      </c>
      <c r="AD135" s="89">
        <v>0</v>
      </c>
      <c r="AE135" s="90">
        <f t="shared" si="22"/>
        <v>4</v>
      </c>
      <c r="AF135" s="91">
        <v>4</v>
      </c>
      <c r="AG135" s="91">
        <v>0</v>
      </c>
      <c r="AH135" s="91">
        <v>0</v>
      </c>
      <c r="AI135" s="87">
        <f t="shared" si="23"/>
        <v>4</v>
      </c>
      <c r="AJ135" s="77" t="s">
        <v>57</v>
      </c>
      <c r="AK135" s="77" t="s">
        <v>89</v>
      </c>
      <c r="AL135" s="77"/>
      <c r="AM135" s="77"/>
    </row>
    <row r="136" spans="2:39" s="65" customFormat="1" ht="15.9" customHeight="1">
      <c r="B136" s="75">
        <f>SUBTOTAL(3,C$4:$C136)</f>
        <v>133</v>
      </c>
      <c r="C136" s="76" t="s">
        <v>76</v>
      </c>
      <c r="D136" s="77">
        <v>2010</v>
      </c>
      <c r="E136" s="77" t="s">
        <v>60</v>
      </c>
      <c r="F136" s="77">
        <v>5</v>
      </c>
      <c r="G136" s="77" t="s">
        <v>56</v>
      </c>
      <c r="H136" s="77" t="s">
        <v>56</v>
      </c>
      <c r="I136" s="79">
        <f t="shared" si="16"/>
        <v>5</v>
      </c>
      <c r="J136" s="77">
        <v>5</v>
      </c>
      <c r="K136" s="77" t="s">
        <v>56</v>
      </c>
      <c r="L136" s="77" t="s">
        <v>56</v>
      </c>
      <c r="M136" s="77">
        <f t="shared" si="17"/>
        <v>5</v>
      </c>
      <c r="N136" s="81">
        <f t="shared" si="18"/>
        <v>5</v>
      </c>
      <c r="O136" s="82" t="str">
        <f t="shared" si="19"/>
        <v>-</v>
      </c>
      <c r="P136" s="83">
        <v>5</v>
      </c>
      <c r="Q136" s="83">
        <v>0</v>
      </c>
      <c r="R136" s="83">
        <v>0</v>
      </c>
      <c r="S136" s="79">
        <f t="shared" si="20"/>
        <v>5</v>
      </c>
      <c r="T136" s="84">
        <v>5</v>
      </c>
      <c r="U136" s="84">
        <v>0</v>
      </c>
      <c r="V136" s="84">
        <v>0</v>
      </c>
      <c r="W136" s="85">
        <f t="shared" si="21"/>
        <v>5</v>
      </c>
      <c r="X136" s="86">
        <v>5</v>
      </c>
      <c r="Y136" s="86">
        <v>0</v>
      </c>
      <c r="Z136" s="86">
        <v>0</v>
      </c>
      <c r="AA136" s="88">
        <v>5</v>
      </c>
      <c r="AB136" s="89">
        <v>5</v>
      </c>
      <c r="AC136" s="89">
        <v>0</v>
      </c>
      <c r="AD136" s="89">
        <v>0</v>
      </c>
      <c r="AE136" s="90">
        <f t="shared" si="22"/>
        <v>5</v>
      </c>
      <c r="AF136" s="91">
        <v>5</v>
      </c>
      <c r="AG136" s="91">
        <v>0</v>
      </c>
      <c r="AH136" s="91">
        <v>0</v>
      </c>
      <c r="AI136" s="87">
        <f t="shared" si="23"/>
        <v>5</v>
      </c>
      <c r="AJ136" s="77" t="s">
        <v>57</v>
      </c>
      <c r="AK136" s="77" t="s">
        <v>89</v>
      </c>
      <c r="AL136" s="77"/>
      <c r="AM136" s="77"/>
    </row>
    <row r="137" spans="2:39" s="65" customFormat="1" ht="15.9" customHeight="1">
      <c r="B137" s="75">
        <f>SUBTOTAL(3,C$4:$C137)</f>
        <v>134</v>
      </c>
      <c r="C137" s="76" t="s">
        <v>77</v>
      </c>
      <c r="D137" s="77">
        <v>2025</v>
      </c>
      <c r="E137" s="77" t="s">
        <v>60</v>
      </c>
      <c r="F137" s="77" t="s">
        <v>56</v>
      </c>
      <c r="G137" s="77" t="s">
        <v>56</v>
      </c>
      <c r="H137" s="77" t="s">
        <v>56</v>
      </c>
      <c r="I137" s="79" t="str">
        <f t="shared" si="16"/>
        <v>-</v>
      </c>
      <c r="J137" s="77">
        <v>1</v>
      </c>
      <c r="K137" s="77" t="s">
        <v>56</v>
      </c>
      <c r="L137" s="77" t="s">
        <v>56</v>
      </c>
      <c r="M137" s="77">
        <f t="shared" si="17"/>
        <v>1</v>
      </c>
      <c r="N137" s="81">
        <f t="shared" si="18"/>
        <v>1</v>
      </c>
      <c r="O137" s="82" t="str">
        <f t="shared" si="19"/>
        <v>-</v>
      </c>
      <c r="P137" s="83">
        <v>1</v>
      </c>
      <c r="Q137" s="83">
        <v>0</v>
      </c>
      <c r="R137" s="83">
        <v>0</v>
      </c>
      <c r="S137" s="79">
        <f t="shared" si="20"/>
        <v>1</v>
      </c>
      <c r="T137" s="84">
        <v>1</v>
      </c>
      <c r="U137" s="84">
        <v>0</v>
      </c>
      <c r="V137" s="84">
        <v>0</v>
      </c>
      <c r="W137" s="85">
        <f t="shared" si="21"/>
        <v>1</v>
      </c>
      <c r="X137" s="86">
        <v>1</v>
      </c>
      <c r="Y137" s="86">
        <v>0</v>
      </c>
      <c r="Z137" s="86">
        <v>0</v>
      </c>
      <c r="AA137" s="88">
        <v>1</v>
      </c>
      <c r="AB137" s="89">
        <v>1</v>
      </c>
      <c r="AC137" s="89">
        <v>0</v>
      </c>
      <c r="AD137" s="89">
        <v>0</v>
      </c>
      <c r="AE137" s="90">
        <f t="shared" si="22"/>
        <v>1</v>
      </c>
      <c r="AF137" s="91">
        <v>1</v>
      </c>
      <c r="AG137" s="91">
        <v>0</v>
      </c>
      <c r="AH137" s="91">
        <v>0</v>
      </c>
      <c r="AI137" s="87">
        <f t="shared" si="23"/>
        <v>1</v>
      </c>
      <c r="AJ137" s="77" t="s">
        <v>57</v>
      </c>
      <c r="AK137" s="77" t="s">
        <v>89</v>
      </c>
      <c r="AL137" s="77"/>
      <c r="AM137" s="95">
        <v>45763</v>
      </c>
    </row>
    <row r="138" spans="2:39" s="65" customFormat="1" ht="15.9" customHeight="1">
      <c r="B138" s="75">
        <f>SUBTOTAL(3,C$4:$C138)</f>
        <v>135</v>
      </c>
      <c r="C138" s="76" t="s">
        <v>501</v>
      </c>
      <c r="D138" s="77"/>
      <c r="E138" s="77"/>
      <c r="F138" s="77" t="s">
        <v>56</v>
      </c>
      <c r="G138" s="77" t="s">
        <v>56</v>
      </c>
      <c r="H138" s="77" t="s">
        <v>56</v>
      </c>
      <c r="I138" s="79" t="str">
        <f t="shared" si="16"/>
        <v>-</v>
      </c>
      <c r="J138" s="77">
        <v>2</v>
      </c>
      <c r="K138" s="77" t="s">
        <v>56</v>
      </c>
      <c r="L138" s="77" t="s">
        <v>56</v>
      </c>
      <c r="M138" s="77">
        <f t="shared" si="17"/>
        <v>2</v>
      </c>
      <c r="N138" s="81">
        <f t="shared" si="18"/>
        <v>2</v>
      </c>
      <c r="O138" s="82" t="str">
        <f t="shared" si="19"/>
        <v>-</v>
      </c>
      <c r="P138" s="83">
        <v>2</v>
      </c>
      <c r="Q138" s="83">
        <v>0</v>
      </c>
      <c r="R138" s="83">
        <v>0</v>
      </c>
      <c r="S138" s="79">
        <f t="shared" si="20"/>
        <v>2</v>
      </c>
      <c r="T138" s="84">
        <v>2</v>
      </c>
      <c r="U138" s="84">
        <v>0</v>
      </c>
      <c r="V138" s="84">
        <v>0</v>
      </c>
      <c r="W138" s="85">
        <f t="shared" si="21"/>
        <v>2</v>
      </c>
      <c r="X138" s="86">
        <v>2</v>
      </c>
      <c r="Y138" s="86">
        <v>0</v>
      </c>
      <c r="Z138" s="86">
        <v>0</v>
      </c>
      <c r="AA138" s="88">
        <v>2</v>
      </c>
      <c r="AB138" s="89">
        <v>2</v>
      </c>
      <c r="AC138" s="89">
        <v>0</v>
      </c>
      <c r="AD138" s="89">
        <v>0</v>
      </c>
      <c r="AE138" s="90">
        <f t="shared" si="22"/>
        <v>2</v>
      </c>
      <c r="AF138" s="91">
        <v>2</v>
      </c>
      <c r="AG138" s="91">
        <v>0</v>
      </c>
      <c r="AH138" s="91">
        <v>0</v>
      </c>
      <c r="AI138" s="87">
        <f t="shared" si="23"/>
        <v>2</v>
      </c>
      <c r="AJ138" s="77" t="s">
        <v>57</v>
      </c>
      <c r="AK138" s="77" t="s">
        <v>89</v>
      </c>
      <c r="AL138" s="77"/>
      <c r="AM138" s="95"/>
    </row>
    <row r="139" spans="2:39" s="65" customFormat="1" ht="15.9" customHeight="1">
      <c r="B139" s="75">
        <f>SUBTOTAL(3,C$4:$C139)</f>
        <v>136</v>
      </c>
      <c r="C139" s="76" t="s">
        <v>54</v>
      </c>
      <c r="D139" s="77">
        <v>2010</v>
      </c>
      <c r="E139" s="77" t="s">
        <v>55</v>
      </c>
      <c r="F139" s="77">
        <v>8</v>
      </c>
      <c r="G139" s="77" t="s">
        <v>56</v>
      </c>
      <c r="H139" s="77" t="s">
        <v>56</v>
      </c>
      <c r="I139" s="79">
        <f t="shared" si="16"/>
        <v>8</v>
      </c>
      <c r="J139" s="77">
        <v>8</v>
      </c>
      <c r="K139" s="77" t="s">
        <v>56</v>
      </c>
      <c r="L139" s="77" t="s">
        <v>56</v>
      </c>
      <c r="M139" s="77">
        <f t="shared" si="17"/>
        <v>8</v>
      </c>
      <c r="N139" s="81">
        <f t="shared" si="18"/>
        <v>8</v>
      </c>
      <c r="O139" s="82" t="str">
        <f t="shared" si="19"/>
        <v>-</v>
      </c>
      <c r="P139" s="83">
        <v>8</v>
      </c>
      <c r="Q139" s="83">
        <v>0</v>
      </c>
      <c r="R139" s="83">
        <v>0</v>
      </c>
      <c r="S139" s="79">
        <f t="shared" si="20"/>
        <v>8</v>
      </c>
      <c r="T139" s="84">
        <v>7</v>
      </c>
      <c r="U139" s="84">
        <v>1</v>
      </c>
      <c r="V139" s="84">
        <v>0</v>
      </c>
      <c r="W139" s="85">
        <f t="shared" si="21"/>
        <v>8</v>
      </c>
      <c r="X139" s="86">
        <v>7</v>
      </c>
      <c r="Y139" s="86">
        <v>1</v>
      </c>
      <c r="Z139" s="86">
        <v>0</v>
      </c>
      <c r="AA139" s="88">
        <v>8</v>
      </c>
      <c r="AB139" s="89">
        <v>7</v>
      </c>
      <c r="AC139" s="89">
        <v>1</v>
      </c>
      <c r="AD139" s="89">
        <v>0</v>
      </c>
      <c r="AE139" s="90">
        <f t="shared" si="22"/>
        <v>8</v>
      </c>
      <c r="AF139" s="91">
        <v>7</v>
      </c>
      <c r="AG139" s="91">
        <v>0</v>
      </c>
      <c r="AH139" s="91">
        <v>0</v>
      </c>
      <c r="AI139" s="87">
        <f t="shared" si="23"/>
        <v>7</v>
      </c>
      <c r="AJ139" s="77" t="s">
        <v>57</v>
      </c>
      <c r="AK139" s="77" t="s">
        <v>91</v>
      </c>
      <c r="AL139" s="77" t="s">
        <v>593</v>
      </c>
      <c r="AM139" s="77"/>
    </row>
    <row r="140" spans="2:39" s="65" customFormat="1" ht="15.9" customHeight="1">
      <c r="B140" s="75">
        <f>SUBTOTAL(3,C$4:$C140)</f>
        <v>137</v>
      </c>
      <c r="C140" s="76" t="s">
        <v>59</v>
      </c>
      <c r="D140" s="77">
        <v>2015</v>
      </c>
      <c r="E140" s="77" t="s">
        <v>60</v>
      </c>
      <c r="F140" s="77">
        <v>8</v>
      </c>
      <c r="G140" s="77" t="s">
        <v>56</v>
      </c>
      <c r="H140" s="77" t="s">
        <v>56</v>
      </c>
      <c r="I140" s="79">
        <f t="shared" si="16"/>
        <v>8</v>
      </c>
      <c r="J140" s="77">
        <v>8</v>
      </c>
      <c r="K140" s="77" t="s">
        <v>56</v>
      </c>
      <c r="L140" s="77" t="s">
        <v>56</v>
      </c>
      <c r="M140" s="77">
        <f t="shared" si="17"/>
        <v>8</v>
      </c>
      <c r="N140" s="81">
        <f t="shared" si="18"/>
        <v>8</v>
      </c>
      <c r="O140" s="82" t="str">
        <f t="shared" si="19"/>
        <v>-</v>
      </c>
      <c r="P140" s="83">
        <v>8</v>
      </c>
      <c r="Q140" s="83">
        <v>0</v>
      </c>
      <c r="R140" s="83">
        <v>0</v>
      </c>
      <c r="S140" s="79">
        <f t="shared" si="20"/>
        <v>8</v>
      </c>
      <c r="T140" s="84">
        <v>8</v>
      </c>
      <c r="U140" s="84">
        <v>0</v>
      </c>
      <c r="V140" s="84">
        <v>0</v>
      </c>
      <c r="W140" s="85">
        <f t="shared" si="21"/>
        <v>8</v>
      </c>
      <c r="X140" s="86">
        <v>8</v>
      </c>
      <c r="Y140" s="86">
        <v>0</v>
      </c>
      <c r="Z140" s="86">
        <v>0</v>
      </c>
      <c r="AA140" s="88">
        <v>8</v>
      </c>
      <c r="AB140" s="89">
        <v>8</v>
      </c>
      <c r="AC140" s="89">
        <v>0</v>
      </c>
      <c r="AD140" s="89">
        <v>0</v>
      </c>
      <c r="AE140" s="90">
        <f t="shared" si="22"/>
        <v>8</v>
      </c>
      <c r="AF140" s="91">
        <v>8</v>
      </c>
      <c r="AG140" s="91">
        <v>0</v>
      </c>
      <c r="AH140" s="91">
        <v>0</v>
      </c>
      <c r="AI140" s="87">
        <f t="shared" si="23"/>
        <v>8</v>
      </c>
      <c r="AJ140" s="77" t="s">
        <v>57</v>
      </c>
      <c r="AK140" s="77" t="s">
        <v>91</v>
      </c>
      <c r="AL140" s="77"/>
      <c r="AM140" s="77"/>
    </row>
    <row r="141" spans="2:39" s="65" customFormat="1" ht="15.9" customHeight="1">
      <c r="B141" s="75">
        <f>SUBTOTAL(3,C$4:$C141)</f>
        <v>138</v>
      </c>
      <c r="C141" s="76" t="s">
        <v>61</v>
      </c>
      <c r="D141" s="78" t="s">
        <v>62</v>
      </c>
      <c r="E141" s="77" t="s">
        <v>63</v>
      </c>
      <c r="F141" s="77" t="s">
        <v>56</v>
      </c>
      <c r="G141" s="77" t="s">
        <v>56</v>
      </c>
      <c r="H141" s="77" t="s">
        <v>56</v>
      </c>
      <c r="I141" s="79" t="str">
        <f t="shared" si="16"/>
        <v>-</v>
      </c>
      <c r="J141" s="77">
        <v>8</v>
      </c>
      <c r="K141" s="77" t="s">
        <v>56</v>
      </c>
      <c r="L141" s="77" t="s">
        <v>56</v>
      </c>
      <c r="M141" s="77">
        <f t="shared" si="17"/>
        <v>8</v>
      </c>
      <c r="N141" s="81">
        <f t="shared" si="18"/>
        <v>8</v>
      </c>
      <c r="O141" s="82" t="str">
        <f t="shared" si="19"/>
        <v>-</v>
      </c>
      <c r="P141" s="83">
        <v>8</v>
      </c>
      <c r="Q141" s="83">
        <v>0</v>
      </c>
      <c r="R141" s="83">
        <v>0</v>
      </c>
      <c r="S141" s="79">
        <f t="shared" si="20"/>
        <v>8</v>
      </c>
      <c r="T141" s="84">
        <v>8</v>
      </c>
      <c r="U141" s="84">
        <v>0</v>
      </c>
      <c r="V141" s="84">
        <v>0</v>
      </c>
      <c r="W141" s="85">
        <f t="shared" si="21"/>
        <v>8</v>
      </c>
      <c r="X141" s="86">
        <v>8</v>
      </c>
      <c r="Y141" s="86">
        <v>0</v>
      </c>
      <c r="Z141" s="86">
        <v>0</v>
      </c>
      <c r="AA141" s="88">
        <v>8</v>
      </c>
      <c r="AB141" s="89">
        <v>8</v>
      </c>
      <c r="AC141" s="89">
        <v>0</v>
      </c>
      <c r="AD141" s="89">
        <v>0</v>
      </c>
      <c r="AE141" s="90">
        <f t="shared" si="22"/>
        <v>8</v>
      </c>
      <c r="AF141" s="91">
        <v>8</v>
      </c>
      <c r="AG141" s="91">
        <v>0</v>
      </c>
      <c r="AH141" s="91">
        <v>0</v>
      </c>
      <c r="AI141" s="87">
        <f t="shared" si="23"/>
        <v>8</v>
      </c>
      <c r="AJ141" s="77" t="s">
        <v>57</v>
      </c>
      <c r="AK141" s="77" t="s">
        <v>91</v>
      </c>
      <c r="AL141" s="77"/>
      <c r="AM141" s="77"/>
    </row>
    <row r="142" spans="2:39" s="65" customFormat="1" ht="15.9" customHeight="1">
      <c r="B142" s="75">
        <f>SUBTOTAL(3,C$4:$C142)</f>
        <v>139</v>
      </c>
      <c r="C142" s="76" t="s">
        <v>64</v>
      </c>
      <c r="D142" s="78" t="s">
        <v>62</v>
      </c>
      <c r="E142" s="77" t="s">
        <v>63</v>
      </c>
      <c r="F142" s="77" t="s">
        <v>56</v>
      </c>
      <c r="G142" s="77" t="s">
        <v>56</v>
      </c>
      <c r="H142" s="77" t="s">
        <v>56</v>
      </c>
      <c r="I142" s="79" t="str">
        <f t="shared" si="16"/>
        <v>-</v>
      </c>
      <c r="J142" s="77">
        <v>8</v>
      </c>
      <c r="K142" s="77" t="s">
        <v>56</v>
      </c>
      <c r="L142" s="77" t="s">
        <v>56</v>
      </c>
      <c r="M142" s="77">
        <f t="shared" si="17"/>
        <v>8</v>
      </c>
      <c r="N142" s="81">
        <f t="shared" si="18"/>
        <v>8</v>
      </c>
      <c r="O142" s="82" t="str">
        <f t="shared" si="19"/>
        <v>-</v>
      </c>
      <c r="P142" s="83">
        <v>8</v>
      </c>
      <c r="Q142" s="83">
        <v>0</v>
      </c>
      <c r="R142" s="83">
        <v>0</v>
      </c>
      <c r="S142" s="79">
        <f t="shared" si="20"/>
        <v>8</v>
      </c>
      <c r="T142" s="84">
        <v>8</v>
      </c>
      <c r="U142" s="84">
        <v>0</v>
      </c>
      <c r="V142" s="84">
        <v>0</v>
      </c>
      <c r="W142" s="85">
        <f t="shared" si="21"/>
        <v>8</v>
      </c>
      <c r="X142" s="86">
        <v>8</v>
      </c>
      <c r="Y142" s="86">
        <v>0</v>
      </c>
      <c r="Z142" s="86">
        <v>0</v>
      </c>
      <c r="AA142" s="88">
        <v>8</v>
      </c>
      <c r="AB142" s="89">
        <v>8</v>
      </c>
      <c r="AC142" s="89">
        <v>0</v>
      </c>
      <c r="AD142" s="89">
        <v>0</v>
      </c>
      <c r="AE142" s="90">
        <f t="shared" si="22"/>
        <v>8</v>
      </c>
      <c r="AF142" s="91">
        <v>8</v>
      </c>
      <c r="AG142" s="91">
        <v>0</v>
      </c>
      <c r="AH142" s="91">
        <v>0</v>
      </c>
      <c r="AI142" s="87">
        <f t="shared" si="23"/>
        <v>8</v>
      </c>
      <c r="AJ142" s="77" t="s">
        <v>57</v>
      </c>
      <c r="AK142" s="77" t="s">
        <v>91</v>
      </c>
      <c r="AL142" s="77"/>
      <c r="AM142" s="77"/>
    </row>
    <row r="143" spans="2:39" s="65" customFormat="1" ht="15.9" customHeight="1">
      <c r="B143" s="75">
        <f>SUBTOTAL(3,C$4:$C143)</f>
        <v>140</v>
      </c>
      <c r="C143" s="76" t="s">
        <v>65</v>
      </c>
      <c r="D143" s="77" t="s">
        <v>66</v>
      </c>
      <c r="E143" s="77" t="s">
        <v>67</v>
      </c>
      <c r="F143" s="77">
        <v>8</v>
      </c>
      <c r="G143" s="77" t="s">
        <v>56</v>
      </c>
      <c r="H143" s="77" t="s">
        <v>56</v>
      </c>
      <c r="I143" s="79">
        <f t="shared" si="16"/>
        <v>8</v>
      </c>
      <c r="J143" s="77">
        <v>8</v>
      </c>
      <c r="K143" s="77" t="s">
        <v>56</v>
      </c>
      <c r="L143" s="77" t="s">
        <v>56</v>
      </c>
      <c r="M143" s="77">
        <f t="shared" si="17"/>
        <v>8</v>
      </c>
      <c r="N143" s="81">
        <f t="shared" si="18"/>
        <v>8</v>
      </c>
      <c r="O143" s="82" t="str">
        <f t="shared" si="19"/>
        <v>-</v>
      </c>
      <c r="P143" s="83">
        <v>8</v>
      </c>
      <c r="Q143" s="83">
        <v>0</v>
      </c>
      <c r="R143" s="83">
        <v>0</v>
      </c>
      <c r="S143" s="79">
        <f t="shared" si="20"/>
        <v>8</v>
      </c>
      <c r="T143" s="84">
        <v>8</v>
      </c>
      <c r="U143" s="84">
        <v>0</v>
      </c>
      <c r="V143" s="84">
        <v>0</v>
      </c>
      <c r="W143" s="85">
        <f t="shared" si="21"/>
        <v>8</v>
      </c>
      <c r="X143" s="86">
        <v>8</v>
      </c>
      <c r="Y143" s="86">
        <v>0</v>
      </c>
      <c r="Z143" s="86">
        <v>0</v>
      </c>
      <c r="AA143" s="88">
        <v>8</v>
      </c>
      <c r="AB143" s="89">
        <v>8</v>
      </c>
      <c r="AC143" s="89">
        <v>0</v>
      </c>
      <c r="AD143" s="89">
        <v>0</v>
      </c>
      <c r="AE143" s="90">
        <f t="shared" si="22"/>
        <v>8</v>
      </c>
      <c r="AF143" s="91">
        <v>8</v>
      </c>
      <c r="AG143" s="91">
        <v>0</v>
      </c>
      <c r="AH143" s="91">
        <v>0</v>
      </c>
      <c r="AI143" s="87">
        <f t="shared" si="23"/>
        <v>8</v>
      </c>
      <c r="AJ143" s="77" t="s">
        <v>57</v>
      </c>
      <c r="AK143" s="77" t="s">
        <v>91</v>
      </c>
      <c r="AL143" s="77"/>
      <c r="AM143" s="77"/>
    </row>
    <row r="144" spans="2:39" s="65" customFormat="1" ht="15.9" customHeight="1">
      <c r="B144" s="75">
        <f>SUBTOTAL(3,C$4:$C144)</f>
        <v>141</v>
      </c>
      <c r="C144" s="76" t="s">
        <v>68</v>
      </c>
      <c r="D144" s="77">
        <v>2010</v>
      </c>
      <c r="E144" s="77" t="s">
        <v>55</v>
      </c>
      <c r="F144" s="77">
        <v>4</v>
      </c>
      <c r="G144" s="77" t="s">
        <v>56</v>
      </c>
      <c r="H144" s="77" t="s">
        <v>56</v>
      </c>
      <c r="I144" s="79">
        <f t="shared" si="16"/>
        <v>4</v>
      </c>
      <c r="J144" s="77">
        <v>4</v>
      </c>
      <c r="K144" s="77" t="s">
        <v>56</v>
      </c>
      <c r="L144" s="77" t="s">
        <v>56</v>
      </c>
      <c r="M144" s="77">
        <f t="shared" si="17"/>
        <v>4</v>
      </c>
      <c r="N144" s="81">
        <f t="shared" si="18"/>
        <v>4</v>
      </c>
      <c r="O144" s="82" t="str">
        <f t="shared" si="19"/>
        <v>-</v>
      </c>
      <c r="P144" s="83">
        <v>4</v>
      </c>
      <c r="Q144" s="83">
        <v>0</v>
      </c>
      <c r="R144" s="83">
        <v>0</v>
      </c>
      <c r="S144" s="79">
        <f t="shared" si="20"/>
        <v>4</v>
      </c>
      <c r="T144" s="84">
        <v>4</v>
      </c>
      <c r="U144" s="84">
        <v>0</v>
      </c>
      <c r="V144" s="84">
        <v>0</v>
      </c>
      <c r="W144" s="85">
        <f t="shared" si="21"/>
        <v>4</v>
      </c>
      <c r="X144" s="86">
        <v>4</v>
      </c>
      <c r="Y144" s="86">
        <v>0</v>
      </c>
      <c r="Z144" s="86">
        <v>0</v>
      </c>
      <c r="AA144" s="88">
        <v>4</v>
      </c>
      <c r="AB144" s="89">
        <v>4</v>
      </c>
      <c r="AC144" s="89">
        <v>0</v>
      </c>
      <c r="AD144" s="89">
        <v>0</v>
      </c>
      <c r="AE144" s="90">
        <f t="shared" si="22"/>
        <v>4</v>
      </c>
      <c r="AF144" s="91">
        <v>4</v>
      </c>
      <c r="AG144" s="91">
        <v>0</v>
      </c>
      <c r="AH144" s="91">
        <v>0</v>
      </c>
      <c r="AI144" s="87">
        <f t="shared" si="23"/>
        <v>4</v>
      </c>
      <c r="AJ144" s="77" t="s">
        <v>57</v>
      </c>
      <c r="AK144" s="77" t="s">
        <v>91</v>
      </c>
      <c r="AL144" s="77"/>
      <c r="AM144" s="77"/>
    </row>
    <row r="145" spans="2:39" s="65" customFormat="1" ht="15.9" customHeight="1">
      <c r="B145" s="75">
        <f>SUBTOTAL(3,C$4:$C145)</f>
        <v>142</v>
      </c>
      <c r="C145" s="76" t="s">
        <v>79</v>
      </c>
      <c r="D145" s="77">
        <v>2015</v>
      </c>
      <c r="E145" s="77" t="s">
        <v>55</v>
      </c>
      <c r="F145" s="77">
        <v>4</v>
      </c>
      <c r="G145" s="77" t="s">
        <v>56</v>
      </c>
      <c r="H145" s="77" t="s">
        <v>56</v>
      </c>
      <c r="I145" s="79">
        <f t="shared" si="16"/>
        <v>4</v>
      </c>
      <c r="J145" s="77">
        <v>4</v>
      </c>
      <c r="K145" s="77" t="s">
        <v>56</v>
      </c>
      <c r="L145" s="77" t="s">
        <v>56</v>
      </c>
      <c r="M145" s="77">
        <f t="shared" si="17"/>
        <v>4</v>
      </c>
      <c r="N145" s="81">
        <f t="shared" si="18"/>
        <v>4</v>
      </c>
      <c r="O145" s="82" t="str">
        <f t="shared" si="19"/>
        <v>-</v>
      </c>
      <c r="P145" s="83">
        <v>4</v>
      </c>
      <c r="Q145" s="83">
        <v>0</v>
      </c>
      <c r="R145" s="83">
        <v>0</v>
      </c>
      <c r="S145" s="79">
        <f t="shared" si="20"/>
        <v>4</v>
      </c>
      <c r="T145" s="84">
        <v>4</v>
      </c>
      <c r="U145" s="84">
        <v>0</v>
      </c>
      <c r="V145" s="84">
        <v>0</v>
      </c>
      <c r="W145" s="85">
        <f t="shared" si="21"/>
        <v>4</v>
      </c>
      <c r="X145" s="86">
        <v>4</v>
      </c>
      <c r="Y145" s="86">
        <v>0</v>
      </c>
      <c r="Z145" s="86">
        <v>0</v>
      </c>
      <c r="AA145" s="88">
        <v>4</v>
      </c>
      <c r="AB145" s="89">
        <v>4</v>
      </c>
      <c r="AC145" s="89">
        <v>0</v>
      </c>
      <c r="AD145" s="89">
        <v>0</v>
      </c>
      <c r="AE145" s="90">
        <f t="shared" si="22"/>
        <v>4</v>
      </c>
      <c r="AF145" s="91">
        <v>4</v>
      </c>
      <c r="AG145" s="91">
        <v>0</v>
      </c>
      <c r="AH145" s="91">
        <v>0</v>
      </c>
      <c r="AI145" s="87">
        <f t="shared" si="23"/>
        <v>4</v>
      </c>
      <c r="AJ145" s="77" t="s">
        <v>57</v>
      </c>
      <c r="AK145" s="77" t="s">
        <v>91</v>
      </c>
      <c r="AL145" s="77"/>
      <c r="AM145" s="77"/>
    </row>
    <row r="146" spans="2:39" s="65" customFormat="1" ht="15.9" customHeight="1">
      <c r="B146" s="75">
        <f>SUBTOTAL(3,C$4:$C146)</f>
        <v>143</v>
      </c>
      <c r="C146" s="76" t="s">
        <v>70</v>
      </c>
      <c r="D146" s="77">
        <v>2010</v>
      </c>
      <c r="E146" s="77" t="s">
        <v>71</v>
      </c>
      <c r="F146" s="77">
        <v>4</v>
      </c>
      <c r="G146" s="77" t="s">
        <v>56</v>
      </c>
      <c r="H146" s="77" t="s">
        <v>56</v>
      </c>
      <c r="I146" s="79">
        <f t="shared" si="16"/>
        <v>4</v>
      </c>
      <c r="J146" s="77">
        <v>4</v>
      </c>
      <c r="K146" s="77" t="s">
        <v>56</v>
      </c>
      <c r="L146" s="77" t="s">
        <v>56</v>
      </c>
      <c r="M146" s="77">
        <f t="shared" si="17"/>
        <v>4</v>
      </c>
      <c r="N146" s="81">
        <f t="shared" si="18"/>
        <v>4</v>
      </c>
      <c r="O146" s="82" t="str">
        <f t="shared" si="19"/>
        <v>-</v>
      </c>
      <c r="P146" s="83">
        <v>4</v>
      </c>
      <c r="Q146" s="83">
        <v>0</v>
      </c>
      <c r="R146" s="83">
        <v>0</v>
      </c>
      <c r="S146" s="79">
        <f t="shared" si="20"/>
        <v>4</v>
      </c>
      <c r="T146" s="84">
        <v>4</v>
      </c>
      <c r="U146" s="84">
        <v>0</v>
      </c>
      <c r="V146" s="84">
        <v>0</v>
      </c>
      <c r="W146" s="85">
        <f t="shared" si="21"/>
        <v>4</v>
      </c>
      <c r="X146" s="86">
        <v>4</v>
      </c>
      <c r="Y146" s="86">
        <v>0</v>
      </c>
      <c r="Z146" s="86">
        <v>0</v>
      </c>
      <c r="AA146" s="88">
        <v>4</v>
      </c>
      <c r="AB146" s="89">
        <v>4</v>
      </c>
      <c r="AC146" s="89">
        <v>0</v>
      </c>
      <c r="AD146" s="89">
        <v>0</v>
      </c>
      <c r="AE146" s="90">
        <f t="shared" si="22"/>
        <v>4</v>
      </c>
      <c r="AF146" s="91">
        <v>4</v>
      </c>
      <c r="AG146" s="91">
        <v>0</v>
      </c>
      <c r="AH146" s="91">
        <v>0</v>
      </c>
      <c r="AI146" s="87">
        <f t="shared" si="23"/>
        <v>4</v>
      </c>
      <c r="AJ146" s="77" t="s">
        <v>57</v>
      </c>
      <c r="AK146" s="77" t="s">
        <v>91</v>
      </c>
      <c r="AL146" s="77"/>
      <c r="AM146" s="77"/>
    </row>
    <row r="147" spans="2:39" s="65" customFormat="1" ht="15.9" customHeight="1">
      <c r="B147" s="75">
        <f>SUBTOTAL(3,C$4:$C147)</f>
        <v>144</v>
      </c>
      <c r="C147" s="76" t="s">
        <v>72</v>
      </c>
      <c r="D147" s="77">
        <v>2010</v>
      </c>
      <c r="E147" s="77" t="s">
        <v>67</v>
      </c>
      <c r="F147" s="77">
        <v>2</v>
      </c>
      <c r="G147" s="77" t="s">
        <v>56</v>
      </c>
      <c r="H147" s="77" t="s">
        <v>56</v>
      </c>
      <c r="I147" s="79">
        <f t="shared" si="16"/>
        <v>2</v>
      </c>
      <c r="J147" s="77">
        <v>2</v>
      </c>
      <c r="K147" s="77" t="s">
        <v>56</v>
      </c>
      <c r="L147" s="77" t="s">
        <v>56</v>
      </c>
      <c r="M147" s="77">
        <f t="shared" si="17"/>
        <v>2</v>
      </c>
      <c r="N147" s="81">
        <f t="shared" si="18"/>
        <v>2</v>
      </c>
      <c r="O147" s="82" t="str">
        <f t="shared" si="19"/>
        <v>-</v>
      </c>
      <c r="P147" s="83">
        <v>2</v>
      </c>
      <c r="Q147" s="83">
        <v>0</v>
      </c>
      <c r="R147" s="83">
        <v>0</v>
      </c>
      <c r="S147" s="79">
        <f t="shared" si="20"/>
        <v>2</v>
      </c>
      <c r="T147" s="84">
        <v>2</v>
      </c>
      <c r="U147" s="84">
        <v>0</v>
      </c>
      <c r="V147" s="84">
        <v>0</v>
      </c>
      <c r="W147" s="85">
        <f t="shared" si="21"/>
        <v>2</v>
      </c>
      <c r="X147" s="86">
        <v>2</v>
      </c>
      <c r="Y147" s="86">
        <v>0</v>
      </c>
      <c r="Z147" s="86">
        <v>0</v>
      </c>
      <c r="AA147" s="88">
        <v>2</v>
      </c>
      <c r="AB147" s="89">
        <v>2</v>
      </c>
      <c r="AC147" s="89">
        <v>0</v>
      </c>
      <c r="AD147" s="89">
        <v>0</v>
      </c>
      <c r="AE147" s="90">
        <f t="shared" si="22"/>
        <v>2</v>
      </c>
      <c r="AF147" s="91">
        <v>2</v>
      </c>
      <c r="AG147" s="91">
        <v>0</v>
      </c>
      <c r="AH147" s="91">
        <v>0</v>
      </c>
      <c r="AI147" s="87">
        <f t="shared" si="23"/>
        <v>2</v>
      </c>
      <c r="AJ147" s="77" t="s">
        <v>57</v>
      </c>
      <c r="AK147" s="77" t="s">
        <v>91</v>
      </c>
      <c r="AL147" s="77"/>
      <c r="AM147" s="77"/>
    </row>
    <row r="148" spans="2:39" s="65" customFormat="1" ht="15.9" customHeight="1">
      <c r="B148" s="75">
        <f>SUBTOTAL(3,C$4:$C148)</f>
        <v>145</v>
      </c>
      <c r="C148" s="76" t="s">
        <v>73</v>
      </c>
      <c r="D148" s="77">
        <v>2010</v>
      </c>
      <c r="E148" s="77" t="s">
        <v>63</v>
      </c>
      <c r="F148" s="77">
        <v>1</v>
      </c>
      <c r="G148" s="77" t="s">
        <v>56</v>
      </c>
      <c r="H148" s="77" t="s">
        <v>56</v>
      </c>
      <c r="I148" s="79">
        <f t="shared" si="16"/>
        <v>1</v>
      </c>
      <c r="J148" s="77">
        <v>0</v>
      </c>
      <c r="K148" s="77" t="s">
        <v>56</v>
      </c>
      <c r="L148" s="77" t="s">
        <v>56</v>
      </c>
      <c r="M148" s="77">
        <f t="shared" si="17"/>
        <v>0</v>
      </c>
      <c r="N148" s="81">
        <f t="shared" si="18"/>
        <v>0</v>
      </c>
      <c r="O148" s="82" t="str">
        <f t="shared" si="19"/>
        <v>-</v>
      </c>
      <c r="P148" s="83">
        <v>0</v>
      </c>
      <c r="Q148" s="83">
        <v>0</v>
      </c>
      <c r="R148" s="83">
        <v>0</v>
      </c>
      <c r="S148" s="79">
        <f t="shared" si="20"/>
        <v>0</v>
      </c>
      <c r="T148" s="84">
        <v>0</v>
      </c>
      <c r="U148" s="84">
        <v>0</v>
      </c>
      <c r="V148" s="84">
        <v>0</v>
      </c>
      <c r="W148" s="85">
        <f t="shared" si="21"/>
        <v>0</v>
      </c>
      <c r="X148" s="86">
        <v>2</v>
      </c>
      <c r="Y148" s="86">
        <v>0</v>
      </c>
      <c r="Z148" s="86">
        <v>0</v>
      </c>
      <c r="AA148" s="88">
        <v>2</v>
      </c>
      <c r="AB148" s="89">
        <v>2</v>
      </c>
      <c r="AC148" s="89">
        <v>0</v>
      </c>
      <c r="AD148" s="89">
        <v>0</v>
      </c>
      <c r="AE148" s="90">
        <f t="shared" si="22"/>
        <v>2</v>
      </c>
      <c r="AF148" s="91">
        <v>2</v>
      </c>
      <c r="AG148" s="91">
        <v>0</v>
      </c>
      <c r="AH148" s="91">
        <v>0</v>
      </c>
      <c r="AI148" s="87">
        <f t="shared" si="23"/>
        <v>2</v>
      </c>
      <c r="AJ148" s="77" t="s">
        <v>57</v>
      </c>
      <c r="AK148" s="77" t="s">
        <v>91</v>
      </c>
      <c r="AL148" s="77"/>
      <c r="AM148" s="77"/>
    </row>
    <row r="149" spans="2:39" s="65" customFormat="1" ht="15.9" customHeight="1">
      <c r="B149" s="75">
        <f>SUBTOTAL(3,C$4:$C149)</f>
        <v>146</v>
      </c>
      <c r="C149" s="76" t="s">
        <v>74</v>
      </c>
      <c r="D149" s="77">
        <v>2018</v>
      </c>
      <c r="E149" s="77" t="s">
        <v>60</v>
      </c>
      <c r="F149" s="77">
        <v>4</v>
      </c>
      <c r="G149" s="77" t="s">
        <v>56</v>
      </c>
      <c r="H149" s="77" t="s">
        <v>56</v>
      </c>
      <c r="I149" s="79">
        <f t="shared" si="16"/>
        <v>4</v>
      </c>
      <c r="J149" s="77">
        <v>4</v>
      </c>
      <c r="K149" s="77" t="s">
        <v>56</v>
      </c>
      <c r="L149" s="77" t="s">
        <v>56</v>
      </c>
      <c r="M149" s="77">
        <f t="shared" si="17"/>
        <v>4</v>
      </c>
      <c r="N149" s="81">
        <f t="shared" si="18"/>
        <v>4</v>
      </c>
      <c r="O149" s="82" t="str">
        <f t="shared" si="19"/>
        <v>-</v>
      </c>
      <c r="P149" s="83">
        <v>4</v>
      </c>
      <c r="Q149" s="83">
        <v>0</v>
      </c>
      <c r="R149" s="83">
        <v>0</v>
      </c>
      <c r="S149" s="79">
        <f t="shared" si="20"/>
        <v>4</v>
      </c>
      <c r="T149" s="84">
        <v>4</v>
      </c>
      <c r="U149" s="84">
        <v>0</v>
      </c>
      <c r="V149" s="84">
        <v>0</v>
      </c>
      <c r="W149" s="85">
        <f t="shared" si="21"/>
        <v>4</v>
      </c>
      <c r="X149" s="86">
        <v>4</v>
      </c>
      <c r="Y149" s="86">
        <v>0</v>
      </c>
      <c r="Z149" s="86">
        <v>0</v>
      </c>
      <c r="AA149" s="88">
        <v>4</v>
      </c>
      <c r="AB149" s="89">
        <v>4</v>
      </c>
      <c r="AC149" s="89">
        <v>0</v>
      </c>
      <c r="AD149" s="89">
        <v>0</v>
      </c>
      <c r="AE149" s="90">
        <f t="shared" si="22"/>
        <v>4</v>
      </c>
      <c r="AF149" s="91">
        <v>4</v>
      </c>
      <c r="AG149" s="91">
        <v>0</v>
      </c>
      <c r="AH149" s="91">
        <v>0</v>
      </c>
      <c r="AI149" s="87">
        <f t="shared" si="23"/>
        <v>4</v>
      </c>
      <c r="AJ149" s="77" t="s">
        <v>57</v>
      </c>
      <c r="AK149" s="77" t="s">
        <v>91</v>
      </c>
      <c r="AL149" s="77"/>
      <c r="AM149" s="77"/>
    </row>
    <row r="150" spans="2:39" s="65" customFormat="1" ht="15.9" customHeight="1">
      <c r="B150" s="75">
        <f>SUBTOTAL(3,C$4:$C150)</f>
        <v>147</v>
      </c>
      <c r="C150" s="76" t="s">
        <v>75</v>
      </c>
      <c r="D150" s="77">
        <v>2010</v>
      </c>
      <c r="E150" s="77" t="s">
        <v>60</v>
      </c>
      <c r="F150" s="77">
        <v>4</v>
      </c>
      <c r="G150" s="77" t="s">
        <v>56</v>
      </c>
      <c r="H150" s="77" t="s">
        <v>56</v>
      </c>
      <c r="I150" s="79">
        <f t="shared" si="16"/>
        <v>4</v>
      </c>
      <c r="J150" s="77">
        <v>4</v>
      </c>
      <c r="K150" s="77" t="s">
        <v>56</v>
      </c>
      <c r="L150" s="77" t="s">
        <v>56</v>
      </c>
      <c r="M150" s="77">
        <f t="shared" si="17"/>
        <v>4</v>
      </c>
      <c r="N150" s="81">
        <f t="shared" si="18"/>
        <v>4</v>
      </c>
      <c r="O150" s="82" t="str">
        <f t="shared" si="19"/>
        <v>-</v>
      </c>
      <c r="P150" s="83">
        <v>4</v>
      </c>
      <c r="Q150" s="83">
        <v>0</v>
      </c>
      <c r="R150" s="83">
        <v>0</v>
      </c>
      <c r="S150" s="79">
        <f t="shared" si="20"/>
        <v>4</v>
      </c>
      <c r="T150" s="84">
        <v>4</v>
      </c>
      <c r="U150" s="84">
        <v>0</v>
      </c>
      <c r="V150" s="84">
        <v>0</v>
      </c>
      <c r="W150" s="85">
        <f t="shared" si="21"/>
        <v>4</v>
      </c>
      <c r="X150" s="86">
        <v>4</v>
      </c>
      <c r="Y150" s="86">
        <v>0</v>
      </c>
      <c r="Z150" s="86">
        <v>0</v>
      </c>
      <c r="AA150" s="88">
        <v>4</v>
      </c>
      <c r="AB150" s="89">
        <v>4</v>
      </c>
      <c r="AC150" s="89">
        <v>0</v>
      </c>
      <c r="AD150" s="89">
        <v>0</v>
      </c>
      <c r="AE150" s="90">
        <f t="shared" si="22"/>
        <v>4</v>
      </c>
      <c r="AF150" s="91">
        <v>4</v>
      </c>
      <c r="AG150" s="91">
        <v>0</v>
      </c>
      <c r="AH150" s="91">
        <v>0</v>
      </c>
      <c r="AI150" s="87">
        <f t="shared" si="23"/>
        <v>4</v>
      </c>
      <c r="AJ150" s="77" t="s">
        <v>57</v>
      </c>
      <c r="AK150" s="77" t="s">
        <v>91</v>
      </c>
      <c r="AL150" s="77"/>
      <c r="AM150" s="77"/>
    </row>
    <row r="151" spans="2:39" s="65" customFormat="1" ht="15.9" customHeight="1">
      <c r="B151" s="75">
        <f>SUBTOTAL(3,C$4:$C151)</f>
        <v>148</v>
      </c>
      <c r="C151" s="76" t="s">
        <v>76</v>
      </c>
      <c r="D151" s="77">
        <v>2010</v>
      </c>
      <c r="E151" s="77" t="s">
        <v>60</v>
      </c>
      <c r="F151" s="77">
        <v>5</v>
      </c>
      <c r="G151" s="77" t="s">
        <v>56</v>
      </c>
      <c r="H151" s="77" t="s">
        <v>56</v>
      </c>
      <c r="I151" s="79">
        <f t="shared" si="16"/>
        <v>5</v>
      </c>
      <c r="J151" s="77">
        <v>5</v>
      </c>
      <c r="K151" s="77" t="s">
        <v>56</v>
      </c>
      <c r="L151" s="77" t="s">
        <v>56</v>
      </c>
      <c r="M151" s="77">
        <f t="shared" si="17"/>
        <v>5</v>
      </c>
      <c r="N151" s="81">
        <f t="shared" si="18"/>
        <v>5</v>
      </c>
      <c r="O151" s="82" t="str">
        <f t="shared" si="19"/>
        <v>-</v>
      </c>
      <c r="P151" s="83">
        <v>5</v>
      </c>
      <c r="Q151" s="83">
        <v>0</v>
      </c>
      <c r="R151" s="83">
        <v>0</v>
      </c>
      <c r="S151" s="79">
        <f t="shared" si="20"/>
        <v>5</v>
      </c>
      <c r="T151" s="84">
        <v>4</v>
      </c>
      <c r="U151" s="84">
        <v>1</v>
      </c>
      <c r="V151" s="84">
        <v>0</v>
      </c>
      <c r="W151" s="85">
        <f t="shared" si="21"/>
        <v>5</v>
      </c>
      <c r="X151" s="86">
        <v>5</v>
      </c>
      <c r="Y151" s="86">
        <v>0</v>
      </c>
      <c r="Z151" s="86">
        <v>0</v>
      </c>
      <c r="AA151" s="88">
        <v>5</v>
      </c>
      <c r="AB151" s="89">
        <v>5</v>
      </c>
      <c r="AC151" s="89">
        <v>0</v>
      </c>
      <c r="AD151" s="89">
        <v>0</v>
      </c>
      <c r="AE151" s="90">
        <f t="shared" si="22"/>
        <v>5</v>
      </c>
      <c r="AF151" s="91">
        <v>5</v>
      </c>
      <c r="AG151" s="91">
        <v>0</v>
      </c>
      <c r="AH151" s="91">
        <v>0</v>
      </c>
      <c r="AI151" s="87">
        <f t="shared" si="23"/>
        <v>5</v>
      </c>
      <c r="AJ151" s="77" t="s">
        <v>57</v>
      </c>
      <c r="AK151" s="77" t="s">
        <v>91</v>
      </c>
      <c r="AL151" s="77" t="s">
        <v>589</v>
      </c>
      <c r="AM151" s="77"/>
    </row>
    <row r="152" spans="2:39" s="65" customFormat="1" ht="15.9" customHeight="1">
      <c r="B152" s="75">
        <f>SUBTOTAL(3,C$4:$C152)</f>
        <v>149</v>
      </c>
      <c r="C152" s="76" t="s">
        <v>77</v>
      </c>
      <c r="D152" s="77">
        <v>2025</v>
      </c>
      <c r="E152" s="77" t="s">
        <v>60</v>
      </c>
      <c r="F152" s="77" t="s">
        <v>56</v>
      </c>
      <c r="G152" s="77" t="s">
        <v>56</v>
      </c>
      <c r="H152" s="77" t="s">
        <v>56</v>
      </c>
      <c r="I152" s="79" t="str">
        <f t="shared" si="16"/>
        <v>-</v>
      </c>
      <c r="J152" s="77">
        <v>1</v>
      </c>
      <c r="K152" s="77" t="s">
        <v>56</v>
      </c>
      <c r="L152" s="77" t="s">
        <v>56</v>
      </c>
      <c r="M152" s="77">
        <f t="shared" si="17"/>
        <v>1</v>
      </c>
      <c r="N152" s="81">
        <f t="shared" si="18"/>
        <v>1</v>
      </c>
      <c r="O152" s="82" t="str">
        <f t="shared" si="19"/>
        <v>-</v>
      </c>
      <c r="P152" s="83">
        <v>1</v>
      </c>
      <c r="Q152" s="83">
        <v>0</v>
      </c>
      <c r="R152" s="83">
        <v>0</v>
      </c>
      <c r="S152" s="79">
        <f t="shared" si="20"/>
        <v>1</v>
      </c>
      <c r="T152" s="84">
        <v>1</v>
      </c>
      <c r="U152" s="84">
        <v>0</v>
      </c>
      <c r="V152" s="84">
        <v>0</v>
      </c>
      <c r="W152" s="85">
        <f t="shared" si="21"/>
        <v>1</v>
      </c>
      <c r="X152" s="86">
        <v>1</v>
      </c>
      <c r="Y152" s="86">
        <v>0</v>
      </c>
      <c r="Z152" s="86">
        <v>0</v>
      </c>
      <c r="AA152" s="88">
        <v>1</v>
      </c>
      <c r="AB152" s="89">
        <v>1</v>
      </c>
      <c r="AC152" s="89">
        <v>0</v>
      </c>
      <c r="AD152" s="89">
        <v>0</v>
      </c>
      <c r="AE152" s="90">
        <f t="shared" si="22"/>
        <v>1</v>
      </c>
      <c r="AF152" s="91">
        <v>1</v>
      </c>
      <c r="AG152" s="91">
        <v>0</v>
      </c>
      <c r="AH152" s="91">
        <v>0</v>
      </c>
      <c r="AI152" s="87">
        <f t="shared" si="23"/>
        <v>1</v>
      </c>
      <c r="AJ152" s="77" t="s">
        <v>57</v>
      </c>
      <c r="AK152" s="77" t="s">
        <v>91</v>
      </c>
      <c r="AL152" s="77"/>
      <c r="AM152" s="95">
        <v>45763</v>
      </c>
    </row>
    <row r="153" spans="2:39" s="65" customFormat="1" ht="15.9" customHeight="1">
      <c r="B153" s="75">
        <f>SUBTOTAL(3,C$4:$C153)</f>
        <v>150</v>
      </c>
      <c r="C153" s="76" t="s">
        <v>501</v>
      </c>
      <c r="D153" s="77"/>
      <c r="E153" s="77"/>
      <c r="F153" s="77" t="s">
        <v>56</v>
      </c>
      <c r="G153" s="77" t="s">
        <v>56</v>
      </c>
      <c r="H153" s="77" t="s">
        <v>56</v>
      </c>
      <c r="I153" s="79" t="str">
        <f t="shared" si="16"/>
        <v>-</v>
      </c>
      <c r="J153" s="77">
        <v>2</v>
      </c>
      <c r="K153" s="77" t="s">
        <v>56</v>
      </c>
      <c r="L153" s="77" t="s">
        <v>56</v>
      </c>
      <c r="M153" s="77">
        <f t="shared" si="17"/>
        <v>2</v>
      </c>
      <c r="N153" s="81">
        <f t="shared" si="18"/>
        <v>2</v>
      </c>
      <c r="O153" s="82" t="str">
        <f t="shared" si="19"/>
        <v>-</v>
      </c>
      <c r="P153" s="83">
        <v>2</v>
      </c>
      <c r="Q153" s="83">
        <v>0</v>
      </c>
      <c r="R153" s="83">
        <v>0</v>
      </c>
      <c r="S153" s="79">
        <f t="shared" si="20"/>
        <v>2</v>
      </c>
      <c r="T153" s="84">
        <v>2</v>
      </c>
      <c r="U153" s="84">
        <v>0</v>
      </c>
      <c r="V153" s="84">
        <v>0</v>
      </c>
      <c r="W153" s="85">
        <f t="shared" si="21"/>
        <v>2</v>
      </c>
      <c r="X153" s="86">
        <v>2</v>
      </c>
      <c r="Y153" s="86">
        <v>0</v>
      </c>
      <c r="Z153" s="86">
        <v>0</v>
      </c>
      <c r="AA153" s="88">
        <v>2</v>
      </c>
      <c r="AB153" s="89">
        <v>2</v>
      </c>
      <c r="AC153" s="89">
        <v>0</v>
      </c>
      <c r="AD153" s="89">
        <v>0</v>
      </c>
      <c r="AE153" s="90">
        <f t="shared" si="22"/>
        <v>2</v>
      </c>
      <c r="AF153" s="93">
        <v>1</v>
      </c>
      <c r="AG153" s="93">
        <v>1</v>
      </c>
      <c r="AH153" s="91">
        <v>0</v>
      </c>
      <c r="AI153" s="87">
        <f t="shared" si="23"/>
        <v>2</v>
      </c>
      <c r="AJ153" s="77" t="s">
        <v>57</v>
      </c>
      <c r="AK153" s="77" t="s">
        <v>91</v>
      </c>
      <c r="AL153" s="77"/>
      <c r="AM153" s="95"/>
    </row>
    <row r="154" spans="2:39" s="65" customFormat="1" ht="15.9" customHeight="1">
      <c r="B154" s="75">
        <f>SUBTOTAL(3,C$4:$C154)</f>
        <v>151</v>
      </c>
      <c r="C154" s="76" t="s">
        <v>54</v>
      </c>
      <c r="D154" s="77">
        <v>2010</v>
      </c>
      <c r="E154" s="77" t="s">
        <v>55</v>
      </c>
      <c r="F154" s="77">
        <v>8</v>
      </c>
      <c r="G154" s="77" t="s">
        <v>56</v>
      </c>
      <c r="H154" s="77" t="s">
        <v>56</v>
      </c>
      <c r="I154" s="79">
        <f t="shared" si="16"/>
        <v>8</v>
      </c>
      <c r="J154" s="77">
        <v>8</v>
      </c>
      <c r="K154" s="77" t="s">
        <v>56</v>
      </c>
      <c r="L154" s="77" t="s">
        <v>56</v>
      </c>
      <c r="M154" s="77">
        <f t="shared" si="17"/>
        <v>8</v>
      </c>
      <c r="N154" s="81">
        <f t="shared" si="18"/>
        <v>8</v>
      </c>
      <c r="O154" s="82" t="str">
        <f t="shared" si="19"/>
        <v>-</v>
      </c>
      <c r="P154" s="83">
        <v>8</v>
      </c>
      <c r="Q154" s="83">
        <v>0</v>
      </c>
      <c r="R154" s="83">
        <v>0</v>
      </c>
      <c r="S154" s="79">
        <f t="shared" si="20"/>
        <v>8</v>
      </c>
      <c r="T154" s="84">
        <v>8</v>
      </c>
      <c r="U154" s="84">
        <v>0</v>
      </c>
      <c r="V154" s="84">
        <v>0</v>
      </c>
      <c r="W154" s="85">
        <f t="shared" si="21"/>
        <v>8</v>
      </c>
      <c r="X154" s="86">
        <v>8</v>
      </c>
      <c r="Y154" s="86">
        <v>0</v>
      </c>
      <c r="Z154" s="86">
        <v>0</v>
      </c>
      <c r="AA154" s="88">
        <v>8</v>
      </c>
      <c r="AB154" s="89">
        <v>8</v>
      </c>
      <c r="AC154" s="89">
        <v>0</v>
      </c>
      <c r="AD154" s="89">
        <v>0</v>
      </c>
      <c r="AE154" s="90">
        <f t="shared" si="22"/>
        <v>8</v>
      </c>
      <c r="AF154" s="91">
        <v>8</v>
      </c>
      <c r="AG154" s="91">
        <v>0</v>
      </c>
      <c r="AH154" s="91">
        <v>0</v>
      </c>
      <c r="AI154" s="87">
        <f t="shared" si="23"/>
        <v>8</v>
      </c>
      <c r="AJ154" s="77" t="s">
        <v>57</v>
      </c>
      <c r="AK154" s="77" t="s">
        <v>92</v>
      </c>
      <c r="AL154" s="77"/>
      <c r="AM154" s="77"/>
    </row>
    <row r="155" spans="2:39" s="65" customFormat="1" ht="15.9" customHeight="1">
      <c r="B155" s="75">
        <f>SUBTOTAL(3,C$4:$C155)</f>
        <v>152</v>
      </c>
      <c r="C155" s="76" t="s">
        <v>59</v>
      </c>
      <c r="D155" s="77">
        <v>2015</v>
      </c>
      <c r="E155" s="77" t="s">
        <v>60</v>
      </c>
      <c r="F155" s="77">
        <v>8</v>
      </c>
      <c r="G155" s="77" t="s">
        <v>56</v>
      </c>
      <c r="H155" s="77" t="s">
        <v>56</v>
      </c>
      <c r="I155" s="79">
        <f t="shared" si="16"/>
        <v>8</v>
      </c>
      <c r="J155" s="77">
        <v>8</v>
      </c>
      <c r="K155" s="77" t="s">
        <v>56</v>
      </c>
      <c r="L155" s="77" t="s">
        <v>56</v>
      </c>
      <c r="M155" s="77">
        <f t="shared" si="17"/>
        <v>8</v>
      </c>
      <c r="N155" s="81">
        <f t="shared" si="18"/>
        <v>8</v>
      </c>
      <c r="O155" s="82" t="str">
        <f t="shared" si="19"/>
        <v>-</v>
      </c>
      <c r="P155" s="83">
        <v>8</v>
      </c>
      <c r="Q155" s="83">
        <v>0</v>
      </c>
      <c r="R155" s="83">
        <v>0</v>
      </c>
      <c r="S155" s="79">
        <f t="shared" si="20"/>
        <v>8</v>
      </c>
      <c r="T155" s="84">
        <v>8</v>
      </c>
      <c r="U155" s="84">
        <v>0</v>
      </c>
      <c r="V155" s="84">
        <v>0</v>
      </c>
      <c r="W155" s="85">
        <f t="shared" si="21"/>
        <v>8</v>
      </c>
      <c r="X155" s="86">
        <v>8</v>
      </c>
      <c r="Y155" s="86">
        <v>0</v>
      </c>
      <c r="Z155" s="86">
        <v>0</v>
      </c>
      <c r="AA155" s="88">
        <v>8</v>
      </c>
      <c r="AB155" s="89">
        <v>8</v>
      </c>
      <c r="AC155" s="89">
        <v>0</v>
      </c>
      <c r="AD155" s="89">
        <v>0</v>
      </c>
      <c r="AE155" s="90">
        <f t="shared" si="22"/>
        <v>8</v>
      </c>
      <c r="AF155" s="91">
        <v>8</v>
      </c>
      <c r="AG155" s="91">
        <v>0</v>
      </c>
      <c r="AH155" s="91">
        <v>0</v>
      </c>
      <c r="AI155" s="87">
        <f t="shared" si="23"/>
        <v>8</v>
      </c>
      <c r="AJ155" s="77" t="s">
        <v>57</v>
      </c>
      <c r="AK155" s="77" t="s">
        <v>92</v>
      </c>
      <c r="AL155" s="77"/>
      <c r="AM155" s="77"/>
    </row>
    <row r="156" spans="2:39" s="65" customFormat="1" ht="15.9" customHeight="1">
      <c r="B156" s="75">
        <f>SUBTOTAL(3,C$4:$C156)</f>
        <v>153</v>
      </c>
      <c r="C156" s="76" t="s">
        <v>61</v>
      </c>
      <c r="D156" s="78" t="s">
        <v>62</v>
      </c>
      <c r="E156" s="77" t="s">
        <v>63</v>
      </c>
      <c r="F156" s="77" t="s">
        <v>56</v>
      </c>
      <c r="G156" s="77" t="s">
        <v>56</v>
      </c>
      <c r="H156" s="77" t="s">
        <v>56</v>
      </c>
      <c r="I156" s="79" t="str">
        <f t="shared" si="16"/>
        <v>-</v>
      </c>
      <c r="J156" s="77">
        <v>8</v>
      </c>
      <c r="K156" s="77" t="s">
        <v>56</v>
      </c>
      <c r="L156" s="77" t="s">
        <v>56</v>
      </c>
      <c r="M156" s="77">
        <f t="shared" si="17"/>
        <v>8</v>
      </c>
      <c r="N156" s="81">
        <f t="shared" si="18"/>
        <v>8</v>
      </c>
      <c r="O156" s="82" t="str">
        <f t="shared" si="19"/>
        <v>-</v>
      </c>
      <c r="P156" s="83">
        <v>8</v>
      </c>
      <c r="Q156" s="83">
        <v>0</v>
      </c>
      <c r="R156" s="83">
        <v>0</v>
      </c>
      <c r="S156" s="79">
        <f t="shared" si="20"/>
        <v>8</v>
      </c>
      <c r="T156" s="84">
        <v>8</v>
      </c>
      <c r="U156" s="84">
        <v>0</v>
      </c>
      <c r="V156" s="84">
        <v>0</v>
      </c>
      <c r="W156" s="85">
        <f t="shared" si="21"/>
        <v>8</v>
      </c>
      <c r="X156" s="86">
        <v>8</v>
      </c>
      <c r="Y156" s="86">
        <v>0</v>
      </c>
      <c r="Z156" s="86">
        <v>0</v>
      </c>
      <c r="AA156" s="88">
        <v>8</v>
      </c>
      <c r="AB156" s="89">
        <v>8</v>
      </c>
      <c r="AC156" s="89">
        <v>0</v>
      </c>
      <c r="AD156" s="89">
        <v>0</v>
      </c>
      <c r="AE156" s="90">
        <f t="shared" si="22"/>
        <v>8</v>
      </c>
      <c r="AF156" s="91">
        <v>8</v>
      </c>
      <c r="AG156" s="91">
        <v>0</v>
      </c>
      <c r="AH156" s="91">
        <v>0</v>
      </c>
      <c r="AI156" s="87">
        <f t="shared" si="23"/>
        <v>8</v>
      </c>
      <c r="AJ156" s="77" t="s">
        <v>57</v>
      </c>
      <c r="AK156" s="77" t="s">
        <v>92</v>
      </c>
      <c r="AL156" s="77"/>
      <c r="AM156" s="77"/>
    </row>
    <row r="157" spans="2:39" s="65" customFormat="1" ht="15.9" customHeight="1">
      <c r="B157" s="75">
        <f>SUBTOTAL(3,C$4:$C157)</f>
        <v>154</v>
      </c>
      <c r="C157" s="76" t="s">
        <v>64</v>
      </c>
      <c r="D157" s="78" t="s">
        <v>62</v>
      </c>
      <c r="E157" s="77" t="s">
        <v>63</v>
      </c>
      <c r="F157" s="77" t="s">
        <v>56</v>
      </c>
      <c r="G157" s="77" t="s">
        <v>56</v>
      </c>
      <c r="H157" s="77" t="s">
        <v>56</v>
      </c>
      <c r="I157" s="79" t="str">
        <f t="shared" si="16"/>
        <v>-</v>
      </c>
      <c r="J157" s="77">
        <v>8</v>
      </c>
      <c r="K157" s="77" t="s">
        <v>56</v>
      </c>
      <c r="L157" s="77" t="s">
        <v>56</v>
      </c>
      <c r="M157" s="77">
        <f t="shared" si="17"/>
        <v>8</v>
      </c>
      <c r="N157" s="81">
        <f t="shared" si="18"/>
        <v>8</v>
      </c>
      <c r="O157" s="82" t="str">
        <f t="shared" si="19"/>
        <v>-</v>
      </c>
      <c r="P157" s="83">
        <v>8</v>
      </c>
      <c r="Q157" s="83">
        <v>0</v>
      </c>
      <c r="R157" s="83">
        <v>0</v>
      </c>
      <c r="S157" s="79">
        <f t="shared" si="20"/>
        <v>8</v>
      </c>
      <c r="T157" s="84">
        <v>8</v>
      </c>
      <c r="U157" s="84">
        <v>0</v>
      </c>
      <c r="V157" s="84">
        <v>0</v>
      </c>
      <c r="W157" s="85">
        <f t="shared" si="21"/>
        <v>8</v>
      </c>
      <c r="X157" s="86">
        <v>8</v>
      </c>
      <c r="Y157" s="86">
        <v>0</v>
      </c>
      <c r="Z157" s="86">
        <v>0</v>
      </c>
      <c r="AA157" s="88">
        <v>8</v>
      </c>
      <c r="AB157" s="89">
        <v>8</v>
      </c>
      <c r="AC157" s="89">
        <v>0</v>
      </c>
      <c r="AD157" s="89">
        <v>0</v>
      </c>
      <c r="AE157" s="90">
        <f t="shared" si="22"/>
        <v>8</v>
      </c>
      <c r="AF157" s="91">
        <v>8</v>
      </c>
      <c r="AG157" s="91">
        <v>0</v>
      </c>
      <c r="AH157" s="91">
        <v>0</v>
      </c>
      <c r="AI157" s="87">
        <f t="shared" si="23"/>
        <v>8</v>
      </c>
      <c r="AJ157" s="77" t="s">
        <v>57</v>
      </c>
      <c r="AK157" s="77" t="s">
        <v>92</v>
      </c>
      <c r="AL157" s="77"/>
      <c r="AM157" s="77"/>
    </row>
    <row r="158" spans="2:39" s="65" customFormat="1" ht="15.9" customHeight="1">
      <c r="B158" s="75">
        <f>SUBTOTAL(3,C$4:$C158)</f>
        <v>155</v>
      </c>
      <c r="C158" s="76" t="s">
        <v>65</v>
      </c>
      <c r="D158" s="77" t="s">
        <v>66</v>
      </c>
      <c r="E158" s="77" t="s">
        <v>67</v>
      </c>
      <c r="F158" s="77">
        <v>8</v>
      </c>
      <c r="G158" s="77" t="s">
        <v>56</v>
      </c>
      <c r="H158" s="77" t="s">
        <v>56</v>
      </c>
      <c r="I158" s="79">
        <f t="shared" si="16"/>
        <v>8</v>
      </c>
      <c r="J158" s="77">
        <v>8</v>
      </c>
      <c r="K158" s="77" t="s">
        <v>56</v>
      </c>
      <c r="L158" s="77" t="s">
        <v>56</v>
      </c>
      <c r="M158" s="77">
        <f t="shared" si="17"/>
        <v>8</v>
      </c>
      <c r="N158" s="81">
        <f t="shared" si="18"/>
        <v>8</v>
      </c>
      <c r="O158" s="82" t="str">
        <f t="shared" si="19"/>
        <v>-</v>
      </c>
      <c r="P158" s="83">
        <v>8</v>
      </c>
      <c r="Q158" s="83">
        <v>0</v>
      </c>
      <c r="R158" s="83">
        <v>0</v>
      </c>
      <c r="S158" s="79">
        <f t="shared" si="20"/>
        <v>8</v>
      </c>
      <c r="T158" s="84">
        <v>8</v>
      </c>
      <c r="U158" s="84">
        <v>0</v>
      </c>
      <c r="V158" s="84">
        <v>0</v>
      </c>
      <c r="W158" s="85">
        <f t="shared" si="21"/>
        <v>8</v>
      </c>
      <c r="X158" s="86">
        <v>8</v>
      </c>
      <c r="Y158" s="86">
        <v>0</v>
      </c>
      <c r="Z158" s="86">
        <v>0</v>
      </c>
      <c r="AA158" s="88">
        <v>8</v>
      </c>
      <c r="AB158" s="89">
        <v>8</v>
      </c>
      <c r="AC158" s="89">
        <v>0</v>
      </c>
      <c r="AD158" s="89">
        <v>0</v>
      </c>
      <c r="AE158" s="90">
        <f t="shared" si="22"/>
        <v>8</v>
      </c>
      <c r="AF158" s="91">
        <v>8</v>
      </c>
      <c r="AG158" s="91">
        <v>0</v>
      </c>
      <c r="AH158" s="91">
        <v>0</v>
      </c>
      <c r="AI158" s="87">
        <f t="shared" si="23"/>
        <v>8</v>
      </c>
      <c r="AJ158" s="77" t="s">
        <v>57</v>
      </c>
      <c r="AK158" s="77" t="s">
        <v>92</v>
      </c>
      <c r="AL158" s="77"/>
      <c r="AM158" s="77"/>
    </row>
    <row r="159" spans="2:39" s="65" customFormat="1" ht="15.9" customHeight="1">
      <c r="B159" s="75">
        <f>SUBTOTAL(3,C$4:$C159)</f>
        <v>156</v>
      </c>
      <c r="C159" s="76" t="s">
        <v>68</v>
      </c>
      <c r="D159" s="77">
        <v>2010</v>
      </c>
      <c r="E159" s="77" t="s">
        <v>55</v>
      </c>
      <c r="F159" s="77">
        <v>4</v>
      </c>
      <c r="G159" s="77" t="s">
        <v>56</v>
      </c>
      <c r="H159" s="77" t="s">
        <v>56</v>
      </c>
      <c r="I159" s="79">
        <f t="shared" si="16"/>
        <v>4</v>
      </c>
      <c r="J159" s="77">
        <v>4</v>
      </c>
      <c r="K159" s="77" t="s">
        <v>56</v>
      </c>
      <c r="L159" s="77" t="s">
        <v>56</v>
      </c>
      <c r="M159" s="77">
        <f t="shared" si="17"/>
        <v>4</v>
      </c>
      <c r="N159" s="81">
        <f t="shared" si="18"/>
        <v>4</v>
      </c>
      <c r="O159" s="82" t="str">
        <f t="shared" si="19"/>
        <v>-</v>
      </c>
      <c r="P159" s="83">
        <v>4</v>
      </c>
      <c r="Q159" s="83">
        <v>0</v>
      </c>
      <c r="R159" s="83">
        <v>0</v>
      </c>
      <c r="S159" s="79">
        <f t="shared" si="20"/>
        <v>4</v>
      </c>
      <c r="T159" s="84">
        <v>4</v>
      </c>
      <c r="U159" s="84">
        <v>0</v>
      </c>
      <c r="V159" s="84">
        <v>0</v>
      </c>
      <c r="W159" s="85">
        <f t="shared" si="21"/>
        <v>4</v>
      </c>
      <c r="X159" s="86">
        <v>4</v>
      </c>
      <c r="Y159" s="86">
        <v>0</v>
      </c>
      <c r="Z159" s="86">
        <v>0</v>
      </c>
      <c r="AA159" s="88">
        <v>4</v>
      </c>
      <c r="AB159" s="89">
        <v>4</v>
      </c>
      <c r="AC159" s="89">
        <v>0</v>
      </c>
      <c r="AD159" s="89">
        <v>0</v>
      </c>
      <c r="AE159" s="90">
        <f t="shared" si="22"/>
        <v>4</v>
      </c>
      <c r="AF159" s="91">
        <v>4</v>
      </c>
      <c r="AG159" s="91">
        <v>0</v>
      </c>
      <c r="AH159" s="91">
        <v>0</v>
      </c>
      <c r="AI159" s="87">
        <f t="shared" si="23"/>
        <v>4</v>
      </c>
      <c r="AJ159" s="77" t="s">
        <v>57</v>
      </c>
      <c r="AK159" s="77" t="s">
        <v>92</v>
      </c>
      <c r="AL159" s="77"/>
      <c r="AM159" s="77"/>
    </row>
    <row r="160" spans="2:39" s="65" customFormat="1" ht="15.9" customHeight="1">
      <c r="B160" s="75">
        <f>SUBTOTAL(3,C$4:$C160)</f>
        <v>157</v>
      </c>
      <c r="C160" s="76" t="s">
        <v>79</v>
      </c>
      <c r="D160" s="77">
        <v>2015</v>
      </c>
      <c r="E160" s="77" t="s">
        <v>55</v>
      </c>
      <c r="F160" s="77">
        <v>4</v>
      </c>
      <c r="G160" s="77" t="s">
        <v>56</v>
      </c>
      <c r="H160" s="77" t="s">
        <v>56</v>
      </c>
      <c r="I160" s="79">
        <f t="shared" si="16"/>
        <v>4</v>
      </c>
      <c r="J160" s="77">
        <v>4</v>
      </c>
      <c r="K160" s="77" t="s">
        <v>56</v>
      </c>
      <c r="L160" s="77" t="s">
        <v>56</v>
      </c>
      <c r="M160" s="77">
        <f t="shared" si="17"/>
        <v>4</v>
      </c>
      <c r="N160" s="81">
        <f t="shared" si="18"/>
        <v>4</v>
      </c>
      <c r="O160" s="82" t="str">
        <f t="shared" si="19"/>
        <v>-</v>
      </c>
      <c r="P160" s="83">
        <v>4</v>
      </c>
      <c r="Q160" s="83">
        <v>0</v>
      </c>
      <c r="R160" s="83">
        <v>0</v>
      </c>
      <c r="S160" s="79">
        <f t="shared" si="20"/>
        <v>4</v>
      </c>
      <c r="T160" s="84">
        <v>4</v>
      </c>
      <c r="U160" s="84">
        <v>0</v>
      </c>
      <c r="V160" s="84">
        <v>0</v>
      </c>
      <c r="W160" s="85">
        <f t="shared" si="21"/>
        <v>4</v>
      </c>
      <c r="X160" s="86">
        <v>4</v>
      </c>
      <c r="Y160" s="86">
        <v>0</v>
      </c>
      <c r="Z160" s="86">
        <v>0</v>
      </c>
      <c r="AA160" s="88">
        <v>4</v>
      </c>
      <c r="AB160" s="89">
        <v>4</v>
      </c>
      <c r="AC160" s="89">
        <v>0</v>
      </c>
      <c r="AD160" s="89">
        <v>0</v>
      </c>
      <c r="AE160" s="90">
        <f t="shared" si="22"/>
        <v>4</v>
      </c>
      <c r="AF160" s="91">
        <v>4</v>
      </c>
      <c r="AG160" s="91">
        <v>0</v>
      </c>
      <c r="AH160" s="91">
        <v>0</v>
      </c>
      <c r="AI160" s="87">
        <f t="shared" si="23"/>
        <v>4</v>
      </c>
      <c r="AJ160" s="77" t="s">
        <v>57</v>
      </c>
      <c r="AK160" s="77" t="s">
        <v>92</v>
      </c>
      <c r="AL160" s="77"/>
      <c r="AM160" s="77"/>
    </row>
    <row r="161" spans="2:39" s="65" customFormat="1" ht="15.9" customHeight="1">
      <c r="B161" s="75">
        <f>SUBTOTAL(3,C$4:$C161)</f>
        <v>158</v>
      </c>
      <c r="C161" s="76" t="s">
        <v>70</v>
      </c>
      <c r="D161" s="77">
        <v>2010</v>
      </c>
      <c r="E161" s="77" t="s">
        <v>71</v>
      </c>
      <c r="F161" s="77">
        <v>4</v>
      </c>
      <c r="G161" s="77" t="s">
        <v>56</v>
      </c>
      <c r="H161" s="77" t="s">
        <v>56</v>
      </c>
      <c r="I161" s="79">
        <f t="shared" si="16"/>
        <v>4</v>
      </c>
      <c r="J161" s="77">
        <v>4</v>
      </c>
      <c r="K161" s="77" t="s">
        <v>56</v>
      </c>
      <c r="L161" s="77" t="s">
        <v>56</v>
      </c>
      <c r="M161" s="77">
        <f t="shared" si="17"/>
        <v>4</v>
      </c>
      <c r="N161" s="81">
        <f t="shared" si="18"/>
        <v>4</v>
      </c>
      <c r="O161" s="82" t="str">
        <f t="shared" si="19"/>
        <v>-</v>
      </c>
      <c r="P161" s="83">
        <v>4</v>
      </c>
      <c r="Q161" s="83">
        <v>0</v>
      </c>
      <c r="R161" s="83">
        <v>0</v>
      </c>
      <c r="S161" s="79">
        <f t="shared" si="20"/>
        <v>4</v>
      </c>
      <c r="T161" s="84">
        <v>4</v>
      </c>
      <c r="U161" s="84">
        <v>0</v>
      </c>
      <c r="V161" s="84">
        <v>0</v>
      </c>
      <c r="W161" s="85">
        <f t="shared" si="21"/>
        <v>4</v>
      </c>
      <c r="X161" s="86">
        <v>4</v>
      </c>
      <c r="Y161" s="86">
        <v>0</v>
      </c>
      <c r="Z161" s="86">
        <v>0</v>
      </c>
      <c r="AA161" s="88">
        <v>4</v>
      </c>
      <c r="AB161" s="89">
        <v>4</v>
      </c>
      <c r="AC161" s="89">
        <v>0</v>
      </c>
      <c r="AD161" s="89">
        <v>0</v>
      </c>
      <c r="AE161" s="90">
        <f t="shared" si="22"/>
        <v>4</v>
      </c>
      <c r="AF161" s="91">
        <v>4</v>
      </c>
      <c r="AG161" s="91">
        <v>0</v>
      </c>
      <c r="AH161" s="91">
        <v>0</v>
      </c>
      <c r="AI161" s="87">
        <f t="shared" si="23"/>
        <v>4</v>
      </c>
      <c r="AJ161" s="77" t="s">
        <v>57</v>
      </c>
      <c r="AK161" s="77" t="s">
        <v>92</v>
      </c>
      <c r="AL161" s="77"/>
      <c r="AM161" s="77"/>
    </row>
    <row r="162" spans="2:39" s="65" customFormat="1" ht="15.9" customHeight="1">
      <c r="B162" s="75">
        <f>SUBTOTAL(3,C$4:$C162)</f>
        <v>159</v>
      </c>
      <c r="C162" s="76" t="s">
        <v>72</v>
      </c>
      <c r="D162" s="77">
        <v>2010</v>
      </c>
      <c r="E162" s="77" t="s">
        <v>67</v>
      </c>
      <c r="F162" s="77">
        <v>2</v>
      </c>
      <c r="G162" s="77" t="s">
        <v>56</v>
      </c>
      <c r="H162" s="77" t="s">
        <v>56</v>
      </c>
      <c r="I162" s="79">
        <f t="shared" si="16"/>
        <v>2</v>
      </c>
      <c r="J162" s="77">
        <v>2</v>
      </c>
      <c r="K162" s="77" t="s">
        <v>56</v>
      </c>
      <c r="L162" s="77" t="s">
        <v>56</v>
      </c>
      <c r="M162" s="77">
        <f t="shared" si="17"/>
        <v>2</v>
      </c>
      <c r="N162" s="81">
        <f t="shared" si="18"/>
        <v>2</v>
      </c>
      <c r="O162" s="82" t="str">
        <f t="shared" si="19"/>
        <v>-</v>
      </c>
      <c r="P162" s="83">
        <v>2</v>
      </c>
      <c r="Q162" s="83">
        <v>0</v>
      </c>
      <c r="R162" s="83">
        <v>0</v>
      </c>
      <c r="S162" s="79">
        <f t="shared" si="20"/>
        <v>2</v>
      </c>
      <c r="T162" s="84">
        <v>2</v>
      </c>
      <c r="U162" s="84">
        <v>0</v>
      </c>
      <c r="V162" s="84">
        <v>0</v>
      </c>
      <c r="W162" s="85">
        <f t="shared" si="21"/>
        <v>2</v>
      </c>
      <c r="X162" s="86">
        <v>2</v>
      </c>
      <c r="Y162" s="86">
        <v>0</v>
      </c>
      <c r="Z162" s="86">
        <v>0</v>
      </c>
      <c r="AA162" s="88">
        <v>2</v>
      </c>
      <c r="AB162" s="89">
        <v>2</v>
      </c>
      <c r="AC162" s="89">
        <v>0</v>
      </c>
      <c r="AD162" s="89">
        <v>0</v>
      </c>
      <c r="AE162" s="90">
        <f t="shared" si="22"/>
        <v>2</v>
      </c>
      <c r="AF162" s="91">
        <v>2</v>
      </c>
      <c r="AG162" s="91">
        <v>0</v>
      </c>
      <c r="AH162" s="91">
        <v>0</v>
      </c>
      <c r="AI162" s="87">
        <f t="shared" si="23"/>
        <v>2</v>
      </c>
      <c r="AJ162" s="77" t="s">
        <v>57</v>
      </c>
      <c r="AK162" s="77" t="s">
        <v>92</v>
      </c>
      <c r="AL162" s="77"/>
      <c r="AM162" s="77"/>
    </row>
    <row r="163" spans="2:39" s="65" customFormat="1" ht="15.9" customHeight="1">
      <c r="B163" s="75">
        <f>SUBTOTAL(3,C$4:$C163)</f>
        <v>160</v>
      </c>
      <c r="C163" s="76" t="s">
        <v>73</v>
      </c>
      <c r="D163" s="77">
        <v>2010</v>
      </c>
      <c r="E163" s="77" t="s">
        <v>63</v>
      </c>
      <c r="F163" s="77">
        <v>1</v>
      </c>
      <c r="G163" s="77" t="s">
        <v>56</v>
      </c>
      <c r="H163" s="77" t="s">
        <v>56</v>
      </c>
      <c r="I163" s="79">
        <f t="shared" si="16"/>
        <v>1</v>
      </c>
      <c r="J163" s="77">
        <v>1</v>
      </c>
      <c r="K163" s="77" t="s">
        <v>56</v>
      </c>
      <c r="L163" s="77" t="s">
        <v>56</v>
      </c>
      <c r="M163" s="77">
        <f t="shared" si="17"/>
        <v>1</v>
      </c>
      <c r="N163" s="81">
        <f t="shared" si="18"/>
        <v>1</v>
      </c>
      <c r="O163" s="82" t="str">
        <f t="shared" si="19"/>
        <v>-</v>
      </c>
      <c r="P163" s="83">
        <v>1</v>
      </c>
      <c r="Q163" s="83">
        <v>0</v>
      </c>
      <c r="R163" s="83">
        <v>0</v>
      </c>
      <c r="S163" s="79">
        <f t="shared" si="20"/>
        <v>1</v>
      </c>
      <c r="T163" s="84">
        <v>1</v>
      </c>
      <c r="U163" s="84">
        <v>0</v>
      </c>
      <c r="V163" s="84">
        <v>0</v>
      </c>
      <c r="W163" s="85">
        <f t="shared" si="21"/>
        <v>1</v>
      </c>
      <c r="X163" s="86">
        <v>2</v>
      </c>
      <c r="Y163" s="86">
        <v>0</v>
      </c>
      <c r="Z163" s="86">
        <v>0</v>
      </c>
      <c r="AA163" s="88">
        <v>2</v>
      </c>
      <c r="AB163" s="89">
        <v>2</v>
      </c>
      <c r="AC163" s="89">
        <v>0</v>
      </c>
      <c r="AD163" s="89">
        <v>0</v>
      </c>
      <c r="AE163" s="90">
        <f t="shared" si="22"/>
        <v>2</v>
      </c>
      <c r="AF163" s="91">
        <v>2</v>
      </c>
      <c r="AG163" s="91">
        <v>0</v>
      </c>
      <c r="AH163" s="91">
        <v>0</v>
      </c>
      <c r="AI163" s="87">
        <f t="shared" si="23"/>
        <v>2</v>
      </c>
      <c r="AJ163" s="77" t="s">
        <v>57</v>
      </c>
      <c r="AK163" s="77" t="s">
        <v>92</v>
      </c>
      <c r="AL163" s="77"/>
      <c r="AM163" s="77"/>
    </row>
    <row r="164" spans="2:39" s="65" customFormat="1" ht="15.9" customHeight="1">
      <c r="B164" s="75">
        <f>SUBTOTAL(3,C$4:$C164)</f>
        <v>161</v>
      </c>
      <c r="C164" s="76" t="s">
        <v>74</v>
      </c>
      <c r="D164" s="77">
        <v>2018</v>
      </c>
      <c r="E164" s="77" t="s">
        <v>60</v>
      </c>
      <c r="F164" s="77">
        <v>4</v>
      </c>
      <c r="G164" s="77" t="s">
        <v>56</v>
      </c>
      <c r="H164" s="77" t="s">
        <v>56</v>
      </c>
      <c r="I164" s="79">
        <f t="shared" si="16"/>
        <v>4</v>
      </c>
      <c r="J164" s="77">
        <v>4</v>
      </c>
      <c r="K164" s="77" t="s">
        <v>56</v>
      </c>
      <c r="L164" s="77" t="s">
        <v>56</v>
      </c>
      <c r="M164" s="77">
        <f t="shared" si="17"/>
        <v>4</v>
      </c>
      <c r="N164" s="81">
        <f t="shared" si="18"/>
        <v>4</v>
      </c>
      <c r="O164" s="82" t="str">
        <f t="shared" si="19"/>
        <v>-</v>
      </c>
      <c r="P164" s="83">
        <v>4</v>
      </c>
      <c r="Q164" s="83">
        <v>0</v>
      </c>
      <c r="R164" s="83">
        <v>0</v>
      </c>
      <c r="S164" s="79">
        <f t="shared" si="20"/>
        <v>4</v>
      </c>
      <c r="T164" s="84">
        <v>4</v>
      </c>
      <c r="U164" s="84">
        <v>0</v>
      </c>
      <c r="V164" s="84">
        <v>0</v>
      </c>
      <c r="W164" s="85">
        <f t="shared" si="21"/>
        <v>4</v>
      </c>
      <c r="X164" s="86">
        <v>4</v>
      </c>
      <c r="Y164" s="86">
        <v>0</v>
      </c>
      <c r="Z164" s="86">
        <v>0</v>
      </c>
      <c r="AA164" s="88">
        <v>4</v>
      </c>
      <c r="AB164" s="89">
        <v>4</v>
      </c>
      <c r="AC164" s="89">
        <v>0</v>
      </c>
      <c r="AD164" s="89">
        <v>0</v>
      </c>
      <c r="AE164" s="90">
        <f t="shared" si="22"/>
        <v>4</v>
      </c>
      <c r="AF164" s="91">
        <v>4</v>
      </c>
      <c r="AG164" s="91">
        <v>0</v>
      </c>
      <c r="AH164" s="91">
        <v>0</v>
      </c>
      <c r="AI164" s="87">
        <f t="shared" si="23"/>
        <v>4</v>
      </c>
      <c r="AJ164" s="77" t="s">
        <v>57</v>
      </c>
      <c r="AK164" s="77" t="s">
        <v>92</v>
      </c>
      <c r="AL164" s="77"/>
      <c r="AM164" s="77"/>
    </row>
    <row r="165" spans="2:39" s="65" customFormat="1" ht="15.9" customHeight="1">
      <c r="B165" s="75">
        <f>SUBTOTAL(3,C$4:$C165)</f>
        <v>162</v>
      </c>
      <c r="C165" s="76" t="s">
        <v>75</v>
      </c>
      <c r="D165" s="77">
        <v>2010</v>
      </c>
      <c r="E165" s="77" t="s">
        <v>60</v>
      </c>
      <c r="F165" s="77">
        <v>4</v>
      </c>
      <c r="G165" s="77" t="s">
        <v>56</v>
      </c>
      <c r="H165" s="77" t="s">
        <v>56</v>
      </c>
      <c r="I165" s="79">
        <f t="shared" si="16"/>
        <v>4</v>
      </c>
      <c r="J165" s="77">
        <v>4</v>
      </c>
      <c r="K165" s="77" t="s">
        <v>56</v>
      </c>
      <c r="L165" s="77" t="s">
        <v>56</v>
      </c>
      <c r="M165" s="77">
        <f t="shared" si="17"/>
        <v>4</v>
      </c>
      <c r="N165" s="81">
        <f t="shared" si="18"/>
        <v>4</v>
      </c>
      <c r="O165" s="82" t="str">
        <f t="shared" si="19"/>
        <v>-</v>
      </c>
      <c r="P165" s="83">
        <v>4</v>
      </c>
      <c r="Q165" s="83">
        <v>0</v>
      </c>
      <c r="R165" s="83">
        <v>0</v>
      </c>
      <c r="S165" s="79">
        <f t="shared" si="20"/>
        <v>4</v>
      </c>
      <c r="T165" s="84">
        <v>4</v>
      </c>
      <c r="U165" s="84">
        <v>0</v>
      </c>
      <c r="V165" s="84">
        <v>0</v>
      </c>
      <c r="W165" s="85">
        <f t="shared" si="21"/>
        <v>4</v>
      </c>
      <c r="X165" s="86">
        <v>4</v>
      </c>
      <c r="Y165" s="86">
        <v>0</v>
      </c>
      <c r="Z165" s="86">
        <v>0</v>
      </c>
      <c r="AA165" s="88">
        <v>4</v>
      </c>
      <c r="AB165" s="89">
        <v>4</v>
      </c>
      <c r="AC165" s="89">
        <v>0</v>
      </c>
      <c r="AD165" s="89">
        <v>0</v>
      </c>
      <c r="AE165" s="90">
        <f t="shared" si="22"/>
        <v>4</v>
      </c>
      <c r="AF165" s="91">
        <v>4</v>
      </c>
      <c r="AG165" s="91">
        <v>0</v>
      </c>
      <c r="AH165" s="91">
        <v>0</v>
      </c>
      <c r="AI165" s="87">
        <f t="shared" si="23"/>
        <v>4</v>
      </c>
      <c r="AJ165" s="77" t="s">
        <v>57</v>
      </c>
      <c r="AK165" s="77" t="s">
        <v>92</v>
      </c>
      <c r="AL165" s="77"/>
      <c r="AM165" s="77"/>
    </row>
    <row r="166" spans="2:39" s="65" customFormat="1" ht="15.9" customHeight="1">
      <c r="B166" s="75">
        <f>SUBTOTAL(3,C$4:$C166)</f>
        <v>163</v>
      </c>
      <c r="C166" s="76" t="s">
        <v>76</v>
      </c>
      <c r="D166" s="77">
        <v>2010</v>
      </c>
      <c r="E166" s="77" t="s">
        <v>60</v>
      </c>
      <c r="F166" s="77">
        <v>5</v>
      </c>
      <c r="G166" s="77" t="s">
        <v>56</v>
      </c>
      <c r="H166" s="77" t="s">
        <v>56</v>
      </c>
      <c r="I166" s="79">
        <f t="shared" si="16"/>
        <v>5</v>
      </c>
      <c r="J166" s="77">
        <v>5</v>
      </c>
      <c r="K166" s="77" t="s">
        <v>56</v>
      </c>
      <c r="L166" s="77" t="s">
        <v>56</v>
      </c>
      <c r="M166" s="77">
        <f t="shared" si="17"/>
        <v>5</v>
      </c>
      <c r="N166" s="81">
        <f t="shared" si="18"/>
        <v>5</v>
      </c>
      <c r="O166" s="82" t="str">
        <f t="shared" si="19"/>
        <v>-</v>
      </c>
      <c r="P166" s="83">
        <v>5</v>
      </c>
      <c r="Q166" s="83">
        <v>0</v>
      </c>
      <c r="R166" s="83">
        <v>0</v>
      </c>
      <c r="S166" s="79">
        <f t="shared" si="20"/>
        <v>5</v>
      </c>
      <c r="T166" s="84">
        <v>4</v>
      </c>
      <c r="U166" s="84">
        <v>1</v>
      </c>
      <c r="V166" s="84">
        <v>0</v>
      </c>
      <c r="W166" s="85">
        <f t="shared" si="21"/>
        <v>5</v>
      </c>
      <c r="X166" s="86">
        <v>5</v>
      </c>
      <c r="Y166" s="86">
        <v>0</v>
      </c>
      <c r="Z166" s="86">
        <v>0</v>
      </c>
      <c r="AA166" s="88">
        <v>5</v>
      </c>
      <c r="AB166" s="89">
        <v>5</v>
      </c>
      <c r="AC166" s="89">
        <v>0</v>
      </c>
      <c r="AD166" s="89">
        <v>0</v>
      </c>
      <c r="AE166" s="90">
        <f t="shared" si="22"/>
        <v>5</v>
      </c>
      <c r="AF166" s="93">
        <v>2</v>
      </c>
      <c r="AG166" s="93">
        <v>3</v>
      </c>
      <c r="AH166" s="91">
        <v>0</v>
      </c>
      <c r="AI166" s="87">
        <f t="shared" si="23"/>
        <v>5</v>
      </c>
      <c r="AJ166" s="77" t="s">
        <v>57</v>
      </c>
      <c r="AK166" s="77" t="s">
        <v>92</v>
      </c>
      <c r="AL166" s="77" t="s">
        <v>589</v>
      </c>
      <c r="AM166" s="77"/>
    </row>
    <row r="167" spans="2:39" s="65" customFormat="1" ht="15.9" customHeight="1">
      <c r="B167" s="75">
        <f>SUBTOTAL(3,C$4:$C167)</f>
        <v>164</v>
      </c>
      <c r="C167" s="76" t="s">
        <v>77</v>
      </c>
      <c r="D167" s="77">
        <v>2025</v>
      </c>
      <c r="E167" s="77" t="s">
        <v>60</v>
      </c>
      <c r="F167" s="77" t="s">
        <v>56</v>
      </c>
      <c r="G167" s="77" t="s">
        <v>56</v>
      </c>
      <c r="H167" s="77" t="s">
        <v>56</v>
      </c>
      <c r="I167" s="79" t="str">
        <f t="shared" si="16"/>
        <v>-</v>
      </c>
      <c r="J167" s="77">
        <v>1</v>
      </c>
      <c r="K167" s="77" t="s">
        <v>56</v>
      </c>
      <c r="L167" s="77" t="s">
        <v>56</v>
      </c>
      <c r="M167" s="77">
        <f t="shared" si="17"/>
        <v>1</v>
      </c>
      <c r="N167" s="81">
        <f t="shared" si="18"/>
        <v>1</v>
      </c>
      <c r="O167" s="82" t="str">
        <f t="shared" si="19"/>
        <v>-</v>
      </c>
      <c r="P167" s="83">
        <v>1</v>
      </c>
      <c r="Q167" s="83">
        <v>0</v>
      </c>
      <c r="R167" s="83">
        <v>0</v>
      </c>
      <c r="S167" s="79">
        <f t="shared" si="20"/>
        <v>1</v>
      </c>
      <c r="T167" s="84">
        <v>1</v>
      </c>
      <c r="U167" s="84">
        <v>0</v>
      </c>
      <c r="V167" s="84">
        <v>0</v>
      </c>
      <c r="W167" s="85">
        <f t="shared" si="21"/>
        <v>1</v>
      </c>
      <c r="X167" s="86">
        <v>1</v>
      </c>
      <c r="Y167" s="86">
        <v>0</v>
      </c>
      <c r="Z167" s="86">
        <v>0</v>
      </c>
      <c r="AA167" s="88">
        <v>1</v>
      </c>
      <c r="AB167" s="89">
        <v>1</v>
      </c>
      <c r="AC167" s="89">
        <v>0</v>
      </c>
      <c r="AD167" s="89">
        <v>0</v>
      </c>
      <c r="AE167" s="90">
        <f t="shared" si="22"/>
        <v>1</v>
      </c>
      <c r="AF167" s="91">
        <v>1</v>
      </c>
      <c r="AG167" s="91">
        <v>0</v>
      </c>
      <c r="AH167" s="91">
        <v>0</v>
      </c>
      <c r="AI167" s="87">
        <f t="shared" si="23"/>
        <v>1</v>
      </c>
      <c r="AJ167" s="77" t="s">
        <v>57</v>
      </c>
      <c r="AK167" s="77" t="s">
        <v>92</v>
      </c>
      <c r="AL167" s="77"/>
      <c r="AM167" s="95">
        <v>45763</v>
      </c>
    </row>
    <row r="168" spans="2:39" s="65" customFormat="1" ht="15.9" customHeight="1">
      <c r="B168" s="75">
        <f>SUBTOTAL(3,C$4:$C168)</f>
        <v>165</v>
      </c>
      <c r="C168" s="76" t="s">
        <v>501</v>
      </c>
      <c r="D168" s="77"/>
      <c r="E168" s="77"/>
      <c r="F168" s="77" t="s">
        <v>56</v>
      </c>
      <c r="G168" s="77" t="s">
        <v>56</v>
      </c>
      <c r="H168" s="77" t="s">
        <v>56</v>
      </c>
      <c r="I168" s="79" t="str">
        <f t="shared" si="16"/>
        <v>-</v>
      </c>
      <c r="J168" s="77">
        <v>2</v>
      </c>
      <c r="K168" s="77" t="s">
        <v>56</v>
      </c>
      <c r="L168" s="77" t="s">
        <v>56</v>
      </c>
      <c r="M168" s="77">
        <f t="shared" si="17"/>
        <v>2</v>
      </c>
      <c r="N168" s="81">
        <f t="shared" si="18"/>
        <v>2</v>
      </c>
      <c r="O168" s="82" t="str">
        <f t="shared" si="19"/>
        <v>-</v>
      </c>
      <c r="P168" s="83">
        <v>2</v>
      </c>
      <c r="Q168" s="83">
        <v>0</v>
      </c>
      <c r="R168" s="83">
        <v>0</v>
      </c>
      <c r="S168" s="79">
        <f t="shared" si="20"/>
        <v>2</v>
      </c>
      <c r="T168" s="84">
        <v>2</v>
      </c>
      <c r="U168" s="84">
        <v>0</v>
      </c>
      <c r="V168" s="84">
        <v>0</v>
      </c>
      <c r="W168" s="85">
        <f t="shared" si="21"/>
        <v>2</v>
      </c>
      <c r="X168" s="86">
        <v>2</v>
      </c>
      <c r="Y168" s="86">
        <v>0</v>
      </c>
      <c r="Z168" s="86">
        <v>0</v>
      </c>
      <c r="AA168" s="88">
        <v>2</v>
      </c>
      <c r="AB168" s="89">
        <v>2</v>
      </c>
      <c r="AC168" s="89">
        <v>0</v>
      </c>
      <c r="AD168" s="89">
        <v>0</v>
      </c>
      <c r="AE168" s="90">
        <f t="shared" si="22"/>
        <v>2</v>
      </c>
      <c r="AF168" s="91">
        <v>2</v>
      </c>
      <c r="AG168" s="91">
        <v>0</v>
      </c>
      <c r="AH168" s="91">
        <v>0</v>
      </c>
      <c r="AI168" s="87">
        <f t="shared" si="23"/>
        <v>2</v>
      </c>
      <c r="AJ168" s="77" t="s">
        <v>57</v>
      </c>
      <c r="AK168" s="77" t="s">
        <v>92</v>
      </c>
      <c r="AL168" s="77"/>
      <c r="AM168" s="95"/>
    </row>
    <row r="169" spans="2:39" s="65" customFormat="1" ht="15.9" customHeight="1">
      <c r="B169" s="75">
        <f>SUBTOTAL(3,C$4:$C169)</f>
        <v>166</v>
      </c>
      <c r="C169" s="76" t="s">
        <v>79</v>
      </c>
      <c r="D169" s="77">
        <v>2015</v>
      </c>
      <c r="E169" s="77" t="s">
        <v>55</v>
      </c>
      <c r="F169" s="77">
        <v>2</v>
      </c>
      <c r="G169" s="77" t="s">
        <v>56</v>
      </c>
      <c r="H169" s="77" t="s">
        <v>56</v>
      </c>
      <c r="I169" s="79">
        <f t="shared" si="16"/>
        <v>2</v>
      </c>
      <c r="J169" s="98">
        <v>2</v>
      </c>
      <c r="K169" s="98" t="s">
        <v>56</v>
      </c>
      <c r="L169" s="98" t="s">
        <v>56</v>
      </c>
      <c r="M169" s="98">
        <f t="shared" si="17"/>
        <v>2</v>
      </c>
      <c r="N169" s="81">
        <f t="shared" si="18"/>
        <v>2</v>
      </c>
      <c r="O169" s="82" t="str">
        <f t="shared" si="19"/>
        <v>-</v>
      </c>
      <c r="P169" s="83">
        <v>2</v>
      </c>
      <c r="Q169" s="83">
        <v>0</v>
      </c>
      <c r="R169" s="83">
        <v>0</v>
      </c>
      <c r="S169" s="79">
        <f t="shared" si="20"/>
        <v>2</v>
      </c>
      <c r="T169" s="84">
        <v>2</v>
      </c>
      <c r="U169" s="84">
        <v>0</v>
      </c>
      <c r="V169" s="84">
        <v>0</v>
      </c>
      <c r="W169" s="85">
        <f t="shared" si="21"/>
        <v>2</v>
      </c>
      <c r="X169" s="86">
        <v>2</v>
      </c>
      <c r="Y169" s="86">
        <v>0</v>
      </c>
      <c r="Z169" s="86">
        <v>0</v>
      </c>
      <c r="AA169" s="88">
        <v>2</v>
      </c>
      <c r="AB169" s="89">
        <v>2</v>
      </c>
      <c r="AC169" s="89">
        <v>0</v>
      </c>
      <c r="AD169" s="89">
        <v>0</v>
      </c>
      <c r="AE169" s="90">
        <f t="shared" si="22"/>
        <v>2</v>
      </c>
      <c r="AF169" s="91">
        <v>2</v>
      </c>
      <c r="AG169" s="91">
        <v>0</v>
      </c>
      <c r="AH169" s="91">
        <v>0</v>
      </c>
      <c r="AI169" s="87">
        <f t="shared" si="23"/>
        <v>2</v>
      </c>
      <c r="AJ169" s="77" t="s">
        <v>96</v>
      </c>
      <c r="AK169" s="77" t="s">
        <v>96</v>
      </c>
      <c r="AL169" s="77"/>
      <c r="AM169" s="77"/>
    </row>
    <row r="170" spans="2:39" s="65" customFormat="1" ht="15.9" customHeight="1">
      <c r="B170" s="75">
        <f>SUBTOTAL(3,C$4:$C170)</f>
        <v>167</v>
      </c>
      <c r="C170" s="76" t="s">
        <v>97</v>
      </c>
      <c r="D170" s="77">
        <v>2010</v>
      </c>
      <c r="E170" s="77" t="s">
        <v>55</v>
      </c>
      <c r="F170" s="77">
        <v>8</v>
      </c>
      <c r="G170" s="77" t="s">
        <v>56</v>
      </c>
      <c r="H170" s="77" t="s">
        <v>56</v>
      </c>
      <c r="I170" s="79">
        <f t="shared" si="16"/>
        <v>8</v>
      </c>
      <c r="J170" s="98">
        <v>8</v>
      </c>
      <c r="K170" s="98" t="s">
        <v>56</v>
      </c>
      <c r="L170" s="98" t="s">
        <v>56</v>
      </c>
      <c r="M170" s="98">
        <f t="shared" si="17"/>
        <v>8</v>
      </c>
      <c r="N170" s="81">
        <f t="shared" si="18"/>
        <v>8</v>
      </c>
      <c r="O170" s="82" t="str">
        <f t="shared" si="19"/>
        <v>-</v>
      </c>
      <c r="P170" s="83">
        <v>8</v>
      </c>
      <c r="Q170" s="83">
        <v>0</v>
      </c>
      <c r="R170" s="83">
        <v>0</v>
      </c>
      <c r="S170" s="79">
        <f t="shared" si="20"/>
        <v>8</v>
      </c>
      <c r="T170" s="84">
        <v>8</v>
      </c>
      <c r="U170" s="84">
        <v>0</v>
      </c>
      <c r="V170" s="84">
        <v>0</v>
      </c>
      <c r="W170" s="85">
        <f t="shared" si="21"/>
        <v>8</v>
      </c>
      <c r="X170" s="86">
        <v>8</v>
      </c>
      <c r="Y170" s="86">
        <v>0</v>
      </c>
      <c r="Z170" s="86">
        <v>0</v>
      </c>
      <c r="AA170" s="88">
        <v>8</v>
      </c>
      <c r="AB170" s="89">
        <v>8</v>
      </c>
      <c r="AC170" s="89">
        <v>0</v>
      </c>
      <c r="AD170" s="89">
        <v>0</v>
      </c>
      <c r="AE170" s="90">
        <f t="shared" si="22"/>
        <v>8</v>
      </c>
      <c r="AF170" s="91">
        <v>8</v>
      </c>
      <c r="AG170" s="91">
        <v>0</v>
      </c>
      <c r="AH170" s="91">
        <v>0</v>
      </c>
      <c r="AI170" s="87">
        <f t="shared" si="23"/>
        <v>8</v>
      </c>
      <c r="AJ170" s="77" t="s">
        <v>96</v>
      </c>
      <c r="AK170" s="77" t="s">
        <v>96</v>
      </c>
      <c r="AL170" s="77"/>
      <c r="AM170" s="77"/>
    </row>
    <row r="171" spans="2:39" s="65" customFormat="1" ht="15.9" customHeight="1">
      <c r="B171" s="75">
        <f>SUBTOTAL(3,C$4:$C171)</f>
        <v>168</v>
      </c>
      <c r="C171" s="76" t="s">
        <v>98</v>
      </c>
      <c r="D171" s="77">
        <v>2010</v>
      </c>
      <c r="E171" s="77" t="s">
        <v>55</v>
      </c>
      <c r="F171" s="77">
        <v>1</v>
      </c>
      <c r="G171" s="77" t="s">
        <v>56</v>
      </c>
      <c r="H171" s="77" t="s">
        <v>56</v>
      </c>
      <c r="I171" s="79">
        <f t="shared" si="16"/>
        <v>1</v>
      </c>
      <c r="J171" s="98">
        <v>1</v>
      </c>
      <c r="K171" s="98" t="s">
        <v>56</v>
      </c>
      <c r="L171" s="98" t="s">
        <v>56</v>
      </c>
      <c r="M171" s="98">
        <f t="shared" si="17"/>
        <v>1</v>
      </c>
      <c r="N171" s="81">
        <f t="shared" si="18"/>
        <v>1</v>
      </c>
      <c r="O171" s="82" t="str">
        <f t="shared" si="19"/>
        <v>-</v>
      </c>
      <c r="P171" s="83">
        <v>1</v>
      </c>
      <c r="Q171" s="83">
        <v>0</v>
      </c>
      <c r="R171" s="83">
        <v>0</v>
      </c>
      <c r="S171" s="79">
        <f t="shared" si="20"/>
        <v>1</v>
      </c>
      <c r="T171" s="84">
        <v>1</v>
      </c>
      <c r="U171" s="84">
        <v>0</v>
      </c>
      <c r="V171" s="84">
        <v>0</v>
      </c>
      <c r="W171" s="85">
        <f t="shared" si="21"/>
        <v>1</v>
      </c>
      <c r="X171" s="86">
        <v>1</v>
      </c>
      <c r="Y171" s="86">
        <v>0</v>
      </c>
      <c r="Z171" s="86">
        <v>0</v>
      </c>
      <c r="AA171" s="88">
        <v>1</v>
      </c>
      <c r="AB171" s="89">
        <v>1</v>
      </c>
      <c r="AC171" s="89">
        <v>0</v>
      </c>
      <c r="AD171" s="89">
        <v>0</v>
      </c>
      <c r="AE171" s="90">
        <f t="shared" si="22"/>
        <v>1</v>
      </c>
      <c r="AF171" s="91">
        <v>1</v>
      </c>
      <c r="AG171" s="91">
        <v>0</v>
      </c>
      <c r="AH171" s="91">
        <v>0</v>
      </c>
      <c r="AI171" s="87">
        <f t="shared" si="23"/>
        <v>1</v>
      </c>
      <c r="AJ171" s="77" t="s">
        <v>96</v>
      </c>
      <c r="AK171" s="77" t="s">
        <v>96</v>
      </c>
      <c r="AL171" s="77"/>
      <c r="AM171" s="77"/>
    </row>
    <row r="172" spans="2:39" s="65" customFormat="1" ht="15.9" customHeight="1">
      <c r="B172" s="75">
        <f>SUBTOTAL(3,C$4:$C172)</f>
        <v>169</v>
      </c>
      <c r="C172" s="76" t="s">
        <v>99</v>
      </c>
      <c r="D172" s="77">
        <v>2010</v>
      </c>
      <c r="E172" s="77" t="s">
        <v>55</v>
      </c>
      <c r="F172" s="77">
        <v>42</v>
      </c>
      <c r="G172" s="77" t="s">
        <v>56</v>
      </c>
      <c r="H172" s="77" t="s">
        <v>56</v>
      </c>
      <c r="I172" s="79">
        <f t="shared" si="16"/>
        <v>42</v>
      </c>
      <c r="J172" s="98">
        <v>48</v>
      </c>
      <c r="K172" s="98" t="s">
        <v>56</v>
      </c>
      <c r="L172" s="98" t="s">
        <v>56</v>
      </c>
      <c r="M172" s="98">
        <f t="shared" si="17"/>
        <v>48</v>
      </c>
      <c r="N172" s="81">
        <f t="shared" si="18"/>
        <v>48</v>
      </c>
      <c r="O172" s="82" t="str">
        <f t="shared" si="19"/>
        <v>-</v>
      </c>
      <c r="P172" s="83">
        <v>48</v>
      </c>
      <c r="Q172" s="83">
        <v>0</v>
      </c>
      <c r="R172" s="83">
        <v>0</v>
      </c>
      <c r="S172" s="79">
        <f t="shared" si="20"/>
        <v>48</v>
      </c>
      <c r="T172" s="84">
        <v>48</v>
      </c>
      <c r="U172" s="84">
        <v>0</v>
      </c>
      <c r="V172" s="84">
        <v>0</v>
      </c>
      <c r="W172" s="85">
        <f t="shared" si="21"/>
        <v>48</v>
      </c>
      <c r="X172" s="86">
        <v>48</v>
      </c>
      <c r="Y172" s="86">
        <v>0</v>
      </c>
      <c r="Z172" s="86">
        <v>0</v>
      </c>
      <c r="AA172" s="88">
        <v>48</v>
      </c>
      <c r="AB172" s="89">
        <v>48</v>
      </c>
      <c r="AC172" s="89">
        <v>0</v>
      </c>
      <c r="AD172" s="89">
        <v>0</v>
      </c>
      <c r="AE172" s="90">
        <f t="shared" si="22"/>
        <v>48</v>
      </c>
      <c r="AF172" s="91">
        <v>48</v>
      </c>
      <c r="AG172" s="91">
        <v>0</v>
      </c>
      <c r="AH172" s="91">
        <v>0</v>
      </c>
      <c r="AI172" s="87">
        <f t="shared" si="23"/>
        <v>48</v>
      </c>
      <c r="AJ172" s="77" t="s">
        <v>96</v>
      </c>
      <c r="AK172" s="77" t="s">
        <v>96</v>
      </c>
      <c r="AL172" s="77"/>
      <c r="AM172" s="77"/>
    </row>
    <row r="173" spans="2:39" s="65" customFormat="1" ht="15.9" customHeight="1">
      <c r="B173" s="75">
        <f>SUBTOTAL(3,C$4:$C173)</f>
        <v>170</v>
      </c>
      <c r="C173" s="96" t="s">
        <v>100</v>
      </c>
      <c r="D173" s="77">
        <v>2010</v>
      </c>
      <c r="E173" s="77" t="s">
        <v>63</v>
      </c>
      <c r="F173" s="77">
        <v>7</v>
      </c>
      <c r="G173" s="77" t="s">
        <v>56</v>
      </c>
      <c r="H173" s="77" t="s">
        <v>56</v>
      </c>
      <c r="I173" s="79">
        <f t="shared" si="16"/>
        <v>7</v>
      </c>
      <c r="J173" s="77">
        <v>5</v>
      </c>
      <c r="K173" s="98" t="s">
        <v>56</v>
      </c>
      <c r="L173" s="98" t="s">
        <v>56</v>
      </c>
      <c r="M173" s="77">
        <f t="shared" si="17"/>
        <v>5</v>
      </c>
      <c r="N173" s="81">
        <f t="shared" si="18"/>
        <v>5</v>
      </c>
      <c r="O173" s="82" t="str">
        <f t="shared" si="19"/>
        <v>-</v>
      </c>
      <c r="P173" s="83">
        <v>5</v>
      </c>
      <c r="Q173" s="83">
        <v>0</v>
      </c>
      <c r="R173" s="83">
        <v>0</v>
      </c>
      <c r="S173" s="79">
        <f t="shared" si="20"/>
        <v>5</v>
      </c>
      <c r="T173" s="84">
        <v>5</v>
      </c>
      <c r="U173" s="84">
        <v>0</v>
      </c>
      <c r="V173" s="84">
        <v>0</v>
      </c>
      <c r="W173" s="85">
        <f t="shared" si="21"/>
        <v>5</v>
      </c>
      <c r="X173" s="86">
        <v>5</v>
      </c>
      <c r="Y173" s="86">
        <v>0</v>
      </c>
      <c r="Z173" s="86">
        <v>0</v>
      </c>
      <c r="AA173" s="88">
        <v>5</v>
      </c>
      <c r="AB173" s="89">
        <v>5</v>
      </c>
      <c r="AC173" s="89">
        <v>0</v>
      </c>
      <c r="AD173" s="89">
        <v>0</v>
      </c>
      <c r="AE173" s="90">
        <f t="shared" si="22"/>
        <v>5</v>
      </c>
      <c r="AF173" s="91">
        <v>5</v>
      </c>
      <c r="AG173" s="91">
        <v>0</v>
      </c>
      <c r="AH173" s="91">
        <v>0</v>
      </c>
      <c r="AI173" s="87">
        <f t="shared" si="23"/>
        <v>5</v>
      </c>
      <c r="AJ173" s="77" t="s">
        <v>96</v>
      </c>
      <c r="AK173" s="77" t="s">
        <v>96</v>
      </c>
      <c r="AL173" s="77"/>
      <c r="AM173" s="77"/>
    </row>
    <row r="174" spans="2:39" s="65" customFormat="1" ht="15.9" customHeight="1">
      <c r="B174" s="75">
        <f>SUBTOTAL(3,C$4:$C174)</f>
        <v>171</v>
      </c>
      <c r="C174" s="76" t="s">
        <v>101</v>
      </c>
      <c r="D174" s="77">
        <v>2010</v>
      </c>
      <c r="E174" s="77" t="s">
        <v>67</v>
      </c>
      <c r="F174" s="77">
        <v>5</v>
      </c>
      <c r="G174" s="77" t="s">
        <v>56</v>
      </c>
      <c r="H174" s="77" t="s">
        <v>56</v>
      </c>
      <c r="I174" s="79">
        <f t="shared" si="16"/>
        <v>5</v>
      </c>
      <c r="J174" s="98">
        <f>5+3</f>
        <v>8</v>
      </c>
      <c r="K174" s="98" t="s">
        <v>56</v>
      </c>
      <c r="L174" s="98" t="s">
        <v>56</v>
      </c>
      <c r="M174" s="98">
        <f t="shared" si="17"/>
        <v>8</v>
      </c>
      <c r="N174" s="81">
        <f t="shared" si="18"/>
        <v>8</v>
      </c>
      <c r="O174" s="82" t="str">
        <f t="shared" si="19"/>
        <v>-</v>
      </c>
      <c r="P174" s="83">
        <v>8</v>
      </c>
      <c r="Q174" s="83">
        <v>0</v>
      </c>
      <c r="R174" s="83">
        <v>0</v>
      </c>
      <c r="S174" s="79">
        <f t="shared" si="20"/>
        <v>8</v>
      </c>
      <c r="T174" s="84">
        <v>8</v>
      </c>
      <c r="U174" s="84">
        <v>0</v>
      </c>
      <c r="V174" s="84">
        <v>0</v>
      </c>
      <c r="W174" s="85">
        <f t="shared" si="21"/>
        <v>8</v>
      </c>
      <c r="X174" s="86">
        <v>8</v>
      </c>
      <c r="Y174" s="86">
        <v>0</v>
      </c>
      <c r="Z174" s="86">
        <v>0</v>
      </c>
      <c r="AA174" s="88">
        <v>8</v>
      </c>
      <c r="AB174" s="89">
        <v>8</v>
      </c>
      <c r="AC174" s="89">
        <v>0</v>
      </c>
      <c r="AD174" s="89">
        <v>0</v>
      </c>
      <c r="AE174" s="90">
        <f t="shared" si="22"/>
        <v>8</v>
      </c>
      <c r="AF174" s="91">
        <v>8</v>
      </c>
      <c r="AG174" s="91">
        <v>0</v>
      </c>
      <c r="AH174" s="91">
        <v>0</v>
      </c>
      <c r="AI174" s="87">
        <f t="shared" si="23"/>
        <v>8</v>
      </c>
      <c r="AJ174" s="77" t="s">
        <v>96</v>
      </c>
      <c r="AK174" s="77" t="s">
        <v>96</v>
      </c>
      <c r="AL174" s="77"/>
      <c r="AM174" s="95">
        <v>45887</v>
      </c>
    </row>
    <row r="175" spans="2:39" s="65" customFormat="1" ht="15.9" customHeight="1">
      <c r="B175" s="75">
        <f>SUBTOTAL(3,C$4:$C175)</f>
        <v>172</v>
      </c>
      <c r="C175" s="96" t="s">
        <v>102</v>
      </c>
      <c r="D175" s="77">
        <v>2010</v>
      </c>
      <c r="E175" s="77" t="s">
        <v>60</v>
      </c>
      <c r="F175" s="77">
        <v>61</v>
      </c>
      <c r="G175" s="77" t="s">
        <v>56</v>
      </c>
      <c r="H175" s="77" t="s">
        <v>56</v>
      </c>
      <c r="I175" s="79">
        <f t="shared" si="16"/>
        <v>61</v>
      </c>
      <c r="J175" s="77">
        <v>61</v>
      </c>
      <c r="K175" s="98" t="s">
        <v>56</v>
      </c>
      <c r="L175" s="98" t="s">
        <v>56</v>
      </c>
      <c r="M175" s="77">
        <f t="shared" si="17"/>
        <v>61</v>
      </c>
      <c r="N175" s="81">
        <f t="shared" si="18"/>
        <v>61</v>
      </c>
      <c r="O175" s="82" t="str">
        <f t="shared" si="19"/>
        <v>-</v>
      </c>
      <c r="P175" s="83">
        <f>35+26</f>
        <v>61</v>
      </c>
      <c r="Q175" s="83">
        <v>0</v>
      </c>
      <c r="R175" s="83">
        <v>0</v>
      </c>
      <c r="S175" s="79">
        <f t="shared" si="20"/>
        <v>61</v>
      </c>
      <c r="T175" s="84">
        <f>35+26</f>
        <v>61</v>
      </c>
      <c r="U175" s="84">
        <v>0</v>
      </c>
      <c r="V175" s="84">
        <v>0</v>
      </c>
      <c r="W175" s="85">
        <f t="shared" si="21"/>
        <v>61</v>
      </c>
      <c r="X175" s="86">
        <v>61</v>
      </c>
      <c r="Y175" s="86">
        <v>0</v>
      </c>
      <c r="Z175" s="86">
        <v>0</v>
      </c>
      <c r="AA175" s="88">
        <v>61</v>
      </c>
      <c r="AB175" s="89">
        <v>61</v>
      </c>
      <c r="AC175" s="89">
        <v>0</v>
      </c>
      <c r="AD175" s="89">
        <v>0</v>
      </c>
      <c r="AE175" s="90">
        <f t="shared" si="22"/>
        <v>61</v>
      </c>
      <c r="AF175" s="91">
        <v>61</v>
      </c>
      <c r="AG175" s="91">
        <v>0</v>
      </c>
      <c r="AH175" s="91">
        <v>0</v>
      </c>
      <c r="AI175" s="87">
        <f t="shared" si="23"/>
        <v>61</v>
      </c>
      <c r="AJ175" s="77" t="s">
        <v>96</v>
      </c>
      <c r="AK175" s="77" t="s">
        <v>96</v>
      </c>
      <c r="AL175" s="77"/>
      <c r="AM175" s="77"/>
    </row>
    <row r="176" spans="2:39" s="65" customFormat="1" ht="15.9" customHeight="1">
      <c r="B176" s="75">
        <f>SUBTOTAL(3,C$4:$C176)</f>
        <v>173</v>
      </c>
      <c r="C176" s="96" t="s">
        <v>103</v>
      </c>
      <c r="D176" s="77">
        <v>2010</v>
      </c>
      <c r="E176" s="77" t="s">
        <v>60</v>
      </c>
      <c r="F176" s="77">
        <v>40</v>
      </c>
      <c r="G176" s="77" t="s">
        <v>56</v>
      </c>
      <c r="H176" s="77" t="s">
        <v>56</v>
      </c>
      <c r="I176" s="79">
        <f t="shared" si="16"/>
        <v>40</v>
      </c>
      <c r="J176" s="77">
        <f>19+22</f>
        <v>41</v>
      </c>
      <c r="K176" s="98" t="s">
        <v>56</v>
      </c>
      <c r="L176" s="98" t="s">
        <v>56</v>
      </c>
      <c r="M176" s="77">
        <f t="shared" si="17"/>
        <v>41</v>
      </c>
      <c r="N176" s="81">
        <f t="shared" si="18"/>
        <v>41</v>
      </c>
      <c r="O176" s="82" t="str">
        <f t="shared" si="19"/>
        <v>-</v>
      </c>
      <c r="P176" s="83">
        <v>41</v>
      </c>
      <c r="Q176" s="83">
        <v>0</v>
      </c>
      <c r="R176" s="83">
        <v>0</v>
      </c>
      <c r="S176" s="79">
        <f t="shared" si="20"/>
        <v>41</v>
      </c>
      <c r="T176" s="84">
        <v>40</v>
      </c>
      <c r="U176" s="84">
        <v>0</v>
      </c>
      <c r="V176" s="84">
        <v>1</v>
      </c>
      <c r="W176" s="85">
        <f t="shared" si="21"/>
        <v>41</v>
      </c>
      <c r="X176" s="86">
        <v>40</v>
      </c>
      <c r="Y176" s="86">
        <v>0</v>
      </c>
      <c r="Z176" s="86">
        <v>1</v>
      </c>
      <c r="AA176" s="88">
        <v>41</v>
      </c>
      <c r="AB176" s="89">
        <v>40</v>
      </c>
      <c r="AC176" s="89">
        <v>0</v>
      </c>
      <c r="AD176" s="89">
        <v>1</v>
      </c>
      <c r="AE176" s="90">
        <f t="shared" si="22"/>
        <v>41</v>
      </c>
      <c r="AF176" s="91">
        <v>40</v>
      </c>
      <c r="AG176" s="91">
        <v>0</v>
      </c>
      <c r="AH176" s="91">
        <v>0</v>
      </c>
      <c r="AI176" s="87">
        <f t="shared" si="23"/>
        <v>40</v>
      </c>
      <c r="AJ176" s="77" t="s">
        <v>96</v>
      </c>
      <c r="AK176" s="77" t="s">
        <v>96</v>
      </c>
      <c r="AL176" s="77" t="s">
        <v>594</v>
      </c>
      <c r="AM176" s="77"/>
    </row>
    <row r="177" spans="2:39" s="65" customFormat="1" ht="15.9" customHeight="1">
      <c r="B177" s="75">
        <f>SUBTOTAL(3,C$4:$C177)</f>
        <v>174</v>
      </c>
      <c r="C177" s="96" t="s">
        <v>104</v>
      </c>
      <c r="D177" s="77" t="s">
        <v>105</v>
      </c>
      <c r="E177" s="77" t="s">
        <v>60</v>
      </c>
      <c r="F177" s="77">
        <v>37</v>
      </c>
      <c r="G177" s="77" t="s">
        <v>56</v>
      </c>
      <c r="H177" s="77" t="s">
        <v>56</v>
      </c>
      <c r="I177" s="79">
        <f t="shared" si="16"/>
        <v>37</v>
      </c>
      <c r="J177" s="77">
        <f>33+80</f>
        <v>113</v>
      </c>
      <c r="K177" s="77" t="s">
        <v>56</v>
      </c>
      <c r="L177" s="77">
        <v>7</v>
      </c>
      <c r="M177" s="77">
        <f t="shared" si="17"/>
        <v>120</v>
      </c>
      <c r="N177" s="81">
        <f t="shared" si="18"/>
        <v>113</v>
      </c>
      <c r="O177" s="82">
        <f t="shared" si="19"/>
        <v>7</v>
      </c>
      <c r="P177" s="83">
        <v>113</v>
      </c>
      <c r="Q177" s="83">
        <v>0</v>
      </c>
      <c r="R177" s="83">
        <v>0</v>
      </c>
      <c r="S177" s="79">
        <f t="shared" si="20"/>
        <v>113</v>
      </c>
      <c r="T177" s="84">
        <v>113</v>
      </c>
      <c r="U177" s="84">
        <v>0</v>
      </c>
      <c r="V177" s="84">
        <v>0</v>
      </c>
      <c r="W177" s="85">
        <f t="shared" si="21"/>
        <v>113</v>
      </c>
      <c r="X177" s="86">
        <v>113</v>
      </c>
      <c r="Y177" s="86">
        <v>0</v>
      </c>
      <c r="Z177" s="86">
        <v>0</v>
      </c>
      <c r="AA177" s="88">
        <v>113</v>
      </c>
      <c r="AB177" s="89">
        <v>113</v>
      </c>
      <c r="AC177" s="89">
        <v>0</v>
      </c>
      <c r="AD177" s="89">
        <v>0</v>
      </c>
      <c r="AE177" s="90">
        <f t="shared" si="22"/>
        <v>113</v>
      </c>
      <c r="AF177" s="91">
        <v>113</v>
      </c>
      <c r="AG177" s="91">
        <v>0</v>
      </c>
      <c r="AH177" s="91">
        <v>0</v>
      </c>
      <c r="AI177" s="87">
        <f t="shared" si="23"/>
        <v>113</v>
      </c>
      <c r="AJ177" s="77" t="s">
        <v>96</v>
      </c>
      <c r="AK177" s="77" t="s">
        <v>96</v>
      </c>
      <c r="AL177" s="77"/>
      <c r="AM177" s="95">
        <v>45791</v>
      </c>
    </row>
    <row r="178" spans="2:39" s="65" customFormat="1" ht="15.9" customHeight="1">
      <c r="B178" s="75">
        <f>SUBTOTAL(3,C$4:$C178)</f>
        <v>175</v>
      </c>
      <c r="C178" s="76" t="s">
        <v>106</v>
      </c>
      <c r="D178" s="77">
        <v>2010</v>
      </c>
      <c r="E178" s="77" t="s">
        <v>60</v>
      </c>
      <c r="F178" s="77">
        <v>8</v>
      </c>
      <c r="G178" s="77" t="s">
        <v>56</v>
      </c>
      <c r="H178" s="77" t="s">
        <v>56</v>
      </c>
      <c r="I178" s="79">
        <f t="shared" si="16"/>
        <v>8</v>
      </c>
      <c r="J178" s="77">
        <v>8</v>
      </c>
      <c r="K178" s="77" t="s">
        <v>56</v>
      </c>
      <c r="L178" s="77" t="s">
        <v>56</v>
      </c>
      <c r="M178" s="77">
        <f t="shared" si="17"/>
        <v>8</v>
      </c>
      <c r="N178" s="97">
        <f t="shared" si="18"/>
        <v>8</v>
      </c>
      <c r="O178" s="82" t="str">
        <f t="shared" si="19"/>
        <v>-</v>
      </c>
      <c r="P178" s="83">
        <v>3</v>
      </c>
      <c r="Q178" s="83">
        <v>5</v>
      </c>
      <c r="R178" s="83">
        <v>0</v>
      </c>
      <c r="S178" s="79">
        <f t="shared" si="20"/>
        <v>8</v>
      </c>
      <c r="T178" s="84">
        <v>3</v>
      </c>
      <c r="U178" s="84">
        <v>5</v>
      </c>
      <c r="V178" s="84">
        <v>0</v>
      </c>
      <c r="W178" s="85">
        <f t="shared" si="21"/>
        <v>8</v>
      </c>
      <c r="X178" s="86">
        <v>3</v>
      </c>
      <c r="Y178" s="86">
        <v>5</v>
      </c>
      <c r="Z178" s="86">
        <v>0</v>
      </c>
      <c r="AA178" s="88">
        <v>8</v>
      </c>
      <c r="AB178" s="89">
        <v>3</v>
      </c>
      <c r="AC178" s="89">
        <v>5</v>
      </c>
      <c r="AD178" s="89">
        <v>0</v>
      </c>
      <c r="AE178" s="90">
        <f t="shared" si="22"/>
        <v>8</v>
      </c>
      <c r="AF178" s="91">
        <v>3</v>
      </c>
      <c r="AG178" s="91">
        <v>0</v>
      </c>
      <c r="AH178" s="91">
        <v>0</v>
      </c>
      <c r="AI178" s="87">
        <f t="shared" si="23"/>
        <v>3</v>
      </c>
      <c r="AJ178" s="77" t="s">
        <v>96</v>
      </c>
      <c r="AK178" s="77" t="s">
        <v>96</v>
      </c>
      <c r="AL178" s="77"/>
      <c r="AM178" s="77"/>
    </row>
    <row r="179" spans="2:39" s="65" customFormat="1" ht="15.9" customHeight="1">
      <c r="B179" s="75">
        <f>SUBTOTAL(3,C$4:$C179)</f>
        <v>176</v>
      </c>
      <c r="C179" s="76" t="s">
        <v>107</v>
      </c>
      <c r="D179" s="77" t="s">
        <v>66</v>
      </c>
      <c r="E179" s="77" t="s">
        <v>60</v>
      </c>
      <c r="F179" s="77">
        <v>27</v>
      </c>
      <c r="G179" s="77" t="s">
        <v>56</v>
      </c>
      <c r="H179" s="77" t="s">
        <v>56</v>
      </c>
      <c r="I179" s="79">
        <f t="shared" si="16"/>
        <v>27</v>
      </c>
      <c r="J179" s="77">
        <f>30+60+144</f>
        <v>234</v>
      </c>
      <c r="K179" s="77" t="s">
        <v>56</v>
      </c>
      <c r="L179" s="77" t="s">
        <v>56</v>
      </c>
      <c r="M179" s="77">
        <f t="shared" si="17"/>
        <v>234</v>
      </c>
      <c r="N179" s="97">
        <f t="shared" si="18"/>
        <v>234</v>
      </c>
      <c r="O179" s="82" t="str">
        <f t="shared" si="19"/>
        <v>-</v>
      </c>
      <c r="P179" s="83">
        <v>216</v>
      </c>
      <c r="Q179" s="83">
        <v>0</v>
      </c>
      <c r="R179" s="83">
        <v>18</v>
      </c>
      <c r="S179" s="79">
        <f t="shared" si="20"/>
        <v>234</v>
      </c>
      <c r="T179" s="84">
        <v>208</v>
      </c>
      <c r="U179" s="84">
        <v>0</v>
      </c>
      <c r="V179" s="84">
        <v>26</v>
      </c>
      <c r="W179" s="85">
        <f t="shared" si="21"/>
        <v>234</v>
      </c>
      <c r="X179" s="86">
        <v>204</v>
      </c>
      <c r="Y179" s="86">
        <v>0</v>
      </c>
      <c r="Z179" s="86">
        <v>2</v>
      </c>
      <c r="AA179" s="88">
        <v>206</v>
      </c>
      <c r="AB179" s="89">
        <v>208</v>
      </c>
      <c r="AC179" s="89">
        <v>0</v>
      </c>
      <c r="AD179" s="89">
        <v>0</v>
      </c>
      <c r="AE179" s="90">
        <f t="shared" si="22"/>
        <v>208</v>
      </c>
      <c r="AF179" s="91">
        <v>211</v>
      </c>
      <c r="AG179" s="91">
        <v>0</v>
      </c>
      <c r="AH179" s="91">
        <v>0</v>
      </c>
      <c r="AI179" s="87">
        <f t="shared" si="23"/>
        <v>211</v>
      </c>
      <c r="AJ179" s="77" t="s">
        <v>96</v>
      </c>
      <c r="AK179" s="77" t="s">
        <v>96</v>
      </c>
      <c r="AL179" s="77" t="s">
        <v>595</v>
      </c>
      <c r="AM179" s="95" t="s">
        <v>109</v>
      </c>
    </row>
    <row r="180" spans="2:39" s="65" customFormat="1" ht="15.9" customHeight="1">
      <c r="B180" s="75">
        <f>SUBTOTAL(3,C$4:$C180)</f>
        <v>177</v>
      </c>
      <c r="C180" s="76" t="s">
        <v>110</v>
      </c>
      <c r="D180" s="77" t="s">
        <v>66</v>
      </c>
      <c r="E180" s="77" t="s">
        <v>60</v>
      </c>
      <c r="F180" s="77">
        <v>32</v>
      </c>
      <c r="G180" s="77" t="s">
        <v>56</v>
      </c>
      <c r="H180" s="77" t="s">
        <v>56</v>
      </c>
      <c r="I180" s="79">
        <f t="shared" si="16"/>
        <v>32</v>
      </c>
      <c r="J180" s="77">
        <v>5</v>
      </c>
      <c r="K180" s="77" t="s">
        <v>56</v>
      </c>
      <c r="L180" s="77" t="s">
        <v>56</v>
      </c>
      <c r="M180" s="77">
        <f t="shared" si="17"/>
        <v>5</v>
      </c>
      <c r="N180" s="97">
        <f t="shared" si="18"/>
        <v>5</v>
      </c>
      <c r="O180" s="82" t="str">
        <f t="shared" si="19"/>
        <v>-</v>
      </c>
      <c r="P180" s="83">
        <v>0</v>
      </c>
      <c r="Q180" s="83">
        <v>0</v>
      </c>
      <c r="R180" s="83">
        <v>0</v>
      </c>
      <c r="S180" s="79">
        <f t="shared" si="20"/>
        <v>0</v>
      </c>
      <c r="T180" s="84">
        <v>0</v>
      </c>
      <c r="U180" s="84">
        <v>0</v>
      </c>
      <c r="V180" s="84">
        <v>0</v>
      </c>
      <c r="W180" s="85">
        <f t="shared" si="21"/>
        <v>0</v>
      </c>
      <c r="X180" s="86">
        <v>0</v>
      </c>
      <c r="Y180" s="86">
        <v>0</v>
      </c>
      <c r="Z180" s="86">
        <v>0</v>
      </c>
      <c r="AA180" s="88">
        <v>0</v>
      </c>
      <c r="AB180" s="89">
        <v>0</v>
      </c>
      <c r="AC180" s="89">
        <v>0</v>
      </c>
      <c r="AD180" s="89">
        <v>0</v>
      </c>
      <c r="AE180" s="90">
        <f t="shared" si="22"/>
        <v>0</v>
      </c>
      <c r="AF180" s="91">
        <v>0</v>
      </c>
      <c r="AG180" s="91">
        <v>0</v>
      </c>
      <c r="AH180" s="91">
        <v>0</v>
      </c>
      <c r="AI180" s="87">
        <f t="shared" si="23"/>
        <v>0</v>
      </c>
      <c r="AJ180" s="77" t="s">
        <v>96</v>
      </c>
      <c r="AK180" s="77" t="s">
        <v>96</v>
      </c>
      <c r="AL180" s="77" t="s">
        <v>111</v>
      </c>
      <c r="AM180" s="77"/>
    </row>
    <row r="181" spans="2:39" s="65" customFormat="1" ht="15.9" customHeight="1">
      <c r="B181" s="75">
        <f>SUBTOTAL(3,C$4:$C181)</f>
        <v>178</v>
      </c>
      <c r="C181" s="76" t="s">
        <v>112</v>
      </c>
      <c r="D181" s="77" t="s">
        <v>113</v>
      </c>
      <c r="E181" s="77" t="s">
        <v>60</v>
      </c>
      <c r="F181" s="77">
        <v>26</v>
      </c>
      <c r="G181" s="77" t="s">
        <v>56</v>
      </c>
      <c r="H181" s="77" t="s">
        <v>56</v>
      </c>
      <c r="I181" s="79">
        <f t="shared" si="16"/>
        <v>26</v>
      </c>
      <c r="J181" s="77">
        <v>26</v>
      </c>
      <c r="K181" s="77" t="s">
        <v>56</v>
      </c>
      <c r="L181" s="77">
        <v>3</v>
      </c>
      <c r="M181" s="77">
        <f t="shared" si="17"/>
        <v>29</v>
      </c>
      <c r="N181" s="97">
        <f t="shared" si="18"/>
        <v>26</v>
      </c>
      <c r="O181" s="82">
        <f t="shared" si="19"/>
        <v>3</v>
      </c>
      <c r="P181" s="83">
        <v>22</v>
      </c>
      <c r="Q181" s="83">
        <v>4</v>
      </c>
      <c r="R181" s="83">
        <v>0</v>
      </c>
      <c r="S181" s="79">
        <f t="shared" si="20"/>
        <v>26</v>
      </c>
      <c r="T181" s="84">
        <v>22</v>
      </c>
      <c r="U181" s="84">
        <v>4</v>
      </c>
      <c r="V181" s="84">
        <v>0</v>
      </c>
      <c r="W181" s="85">
        <f t="shared" si="21"/>
        <v>26</v>
      </c>
      <c r="X181" s="86">
        <v>22</v>
      </c>
      <c r="Y181" s="86">
        <v>4</v>
      </c>
      <c r="Z181" s="86">
        <v>0</v>
      </c>
      <c r="AA181" s="88">
        <v>26</v>
      </c>
      <c r="AB181" s="89">
        <v>22</v>
      </c>
      <c r="AC181" s="89">
        <v>4</v>
      </c>
      <c r="AD181" s="89">
        <v>0</v>
      </c>
      <c r="AE181" s="90">
        <f t="shared" si="22"/>
        <v>26</v>
      </c>
      <c r="AF181" s="91">
        <v>22</v>
      </c>
      <c r="AG181" s="91">
        <v>0</v>
      </c>
      <c r="AH181" s="91">
        <v>0</v>
      </c>
      <c r="AI181" s="87">
        <f t="shared" si="23"/>
        <v>22</v>
      </c>
      <c r="AJ181" s="77" t="s">
        <v>96</v>
      </c>
      <c r="AK181" s="77" t="s">
        <v>96</v>
      </c>
      <c r="AL181" s="77" t="s">
        <v>114</v>
      </c>
      <c r="AM181" s="77"/>
    </row>
    <row r="182" spans="2:39" s="65" customFormat="1" ht="15.9" customHeight="1">
      <c r="B182" s="75">
        <f>SUBTOTAL(3,C$4:$C182)</f>
        <v>179</v>
      </c>
      <c r="C182" s="76" t="s">
        <v>115</v>
      </c>
      <c r="D182" s="77">
        <v>2025</v>
      </c>
      <c r="E182" s="77" t="s">
        <v>60</v>
      </c>
      <c r="F182" s="77" t="s">
        <v>56</v>
      </c>
      <c r="G182" s="77" t="s">
        <v>56</v>
      </c>
      <c r="H182" s="77" t="s">
        <v>56</v>
      </c>
      <c r="I182" s="79" t="str">
        <f t="shared" si="16"/>
        <v>-</v>
      </c>
      <c r="J182" s="77">
        <v>80</v>
      </c>
      <c r="K182" s="77" t="s">
        <v>56</v>
      </c>
      <c r="L182" s="77" t="s">
        <v>56</v>
      </c>
      <c r="M182" s="77">
        <f t="shared" si="17"/>
        <v>80</v>
      </c>
      <c r="N182" s="97">
        <f t="shared" si="18"/>
        <v>80</v>
      </c>
      <c r="O182" s="82" t="str">
        <f t="shared" si="19"/>
        <v>-</v>
      </c>
      <c r="P182" s="83">
        <v>76</v>
      </c>
      <c r="Q182" s="83">
        <v>4</v>
      </c>
      <c r="R182" s="83">
        <v>0</v>
      </c>
      <c r="S182" s="79">
        <f t="shared" si="20"/>
        <v>80</v>
      </c>
      <c r="T182" s="84">
        <v>66</v>
      </c>
      <c r="U182" s="84">
        <f>4+1</f>
        <v>5</v>
      </c>
      <c r="V182" s="84">
        <v>9</v>
      </c>
      <c r="W182" s="85">
        <f t="shared" si="21"/>
        <v>80</v>
      </c>
      <c r="X182" s="86">
        <v>66</v>
      </c>
      <c r="Y182" s="86">
        <v>5</v>
      </c>
      <c r="Z182" s="86">
        <v>9</v>
      </c>
      <c r="AA182" s="88">
        <v>80</v>
      </c>
      <c r="AB182" s="89">
        <v>66</v>
      </c>
      <c r="AC182" s="89">
        <v>5</v>
      </c>
      <c r="AD182" s="89">
        <v>9</v>
      </c>
      <c r="AE182" s="90">
        <f t="shared" si="22"/>
        <v>80</v>
      </c>
      <c r="AF182" s="91">
        <v>66</v>
      </c>
      <c r="AG182" s="91">
        <v>0</v>
      </c>
      <c r="AH182" s="91">
        <v>9</v>
      </c>
      <c r="AI182" s="87">
        <f t="shared" si="23"/>
        <v>75</v>
      </c>
      <c r="AJ182" s="77" t="s">
        <v>96</v>
      </c>
      <c r="AK182" s="77" t="s">
        <v>96</v>
      </c>
      <c r="AL182" s="77" t="s">
        <v>596</v>
      </c>
      <c r="AM182" s="95">
        <v>45791</v>
      </c>
    </row>
    <row r="183" spans="2:39" s="65" customFormat="1" ht="15.9" customHeight="1">
      <c r="B183" s="75">
        <f>SUBTOTAL(3,C$4:$C183)</f>
        <v>180</v>
      </c>
      <c r="C183" s="76" t="s">
        <v>117</v>
      </c>
      <c r="D183" s="77" t="s">
        <v>118</v>
      </c>
      <c r="E183" s="77" t="s">
        <v>60</v>
      </c>
      <c r="F183" s="77">
        <v>6</v>
      </c>
      <c r="G183" s="77" t="s">
        <v>56</v>
      </c>
      <c r="H183" s="77" t="s">
        <v>56</v>
      </c>
      <c r="I183" s="79">
        <f t="shared" si="16"/>
        <v>6</v>
      </c>
      <c r="J183" s="77">
        <v>4</v>
      </c>
      <c r="K183" s="77" t="s">
        <v>56</v>
      </c>
      <c r="L183" s="77">
        <v>2</v>
      </c>
      <c r="M183" s="77">
        <f t="shared" si="17"/>
        <v>6</v>
      </c>
      <c r="N183" s="97">
        <f t="shared" si="18"/>
        <v>4</v>
      </c>
      <c r="O183" s="82">
        <f t="shared" si="19"/>
        <v>2</v>
      </c>
      <c r="P183" s="83">
        <v>2</v>
      </c>
      <c r="Q183" s="83">
        <v>2</v>
      </c>
      <c r="R183" s="83">
        <v>0</v>
      </c>
      <c r="S183" s="79">
        <f t="shared" si="20"/>
        <v>4</v>
      </c>
      <c r="T183" s="84">
        <v>2</v>
      </c>
      <c r="U183" s="84">
        <v>2</v>
      </c>
      <c r="V183" s="84">
        <v>0</v>
      </c>
      <c r="W183" s="85">
        <f t="shared" si="21"/>
        <v>4</v>
      </c>
      <c r="X183" s="86">
        <v>2</v>
      </c>
      <c r="Y183" s="86">
        <v>2</v>
      </c>
      <c r="Z183" s="86">
        <v>0</v>
      </c>
      <c r="AA183" s="88">
        <v>4</v>
      </c>
      <c r="AB183" s="89">
        <v>2</v>
      </c>
      <c r="AC183" s="89">
        <v>2</v>
      </c>
      <c r="AD183" s="89">
        <v>0</v>
      </c>
      <c r="AE183" s="90">
        <f t="shared" si="22"/>
        <v>4</v>
      </c>
      <c r="AF183" s="93">
        <v>0</v>
      </c>
      <c r="AG183" s="93">
        <v>2</v>
      </c>
      <c r="AH183" s="91">
        <v>0</v>
      </c>
      <c r="AI183" s="87">
        <f t="shared" si="23"/>
        <v>2</v>
      </c>
      <c r="AJ183" s="77" t="s">
        <v>96</v>
      </c>
      <c r="AK183" s="77" t="s">
        <v>96</v>
      </c>
      <c r="AL183" s="77" t="s">
        <v>116</v>
      </c>
      <c r="AM183" s="77"/>
    </row>
    <row r="184" spans="2:39" s="65" customFormat="1" ht="15.9" customHeight="1">
      <c r="B184" s="75">
        <f>SUBTOTAL(3,C$4:$C184)</f>
        <v>181</v>
      </c>
      <c r="C184" s="76" t="s">
        <v>119</v>
      </c>
      <c r="D184" s="77">
        <v>2015</v>
      </c>
      <c r="E184" s="77" t="s">
        <v>60</v>
      </c>
      <c r="F184" s="77">
        <v>9</v>
      </c>
      <c r="G184" s="77" t="s">
        <v>56</v>
      </c>
      <c r="H184" s="77" t="s">
        <v>56</v>
      </c>
      <c r="I184" s="79">
        <f t="shared" si="16"/>
        <v>9</v>
      </c>
      <c r="J184" s="77">
        <v>9</v>
      </c>
      <c r="K184" s="77" t="s">
        <v>56</v>
      </c>
      <c r="L184" s="77" t="s">
        <v>56</v>
      </c>
      <c r="M184" s="77">
        <f t="shared" si="17"/>
        <v>9</v>
      </c>
      <c r="N184" s="81">
        <f t="shared" si="18"/>
        <v>9</v>
      </c>
      <c r="O184" s="82" t="str">
        <f t="shared" si="19"/>
        <v>-</v>
      </c>
      <c r="P184" s="83">
        <v>9</v>
      </c>
      <c r="Q184" s="83">
        <v>0</v>
      </c>
      <c r="R184" s="83">
        <v>0</v>
      </c>
      <c r="S184" s="79">
        <f t="shared" si="20"/>
        <v>9</v>
      </c>
      <c r="T184" s="84">
        <v>9</v>
      </c>
      <c r="U184" s="84">
        <v>0</v>
      </c>
      <c r="V184" s="84">
        <v>0</v>
      </c>
      <c r="W184" s="85">
        <f t="shared" si="21"/>
        <v>9</v>
      </c>
      <c r="X184" s="86">
        <v>9</v>
      </c>
      <c r="Y184" s="86">
        <v>0</v>
      </c>
      <c r="Z184" s="86">
        <v>0</v>
      </c>
      <c r="AA184" s="88">
        <v>9</v>
      </c>
      <c r="AB184" s="89">
        <v>9</v>
      </c>
      <c r="AC184" s="89">
        <v>0</v>
      </c>
      <c r="AD184" s="89">
        <v>0</v>
      </c>
      <c r="AE184" s="90">
        <f t="shared" si="22"/>
        <v>9</v>
      </c>
      <c r="AF184" s="91">
        <v>9</v>
      </c>
      <c r="AG184" s="91">
        <v>0</v>
      </c>
      <c r="AH184" s="91">
        <v>0</v>
      </c>
      <c r="AI184" s="87">
        <f t="shared" si="23"/>
        <v>9</v>
      </c>
      <c r="AJ184" s="77" t="s">
        <v>96</v>
      </c>
      <c r="AK184" s="77" t="s">
        <v>96</v>
      </c>
      <c r="AL184" s="77"/>
      <c r="AM184" s="77"/>
    </row>
    <row r="185" spans="2:39" s="65" customFormat="1" ht="15.9" customHeight="1">
      <c r="B185" s="75">
        <f>SUBTOTAL(3,C$4:$C185)</f>
        <v>182</v>
      </c>
      <c r="C185" s="76" t="s">
        <v>120</v>
      </c>
      <c r="D185" s="77">
        <v>2010</v>
      </c>
      <c r="E185" s="77" t="s">
        <v>60</v>
      </c>
      <c r="F185" s="77">
        <v>1</v>
      </c>
      <c r="G185" s="77" t="s">
        <v>56</v>
      </c>
      <c r="H185" s="77" t="s">
        <v>56</v>
      </c>
      <c r="I185" s="79">
        <f t="shared" si="16"/>
        <v>1</v>
      </c>
      <c r="J185" s="77">
        <v>1</v>
      </c>
      <c r="K185" s="77" t="s">
        <v>56</v>
      </c>
      <c r="L185" s="77" t="s">
        <v>56</v>
      </c>
      <c r="M185" s="77">
        <f t="shared" si="17"/>
        <v>1</v>
      </c>
      <c r="N185" s="81">
        <f t="shared" si="18"/>
        <v>1</v>
      </c>
      <c r="O185" s="82" t="str">
        <f t="shared" si="19"/>
        <v>-</v>
      </c>
      <c r="P185" s="83">
        <v>1</v>
      </c>
      <c r="Q185" s="83">
        <v>0</v>
      </c>
      <c r="R185" s="83">
        <v>0</v>
      </c>
      <c r="S185" s="79">
        <f t="shared" si="20"/>
        <v>1</v>
      </c>
      <c r="T185" s="84">
        <v>1</v>
      </c>
      <c r="U185" s="84">
        <v>0</v>
      </c>
      <c r="V185" s="84">
        <v>0</v>
      </c>
      <c r="W185" s="85">
        <f t="shared" si="21"/>
        <v>1</v>
      </c>
      <c r="X185" s="86">
        <v>1</v>
      </c>
      <c r="Y185" s="86">
        <v>0</v>
      </c>
      <c r="Z185" s="86">
        <v>0</v>
      </c>
      <c r="AA185" s="88">
        <v>1</v>
      </c>
      <c r="AB185" s="89">
        <v>1</v>
      </c>
      <c r="AC185" s="89">
        <v>0</v>
      </c>
      <c r="AD185" s="89">
        <v>0</v>
      </c>
      <c r="AE185" s="90">
        <f t="shared" si="22"/>
        <v>1</v>
      </c>
      <c r="AF185" s="91">
        <v>1</v>
      </c>
      <c r="AG185" s="91">
        <v>0</v>
      </c>
      <c r="AH185" s="91">
        <v>0</v>
      </c>
      <c r="AI185" s="87">
        <f t="shared" si="23"/>
        <v>1</v>
      </c>
      <c r="AJ185" s="77" t="s">
        <v>96</v>
      </c>
      <c r="AK185" s="77" t="s">
        <v>96</v>
      </c>
      <c r="AL185" s="77"/>
      <c r="AM185" s="77"/>
    </row>
    <row r="186" spans="2:39" s="65" customFormat="1" ht="15.9" customHeight="1">
      <c r="B186" s="75">
        <f>SUBTOTAL(3,C$4:$C186)</f>
        <v>183</v>
      </c>
      <c r="C186" s="76" t="s">
        <v>121</v>
      </c>
      <c r="D186" s="77">
        <v>2010</v>
      </c>
      <c r="E186" s="77" t="s">
        <v>60</v>
      </c>
      <c r="F186" s="77">
        <v>5</v>
      </c>
      <c r="G186" s="77" t="s">
        <v>56</v>
      </c>
      <c r="H186" s="77" t="s">
        <v>56</v>
      </c>
      <c r="I186" s="79">
        <f t="shared" si="16"/>
        <v>5</v>
      </c>
      <c r="J186" s="77">
        <v>5</v>
      </c>
      <c r="K186" s="77" t="s">
        <v>56</v>
      </c>
      <c r="L186" s="77" t="s">
        <v>56</v>
      </c>
      <c r="M186" s="77">
        <f t="shared" si="17"/>
        <v>5</v>
      </c>
      <c r="N186" s="97">
        <f t="shared" si="18"/>
        <v>5</v>
      </c>
      <c r="O186" s="82" t="str">
        <f t="shared" si="19"/>
        <v>-</v>
      </c>
      <c r="P186" s="83">
        <v>5</v>
      </c>
      <c r="Q186" s="83">
        <v>0</v>
      </c>
      <c r="R186" s="83">
        <v>0</v>
      </c>
      <c r="S186" s="79">
        <f t="shared" si="20"/>
        <v>5</v>
      </c>
      <c r="T186" s="84">
        <v>5</v>
      </c>
      <c r="U186" s="84">
        <v>0</v>
      </c>
      <c r="V186" s="84">
        <v>0</v>
      </c>
      <c r="W186" s="85">
        <f t="shared" si="21"/>
        <v>5</v>
      </c>
      <c r="X186" s="86">
        <v>5</v>
      </c>
      <c r="Y186" s="86">
        <v>0</v>
      </c>
      <c r="Z186" s="86">
        <v>0</v>
      </c>
      <c r="AA186" s="88">
        <v>5</v>
      </c>
      <c r="AB186" s="89">
        <v>5</v>
      </c>
      <c r="AC186" s="89">
        <v>0</v>
      </c>
      <c r="AD186" s="89">
        <v>0</v>
      </c>
      <c r="AE186" s="90">
        <f t="shared" si="22"/>
        <v>5</v>
      </c>
      <c r="AF186" s="91">
        <v>5</v>
      </c>
      <c r="AG186" s="91">
        <v>0</v>
      </c>
      <c r="AH186" s="91">
        <v>0</v>
      </c>
      <c r="AI186" s="87">
        <f t="shared" si="23"/>
        <v>5</v>
      </c>
      <c r="AJ186" s="77" t="s">
        <v>96</v>
      </c>
      <c r="AK186" s="77" t="s">
        <v>96</v>
      </c>
      <c r="AL186" s="77"/>
      <c r="AM186" s="77"/>
    </row>
    <row r="187" spans="2:39" s="65" customFormat="1" ht="15.9" customHeight="1">
      <c r="B187" s="75">
        <f>SUBTOTAL(3,C$4:$C187)</f>
        <v>184</v>
      </c>
      <c r="C187" s="76" t="s">
        <v>122</v>
      </c>
      <c r="D187" s="77">
        <v>2010</v>
      </c>
      <c r="E187" s="77" t="s">
        <v>60</v>
      </c>
      <c r="F187" s="77">
        <v>2</v>
      </c>
      <c r="G187" s="77" t="s">
        <v>56</v>
      </c>
      <c r="H187" s="77" t="s">
        <v>56</v>
      </c>
      <c r="I187" s="79">
        <f t="shared" si="16"/>
        <v>2</v>
      </c>
      <c r="J187" s="77">
        <v>2</v>
      </c>
      <c r="K187" s="77" t="s">
        <v>56</v>
      </c>
      <c r="L187" s="77" t="s">
        <v>56</v>
      </c>
      <c r="M187" s="77">
        <f t="shared" si="17"/>
        <v>2</v>
      </c>
      <c r="N187" s="97">
        <f t="shared" si="18"/>
        <v>2</v>
      </c>
      <c r="O187" s="82" t="str">
        <f t="shared" si="19"/>
        <v>-</v>
      </c>
      <c r="P187" s="83">
        <v>2</v>
      </c>
      <c r="Q187" s="83">
        <v>0</v>
      </c>
      <c r="R187" s="83">
        <v>0</v>
      </c>
      <c r="S187" s="79">
        <f t="shared" si="20"/>
        <v>2</v>
      </c>
      <c r="T187" s="84">
        <v>2</v>
      </c>
      <c r="U187" s="84">
        <v>0</v>
      </c>
      <c r="V187" s="84">
        <v>0</v>
      </c>
      <c r="W187" s="85">
        <f t="shared" si="21"/>
        <v>2</v>
      </c>
      <c r="X187" s="86">
        <v>2</v>
      </c>
      <c r="Y187" s="86">
        <v>0</v>
      </c>
      <c r="Z187" s="86">
        <v>0</v>
      </c>
      <c r="AA187" s="88">
        <v>2</v>
      </c>
      <c r="AB187" s="89">
        <v>2</v>
      </c>
      <c r="AC187" s="89">
        <v>0</v>
      </c>
      <c r="AD187" s="89">
        <v>0</v>
      </c>
      <c r="AE187" s="90">
        <f t="shared" si="22"/>
        <v>2</v>
      </c>
      <c r="AF187" s="91">
        <v>2</v>
      </c>
      <c r="AG187" s="91">
        <v>0</v>
      </c>
      <c r="AH187" s="91">
        <v>0</v>
      </c>
      <c r="AI187" s="87">
        <f t="shared" si="23"/>
        <v>2</v>
      </c>
      <c r="AJ187" s="77" t="s">
        <v>96</v>
      </c>
      <c r="AK187" s="77" t="s">
        <v>96</v>
      </c>
      <c r="AL187" s="77"/>
      <c r="AM187" s="77"/>
    </row>
    <row r="188" spans="2:39" s="65" customFormat="1" ht="15.9" customHeight="1">
      <c r="B188" s="75">
        <f>SUBTOTAL(3,C$4:$C188)</f>
        <v>185</v>
      </c>
      <c r="C188" s="76" t="s">
        <v>123</v>
      </c>
      <c r="D188" s="77">
        <v>2010</v>
      </c>
      <c r="E188" s="77" t="s">
        <v>60</v>
      </c>
      <c r="F188" s="77">
        <v>1</v>
      </c>
      <c r="G188" s="77" t="s">
        <v>56</v>
      </c>
      <c r="H188" s="77" t="s">
        <v>56</v>
      </c>
      <c r="I188" s="79">
        <f t="shared" si="16"/>
        <v>1</v>
      </c>
      <c r="J188" s="77">
        <v>1</v>
      </c>
      <c r="K188" s="77" t="s">
        <v>56</v>
      </c>
      <c r="L188" s="77" t="s">
        <v>56</v>
      </c>
      <c r="M188" s="77">
        <f t="shared" si="17"/>
        <v>1</v>
      </c>
      <c r="N188" s="97">
        <f t="shared" si="18"/>
        <v>1</v>
      </c>
      <c r="O188" s="82" t="str">
        <f t="shared" si="19"/>
        <v>-</v>
      </c>
      <c r="P188" s="83">
        <v>1</v>
      </c>
      <c r="Q188" s="83">
        <v>0</v>
      </c>
      <c r="R188" s="83">
        <v>0</v>
      </c>
      <c r="S188" s="79">
        <f t="shared" si="20"/>
        <v>1</v>
      </c>
      <c r="T188" s="84">
        <v>1</v>
      </c>
      <c r="U188" s="84">
        <v>0</v>
      </c>
      <c r="V188" s="84">
        <v>0</v>
      </c>
      <c r="W188" s="85">
        <f t="shared" si="21"/>
        <v>1</v>
      </c>
      <c r="X188" s="86">
        <v>1</v>
      </c>
      <c r="Y188" s="86">
        <v>0</v>
      </c>
      <c r="Z188" s="86">
        <v>0</v>
      </c>
      <c r="AA188" s="88">
        <v>1</v>
      </c>
      <c r="AB188" s="89">
        <v>1</v>
      </c>
      <c r="AC188" s="89">
        <v>0</v>
      </c>
      <c r="AD188" s="89">
        <v>0</v>
      </c>
      <c r="AE188" s="90">
        <f t="shared" si="22"/>
        <v>1</v>
      </c>
      <c r="AF188" s="91">
        <v>1</v>
      </c>
      <c r="AG188" s="91">
        <v>0</v>
      </c>
      <c r="AH188" s="91">
        <v>0</v>
      </c>
      <c r="AI188" s="87">
        <f t="shared" si="23"/>
        <v>1</v>
      </c>
      <c r="AJ188" s="77" t="s">
        <v>96</v>
      </c>
      <c r="AK188" s="77" t="s">
        <v>96</v>
      </c>
      <c r="AL188" s="77"/>
      <c r="AM188" s="77"/>
    </row>
    <row r="189" spans="2:39" s="65" customFormat="1" ht="15.9" customHeight="1">
      <c r="B189" s="75">
        <f>SUBTOTAL(3,C$4:$C189)</f>
        <v>186</v>
      </c>
      <c r="C189" s="76" t="s">
        <v>124</v>
      </c>
      <c r="D189" s="77">
        <v>2010</v>
      </c>
      <c r="E189" s="77" t="s">
        <v>60</v>
      </c>
      <c r="F189" s="77">
        <v>1</v>
      </c>
      <c r="G189" s="77" t="s">
        <v>56</v>
      </c>
      <c r="H189" s="77" t="s">
        <v>56</v>
      </c>
      <c r="I189" s="79">
        <f t="shared" si="16"/>
        <v>1</v>
      </c>
      <c r="J189" s="77">
        <v>0</v>
      </c>
      <c r="K189" s="77" t="s">
        <v>56</v>
      </c>
      <c r="L189" s="77">
        <v>1</v>
      </c>
      <c r="M189" s="77">
        <f t="shared" si="17"/>
        <v>1</v>
      </c>
      <c r="N189" s="81">
        <f t="shared" si="18"/>
        <v>0</v>
      </c>
      <c r="O189" s="82">
        <f t="shared" si="19"/>
        <v>1</v>
      </c>
      <c r="P189" s="83">
        <v>0</v>
      </c>
      <c r="Q189" s="83">
        <v>1</v>
      </c>
      <c r="R189" s="83">
        <v>0</v>
      </c>
      <c r="S189" s="79">
        <f t="shared" si="20"/>
        <v>1</v>
      </c>
      <c r="T189" s="84">
        <v>0</v>
      </c>
      <c r="U189" s="84">
        <v>1</v>
      </c>
      <c r="V189" s="84">
        <v>0</v>
      </c>
      <c r="W189" s="85">
        <f t="shared" si="21"/>
        <v>1</v>
      </c>
      <c r="X189" s="86">
        <v>0</v>
      </c>
      <c r="Y189" s="86">
        <v>1</v>
      </c>
      <c r="Z189" s="86">
        <v>0</v>
      </c>
      <c r="AA189" s="88">
        <v>1</v>
      </c>
      <c r="AB189" s="89">
        <v>0</v>
      </c>
      <c r="AC189" s="89">
        <v>1</v>
      </c>
      <c r="AD189" s="89">
        <v>0</v>
      </c>
      <c r="AE189" s="90">
        <f t="shared" si="22"/>
        <v>1</v>
      </c>
      <c r="AF189" s="91">
        <v>0</v>
      </c>
      <c r="AG189" s="91">
        <v>0</v>
      </c>
      <c r="AH189" s="91">
        <v>0</v>
      </c>
      <c r="AI189" s="87">
        <f t="shared" si="23"/>
        <v>0</v>
      </c>
      <c r="AJ189" s="77" t="s">
        <v>96</v>
      </c>
      <c r="AK189" s="77" t="s">
        <v>96</v>
      </c>
      <c r="AL189" s="77" t="s">
        <v>125</v>
      </c>
      <c r="AM189" s="77"/>
    </row>
    <row r="190" spans="2:39" s="65" customFormat="1" ht="15.9" customHeight="1">
      <c r="B190" s="75">
        <f>SUBTOTAL(3,C$4:$C190)</f>
        <v>187</v>
      </c>
      <c r="C190" s="76" t="s">
        <v>126</v>
      </c>
      <c r="D190" s="77" t="s">
        <v>127</v>
      </c>
      <c r="E190" s="77" t="s">
        <v>55</v>
      </c>
      <c r="F190" s="77">
        <v>2</v>
      </c>
      <c r="G190" s="77" t="s">
        <v>56</v>
      </c>
      <c r="H190" s="77" t="s">
        <v>56</v>
      </c>
      <c r="I190" s="79">
        <f t="shared" si="16"/>
        <v>2</v>
      </c>
      <c r="J190" s="77">
        <f>2+1</f>
        <v>3</v>
      </c>
      <c r="K190" s="77" t="s">
        <v>56</v>
      </c>
      <c r="L190" s="77" t="s">
        <v>56</v>
      </c>
      <c r="M190" s="77">
        <f t="shared" si="17"/>
        <v>3</v>
      </c>
      <c r="N190" s="97">
        <f t="shared" si="18"/>
        <v>3</v>
      </c>
      <c r="O190" s="82" t="str">
        <f t="shared" si="19"/>
        <v>-</v>
      </c>
      <c r="P190" s="83">
        <v>3</v>
      </c>
      <c r="Q190" s="83">
        <v>0</v>
      </c>
      <c r="R190" s="83">
        <v>0</v>
      </c>
      <c r="S190" s="79">
        <f t="shared" si="20"/>
        <v>3</v>
      </c>
      <c r="T190" s="84">
        <v>3</v>
      </c>
      <c r="U190" s="84">
        <v>0</v>
      </c>
      <c r="V190" s="84">
        <v>0</v>
      </c>
      <c r="W190" s="85">
        <f t="shared" si="21"/>
        <v>3</v>
      </c>
      <c r="X190" s="86">
        <v>3</v>
      </c>
      <c r="Y190" s="86">
        <v>0</v>
      </c>
      <c r="Z190" s="86">
        <v>0</v>
      </c>
      <c r="AA190" s="88">
        <v>3</v>
      </c>
      <c r="AB190" s="89">
        <v>3</v>
      </c>
      <c r="AC190" s="89">
        <v>0</v>
      </c>
      <c r="AD190" s="89">
        <v>0</v>
      </c>
      <c r="AE190" s="90">
        <f t="shared" si="22"/>
        <v>3</v>
      </c>
      <c r="AF190" s="91">
        <v>3</v>
      </c>
      <c r="AG190" s="91">
        <v>0</v>
      </c>
      <c r="AH190" s="91">
        <v>0</v>
      </c>
      <c r="AI190" s="87">
        <f t="shared" si="23"/>
        <v>3</v>
      </c>
      <c r="AJ190" s="77" t="s">
        <v>96</v>
      </c>
      <c r="AK190" s="77" t="s">
        <v>96</v>
      </c>
      <c r="AL190" s="77"/>
      <c r="AM190" s="77"/>
    </row>
    <row r="191" spans="2:39" s="65" customFormat="1" ht="15.9" customHeight="1">
      <c r="B191" s="75">
        <f>SUBTOTAL(3,C$4:$C191)</f>
        <v>188</v>
      </c>
      <c r="C191" s="76" t="s">
        <v>128</v>
      </c>
      <c r="D191" s="77" t="s">
        <v>105</v>
      </c>
      <c r="E191" s="77" t="s">
        <v>60</v>
      </c>
      <c r="F191" s="77">
        <v>1</v>
      </c>
      <c r="G191" s="77" t="s">
        <v>56</v>
      </c>
      <c r="H191" s="77" t="s">
        <v>56</v>
      </c>
      <c r="I191" s="79">
        <f t="shared" si="16"/>
        <v>1</v>
      </c>
      <c r="J191" s="77">
        <f>1+1</f>
        <v>2</v>
      </c>
      <c r="K191" s="77" t="s">
        <v>56</v>
      </c>
      <c r="L191" s="77" t="s">
        <v>56</v>
      </c>
      <c r="M191" s="77">
        <f t="shared" si="17"/>
        <v>2</v>
      </c>
      <c r="N191" s="97">
        <f t="shared" si="18"/>
        <v>2</v>
      </c>
      <c r="O191" s="82" t="str">
        <f t="shared" si="19"/>
        <v>-</v>
      </c>
      <c r="P191" s="83">
        <v>2</v>
      </c>
      <c r="Q191" s="83">
        <v>0</v>
      </c>
      <c r="R191" s="83">
        <v>0</v>
      </c>
      <c r="S191" s="79">
        <f t="shared" si="20"/>
        <v>2</v>
      </c>
      <c r="T191" s="84">
        <v>2</v>
      </c>
      <c r="U191" s="84">
        <v>0</v>
      </c>
      <c r="V191" s="84">
        <v>0</v>
      </c>
      <c r="W191" s="85">
        <f t="shared" si="21"/>
        <v>2</v>
      </c>
      <c r="X191" s="86">
        <v>2</v>
      </c>
      <c r="Y191" s="86">
        <v>0</v>
      </c>
      <c r="Z191" s="86">
        <v>0</v>
      </c>
      <c r="AA191" s="88">
        <v>2</v>
      </c>
      <c r="AB191" s="89">
        <v>2</v>
      </c>
      <c r="AC191" s="89">
        <v>0</v>
      </c>
      <c r="AD191" s="89">
        <v>0</v>
      </c>
      <c r="AE191" s="90">
        <f t="shared" si="22"/>
        <v>2</v>
      </c>
      <c r="AF191" s="91">
        <v>2</v>
      </c>
      <c r="AG191" s="91">
        <v>0</v>
      </c>
      <c r="AH191" s="91">
        <v>0</v>
      </c>
      <c r="AI191" s="87">
        <f t="shared" si="23"/>
        <v>2</v>
      </c>
      <c r="AJ191" s="77" t="s">
        <v>96</v>
      </c>
      <c r="AK191" s="77" t="s">
        <v>96</v>
      </c>
      <c r="AL191" s="77"/>
      <c r="AM191" s="95">
        <v>45756</v>
      </c>
    </row>
    <row r="192" spans="2:39" s="65" customFormat="1" ht="15.9" customHeight="1">
      <c r="B192" s="75">
        <f>SUBTOTAL(3,C$4:$C192)</f>
        <v>189</v>
      </c>
      <c r="C192" s="76" t="s">
        <v>129</v>
      </c>
      <c r="D192" s="77">
        <v>2010</v>
      </c>
      <c r="E192" s="77" t="s">
        <v>60</v>
      </c>
      <c r="F192" s="77">
        <v>1</v>
      </c>
      <c r="G192" s="77" t="s">
        <v>56</v>
      </c>
      <c r="H192" s="77" t="s">
        <v>56</v>
      </c>
      <c r="I192" s="79">
        <f t="shared" si="16"/>
        <v>1</v>
      </c>
      <c r="J192" s="77">
        <v>1</v>
      </c>
      <c r="K192" s="77" t="s">
        <v>56</v>
      </c>
      <c r="L192" s="77" t="s">
        <v>56</v>
      </c>
      <c r="M192" s="77">
        <f t="shared" si="17"/>
        <v>1</v>
      </c>
      <c r="N192" s="97">
        <f t="shared" si="18"/>
        <v>1</v>
      </c>
      <c r="O192" s="82" t="str">
        <f t="shared" si="19"/>
        <v>-</v>
      </c>
      <c r="P192" s="83">
        <v>1</v>
      </c>
      <c r="Q192" s="83">
        <v>0</v>
      </c>
      <c r="R192" s="83">
        <v>0</v>
      </c>
      <c r="S192" s="79">
        <f t="shared" si="20"/>
        <v>1</v>
      </c>
      <c r="T192" s="84">
        <v>1</v>
      </c>
      <c r="U192" s="84">
        <v>0</v>
      </c>
      <c r="V192" s="84">
        <v>0</v>
      </c>
      <c r="W192" s="85">
        <f t="shared" si="21"/>
        <v>1</v>
      </c>
      <c r="X192" s="86">
        <v>1</v>
      </c>
      <c r="Y192" s="86">
        <v>0</v>
      </c>
      <c r="Z192" s="86">
        <v>0</v>
      </c>
      <c r="AA192" s="88">
        <v>1</v>
      </c>
      <c r="AB192" s="89">
        <v>1</v>
      </c>
      <c r="AC192" s="89">
        <v>0</v>
      </c>
      <c r="AD192" s="89">
        <v>0</v>
      </c>
      <c r="AE192" s="90">
        <f t="shared" si="22"/>
        <v>1</v>
      </c>
      <c r="AF192" s="91">
        <v>1</v>
      </c>
      <c r="AG192" s="91">
        <v>0</v>
      </c>
      <c r="AH192" s="91">
        <v>0</v>
      </c>
      <c r="AI192" s="87">
        <f t="shared" si="23"/>
        <v>1</v>
      </c>
      <c r="AJ192" s="77" t="s">
        <v>96</v>
      </c>
      <c r="AK192" s="77" t="s">
        <v>96</v>
      </c>
      <c r="AL192" s="77"/>
      <c r="AM192" s="77"/>
    </row>
    <row r="193" spans="2:39" s="65" customFormat="1" ht="15.9" customHeight="1">
      <c r="B193" s="75">
        <f>SUBTOTAL(3,C$4:$C193)</f>
        <v>190</v>
      </c>
      <c r="C193" s="76" t="s">
        <v>130</v>
      </c>
      <c r="D193" s="77">
        <v>2010</v>
      </c>
      <c r="E193" s="77" t="s">
        <v>131</v>
      </c>
      <c r="F193" s="77">
        <v>5</v>
      </c>
      <c r="G193" s="77" t="s">
        <v>56</v>
      </c>
      <c r="H193" s="77" t="s">
        <v>56</v>
      </c>
      <c r="I193" s="79">
        <f t="shared" si="16"/>
        <v>5</v>
      </c>
      <c r="J193" s="77">
        <v>5</v>
      </c>
      <c r="K193" s="77" t="s">
        <v>56</v>
      </c>
      <c r="L193" s="77" t="s">
        <v>56</v>
      </c>
      <c r="M193" s="77">
        <f t="shared" si="17"/>
        <v>5</v>
      </c>
      <c r="N193" s="97">
        <f t="shared" si="18"/>
        <v>5</v>
      </c>
      <c r="O193" s="82" t="str">
        <f t="shared" si="19"/>
        <v>-</v>
      </c>
      <c r="P193" s="83">
        <v>5</v>
      </c>
      <c r="Q193" s="83">
        <v>0</v>
      </c>
      <c r="R193" s="83">
        <v>0</v>
      </c>
      <c r="S193" s="79">
        <f t="shared" si="20"/>
        <v>5</v>
      </c>
      <c r="T193" s="84">
        <v>5</v>
      </c>
      <c r="U193" s="84">
        <v>0</v>
      </c>
      <c r="V193" s="84">
        <v>0</v>
      </c>
      <c r="W193" s="85">
        <f t="shared" si="21"/>
        <v>5</v>
      </c>
      <c r="X193" s="86">
        <v>5</v>
      </c>
      <c r="Y193" s="86">
        <v>0</v>
      </c>
      <c r="Z193" s="86">
        <v>0</v>
      </c>
      <c r="AA193" s="88">
        <v>5</v>
      </c>
      <c r="AB193" s="89">
        <v>5</v>
      </c>
      <c r="AC193" s="89">
        <v>0</v>
      </c>
      <c r="AD193" s="89">
        <v>0</v>
      </c>
      <c r="AE193" s="90">
        <f t="shared" si="22"/>
        <v>5</v>
      </c>
      <c r="AF193" s="91">
        <v>5</v>
      </c>
      <c r="AG193" s="91">
        <v>0</v>
      </c>
      <c r="AH193" s="91">
        <v>0</v>
      </c>
      <c r="AI193" s="87">
        <f t="shared" si="23"/>
        <v>5</v>
      </c>
      <c r="AJ193" s="77" t="s">
        <v>96</v>
      </c>
      <c r="AK193" s="77" t="s">
        <v>96</v>
      </c>
      <c r="AL193" s="77"/>
      <c r="AM193" s="77"/>
    </row>
    <row r="194" spans="2:39" s="65" customFormat="1" ht="15.9" customHeight="1">
      <c r="B194" s="75">
        <f>SUBTOTAL(3,C$4:$C194)</f>
        <v>191</v>
      </c>
      <c r="C194" s="76" t="s">
        <v>132</v>
      </c>
      <c r="D194" s="77">
        <v>2014</v>
      </c>
      <c r="E194" s="77" t="s">
        <v>55</v>
      </c>
      <c r="F194" s="77">
        <v>1</v>
      </c>
      <c r="G194" s="77" t="s">
        <v>56</v>
      </c>
      <c r="H194" s="77" t="s">
        <v>56</v>
      </c>
      <c r="I194" s="79">
        <f t="shared" si="16"/>
        <v>1</v>
      </c>
      <c r="J194" s="77">
        <v>1</v>
      </c>
      <c r="K194" s="77" t="s">
        <v>56</v>
      </c>
      <c r="L194" s="77" t="s">
        <v>56</v>
      </c>
      <c r="M194" s="77">
        <f t="shared" si="17"/>
        <v>1</v>
      </c>
      <c r="N194" s="97">
        <f t="shared" si="18"/>
        <v>1</v>
      </c>
      <c r="O194" s="82" t="str">
        <f t="shared" si="19"/>
        <v>-</v>
      </c>
      <c r="P194" s="83">
        <v>1</v>
      </c>
      <c r="Q194" s="83">
        <v>0</v>
      </c>
      <c r="R194" s="83">
        <v>0</v>
      </c>
      <c r="S194" s="79">
        <f t="shared" si="20"/>
        <v>1</v>
      </c>
      <c r="T194" s="84">
        <v>1</v>
      </c>
      <c r="U194" s="84">
        <v>0</v>
      </c>
      <c r="V194" s="84">
        <v>0</v>
      </c>
      <c r="W194" s="85">
        <f t="shared" si="21"/>
        <v>1</v>
      </c>
      <c r="X194" s="86">
        <v>1</v>
      </c>
      <c r="Y194" s="86">
        <v>0</v>
      </c>
      <c r="Z194" s="86">
        <v>0</v>
      </c>
      <c r="AA194" s="88">
        <v>1</v>
      </c>
      <c r="AB194" s="89">
        <v>1</v>
      </c>
      <c r="AC194" s="89">
        <v>0</v>
      </c>
      <c r="AD194" s="89">
        <v>0</v>
      </c>
      <c r="AE194" s="90">
        <f t="shared" si="22"/>
        <v>1</v>
      </c>
      <c r="AF194" s="91">
        <v>1</v>
      </c>
      <c r="AG194" s="91">
        <v>0</v>
      </c>
      <c r="AH194" s="91">
        <v>0</v>
      </c>
      <c r="AI194" s="87">
        <f t="shared" si="23"/>
        <v>1</v>
      </c>
      <c r="AJ194" s="77" t="s">
        <v>96</v>
      </c>
      <c r="AK194" s="77" t="s">
        <v>96</v>
      </c>
      <c r="AL194" s="77"/>
      <c r="AM194" s="77"/>
    </row>
    <row r="195" spans="2:39" s="65" customFormat="1" ht="15.9" customHeight="1">
      <c r="B195" s="75">
        <f>SUBTOTAL(3,C$4:$C195)</f>
        <v>192</v>
      </c>
      <c r="C195" s="76" t="s">
        <v>133</v>
      </c>
      <c r="D195" s="77">
        <v>2010</v>
      </c>
      <c r="E195" s="77" t="s">
        <v>60</v>
      </c>
      <c r="F195" s="77">
        <v>1</v>
      </c>
      <c r="G195" s="77" t="s">
        <v>56</v>
      </c>
      <c r="H195" s="77" t="s">
        <v>56</v>
      </c>
      <c r="I195" s="79">
        <f t="shared" ref="I195:I217" si="24">F195</f>
        <v>1</v>
      </c>
      <c r="J195" s="77">
        <v>1</v>
      </c>
      <c r="K195" s="77" t="s">
        <v>56</v>
      </c>
      <c r="L195" s="77" t="s">
        <v>56</v>
      </c>
      <c r="M195" s="77">
        <f t="shared" ref="M195:M234" si="25">SUM(J195:L195)</f>
        <v>1</v>
      </c>
      <c r="N195" s="97">
        <f t="shared" ref="N195:N234" si="26">J195</f>
        <v>1</v>
      </c>
      <c r="O195" s="82" t="str">
        <f t="shared" ref="O195:O234" si="27">L195</f>
        <v>-</v>
      </c>
      <c r="P195" s="83">
        <v>1</v>
      </c>
      <c r="Q195" s="83">
        <v>0</v>
      </c>
      <c r="R195" s="83">
        <v>0</v>
      </c>
      <c r="S195" s="79">
        <f t="shared" ref="S195:S234" si="28">SUM(P195:R195)</f>
        <v>1</v>
      </c>
      <c r="T195" s="84">
        <v>1</v>
      </c>
      <c r="U195" s="84">
        <v>0</v>
      </c>
      <c r="V195" s="84">
        <v>0</v>
      </c>
      <c r="W195" s="85">
        <f t="shared" ref="W195:W234" si="29">SUM(T195:V195)</f>
        <v>1</v>
      </c>
      <c r="X195" s="86">
        <v>1</v>
      </c>
      <c r="Y195" s="86">
        <v>0</v>
      </c>
      <c r="Z195" s="86">
        <v>0</v>
      </c>
      <c r="AA195" s="88">
        <v>1</v>
      </c>
      <c r="AB195" s="89">
        <v>1</v>
      </c>
      <c r="AC195" s="89">
        <v>0</v>
      </c>
      <c r="AD195" s="89">
        <v>0</v>
      </c>
      <c r="AE195" s="90">
        <f t="shared" ref="AE195:AE234" si="30">SUM(AB195:AD195)</f>
        <v>1</v>
      </c>
      <c r="AF195" s="91">
        <v>1</v>
      </c>
      <c r="AG195" s="91">
        <v>0</v>
      </c>
      <c r="AH195" s="91">
        <v>0</v>
      </c>
      <c r="AI195" s="87">
        <f t="shared" ref="AI195:AI234" si="31">SUM(AF195:AH195)</f>
        <v>1</v>
      </c>
      <c r="AJ195" s="77" t="s">
        <v>96</v>
      </c>
      <c r="AK195" s="77" t="s">
        <v>96</v>
      </c>
      <c r="AL195" s="77"/>
      <c r="AM195" s="77"/>
    </row>
    <row r="196" spans="2:39" s="65" customFormat="1" ht="15.9" customHeight="1">
      <c r="B196" s="75">
        <f>SUBTOTAL(3,C$4:$C196)</f>
        <v>193</v>
      </c>
      <c r="C196" s="76" t="s">
        <v>134</v>
      </c>
      <c r="D196" s="77">
        <v>2018</v>
      </c>
      <c r="E196" s="77" t="s">
        <v>60</v>
      </c>
      <c r="F196" s="77">
        <v>10</v>
      </c>
      <c r="G196" s="77" t="s">
        <v>56</v>
      </c>
      <c r="H196" s="77" t="s">
        <v>56</v>
      </c>
      <c r="I196" s="79">
        <f t="shared" si="24"/>
        <v>10</v>
      </c>
      <c r="J196" s="77">
        <v>0</v>
      </c>
      <c r="K196" s="77">
        <v>10</v>
      </c>
      <c r="L196" s="77" t="s">
        <v>56</v>
      </c>
      <c r="M196" s="77">
        <f t="shared" si="25"/>
        <v>10</v>
      </c>
      <c r="N196" s="97">
        <f t="shared" si="26"/>
        <v>0</v>
      </c>
      <c r="O196" s="82" t="str">
        <f t="shared" si="27"/>
        <v>-</v>
      </c>
      <c r="P196" s="83">
        <v>0</v>
      </c>
      <c r="Q196" s="83">
        <v>10</v>
      </c>
      <c r="R196" s="83">
        <v>0</v>
      </c>
      <c r="S196" s="79">
        <f t="shared" si="28"/>
        <v>10</v>
      </c>
      <c r="T196" s="84">
        <v>0</v>
      </c>
      <c r="U196" s="84">
        <v>10</v>
      </c>
      <c r="V196" s="84">
        <v>0</v>
      </c>
      <c r="W196" s="85">
        <f t="shared" si="29"/>
        <v>10</v>
      </c>
      <c r="X196" s="86">
        <v>0</v>
      </c>
      <c r="Y196" s="86">
        <v>10</v>
      </c>
      <c r="Z196" s="86">
        <v>0</v>
      </c>
      <c r="AA196" s="88">
        <v>10</v>
      </c>
      <c r="AB196" s="89">
        <v>0</v>
      </c>
      <c r="AC196" s="89">
        <v>0</v>
      </c>
      <c r="AD196" s="89">
        <v>0</v>
      </c>
      <c r="AE196" s="90">
        <f t="shared" si="30"/>
        <v>0</v>
      </c>
      <c r="AF196" s="91">
        <v>0</v>
      </c>
      <c r="AG196" s="91">
        <v>0</v>
      </c>
      <c r="AH196" s="91">
        <v>0</v>
      </c>
      <c r="AI196" s="87">
        <f t="shared" si="31"/>
        <v>0</v>
      </c>
      <c r="AJ196" s="77" t="s">
        <v>96</v>
      </c>
      <c r="AK196" s="77" t="s">
        <v>96</v>
      </c>
      <c r="AL196" s="77" t="s">
        <v>135</v>
      </c>
      <c r="AM196" s="77"/>
    </row>
    <row r="197" spans="2:39" s="65" customFormat="1" ht="15.9" customHeight="1">
      <c r="B197" s="75">
        <f>SUBTOTAL(3,C$4:$C197)</f>
        <v>194</v>
      </c>
      <c r="C197" s="76" t="s">
        <v>136</v>
      </c>
      <c r="D197" s="77">
        <v>2010</v>
      </c>
      <c r="E197" s="77" t="s">
        <v>60</v>
      </c>
      <c r="F197" s="77">
        <v>2</v>
      </c>
      <c r="G197" s="77" t="s">
        <v>56</v>
      </c>
      <c r="H197" s="77" t="s">
        <v>56</v>
      </c>
      <c r="I197" s="79">
        <f t="shared" si="24"/>
        <v>2</v>
      </c>
      <c r="J197" s="77">
        <v>0</v>
      </c>
      <c r="K197" s="77" t="s">
        <v>56</v>
      </c>
      <c r="L197" s="77">
        <v>2</v>
      </c>
      <c r="M197" s="77">
        <f t="shared" si="25"/>
        <v>2</v>
      </c>
      <c r="N197" s="97">
        <f t="shared" si="26"/>
        <v>0</v>
      </c>
      <c r="O197" s="82">
        <f t="shared" si="27"/>
        <v>2</v>
      </c>
      <c r="P197" s="83">
        <v>0</v>
      </c>
      <c r="Q197" s="83">
        <v>2</v>
      </c>
      <c r="R197" s="83">
        <v>0</v>
      </c>
      <c r="S197" s="79">
        <f t="shared" si="28"/>
        <v>2</v>
      </c>
      <c r="T197" s="84">
        <v>0</v>
      </c>
      <c r="U197" s="84">
        <v>2</v>
      </c>
      <c r="V197" s="84">
        <v>0</v>
      </c>
      <c r="W197" s="85">
        <f t="shared" si="29"/>
        <v>2</v>
      </c>
      <c r="X197" s="86">
        <v>0</v>
      </c>
      <c r="Y197" s="86">
        <v>2</v>
      </c>
      <c r="Z197" s="86">
        <v>0</v>
      </c>
      <c r="AA197" s="88">
        <v>2</v>
      </c>
      <c r="AB197" s="89">
        <v>0</v>
      </c>
      <c r="AC197" s="89">
        <v>0</v>
      </c>
      <c r="AD197" s="89">
        <v>0</v>
      </c>
      <c r="AE197" s="90">
        <f t="shared" si="30"/>
        <v>0</v>
      </c>
      <c r="AF197" s="91">
        <v>0</v>
      </c>
      <c r="AG197" s="91">
        <v>0</v>
      </c>
      <c r="AH197" s="91">
        <v>0</v>
      </c>
      <c r="AI197" s="87">
        <f t="shared" si="31"/>
        <v>0</v>
      </c>
      <c r="AJ197" s="77" t="s">
        <v>96</v>
      </c>
      <c r="AK197" s="77" t="s">
        <v>96</v>
      </c>
      <c r="AL197" s="77" t="s">
        <v>137</v>
      </c>
      <c r="AM197" s="77"/>
    </row>
    <row r="198" spans="2:39" s="65" customFormat="1" ht="15.9" customHeight="1">
      <c r="B198" s="75">
        <f>SUBTOTAL(3,C$4:$C198)</f>
        <v>195</v>
      </c>
      <c r="C198" s="76" t="s">
        <v>138</v>
      </c>
      <c r="D198" s="77">
        <v>2025</v>
      </c>
      <c r="E198" s="77" t="s">
        <v>60</v>
      </c>
      <c r="F198" s="77" t="s">
        <v>56</v>
      </c>
      <c r="G198" s="77" t="s">
        <v>56</v>
      </c>
      <c r="H198" s="77" t="s">
        <v>56</v>
      </c>
      <c r="I198" s="79" t="str">
        <f t="shared" si="24"/>
        <v>-</v>
      </c>
      <c r="J198" s="77">
        <v>1</v>
      </c>
      <c r="K198" s="77" t="s">
        <v>56</v>
      </c>
      <c r="L198" s="77" t="s">
        <v>56</v>
      </c>
      <c r="M198" s="77">
        <f t="shared" si="25"/>
        <v>1</v>
      </c>
      <c r="N198" s="97">
        <f t="shared" si="26"/>
        <v>1</v>
      </c>
      <c r="O198" s="82" t="str">
        <f t="shared" si="27"/>
        <v>-</v>
      </c>
      <c r="P198" s="83">
        <v>1</v>
      </c>
      <c r="Q198" s="83">
        <v>0</v>
      </c>
      <c r="R198" s="83">
        <v>0</v>
      </c>
      <c r="S198" s="79">
        <f t="shared" si="28"/>
        <v>1</v>
      </c>
      <c r="T198" s="84">
        <v>1</v>
      </c>
      <c r="U198" s="84">
        <v>0</v>
      </c>
      <c r="V198" s="84">
        <v>0</v>
      </c>
      <c r="W198" s="85">
        <f t="shared" si="29"/>
        <v>1</v>
      </c>
      <c r="X198" s="86">
        <v>1</v>
      </c>
      <c r="Y198" s="86">
        <v>0</v>
      </c>
      <c r="Z198" s="86">
        <v>0</v>
      </c>
      <c r="AA198" s="88">
        <v>1</v>
      </c>
      <c r="AB198" s="89">
        <v>1</v>
      </c>
      <c r="AC198" s="89">
        <v>0</v>
      </c>
      <c r="AD198" s="89">
        <v>0</v>
      </c>
      <c r="AE198" s="90">
        <f t="shared" si="30"/>
        <v>1</v>
      </c>
      <c r="AF198" s="91">
        <v>1</v>
      </c>
      <c r="AG198" s="91">
        <v>0</v>
      </c>
      <c r="AH198" s="91">
        <v>0</v>
      </c>
      <c r="AI198" s="87">
        <f t="shared" si="31"/>
        <v>1</v>
      </c>
      <c r="AJ198" s="77" t="s">
        <v>96</v>
      </c>
      <c r="AK198" s="77" t="s">
        <v>96</v>
      </c>
      <c r="AL198" s="77"/>
      <c r="AM198" s="95">
        <v>45763</v>
      </c>
    </row>
    <row r="199" spans="2:39" s="65" customFormat="1" ht="15.9" customHeight="1">
      <c r="B199" s="75">
        <f>SUBTOTAL(3,C$4:$C199)</f>
        <v>196</v>
      </c>
      <c r="C199" s="76" t="s">
        <v>139</v>
      </c>
      <c r="D199" s="77">
        <v>2010</v>
      </c>
      <c r="E199" s="77" t="s">
        <v>55</v>
      </c>
      <c r="F199" s="77">
        <v>1</v>
      </c>
      <c r="G199" s="77" t="s">
        <v>56</v>
      </c>
      <c r="H199" s="77" t="s">
        <v>56</v>
      </c>
      <c r="I199" s="79">
        <f t="shared" si="24"/>
        <v>1</v>
      </c>
      <c r="J199" s="77">
        <v>1</v>
      </c>
      <c r="K199" s="77" t="s">
        <v>56</v>
      </c>
      <c r="L199" s="77" t="s">
        <v>56</v>
      </c>
      <c r="M199" s="77">
        <f t="shared" si="25"/>
        <v>1</v>
      </c>
      <c r="N199" s="97">
        <f t="shared" si="26"/>
        <v>1</v>
      </c>
      <c r="O199" s="82" t="str">
        <f t="shared" si="27"/>
        <v>-</v>
      </c>
      <c r="P199" s="83">
        <v>1</v>
      </c>
      <c r="Q199" s="83">
        <v>0</v>
      </c>
      <c r="R199" s="83">
        <v>0</v>
      </c>
      <c r="S199" s="79">
        <f t="shared" si="28"/>
        <v>1</v>
      </c>
      <c r="T199" s="84">
        <v>1</v>
      </c>
      <c r="U199" s="84">
        <v>0</v>
      </c>
      <c r="V199" s="84">
        <v>0</v>
      </c>
      <c r="W199" s="85">
        <f t="shared" si="29"/>
        <v>1</v>
      </c>
      <c r="X199" s="86">
        <v>1</v>
      </c>
      <c r="Y199" s="86">
        <v>0</v>
      </c>
      <c r="Z199" s="86">
        <v>0</v>
      </c>
      <c r="AA199" s="88">
        <v>1</v>
      </c>
      <c r="AB199" s="89">
        <v>1</v>
      </c>
      <c r="AC199" s="89">
        <v>0</v>
      </c>
      <c r="AD199" s="89">
        <v>0</v>
      </c>
      <c r="AE199" s="90">
        <f t="shared" si="30"/>
        <v>1</v>
      </c>
      <c r="AF199" s="91">
        <v>1</v>
      </c>
      <c r="AG199" s="91">
        <v>0</v>
      </c>
      <c r="AH199" s="91">
        <v>0</v>
      </c>
      <c r="AI199" s="87">
        <f t="shared" si="31"/>
        <v>1</v>
      </c>
      <c r="AJ199" s="77" t="s">
        <v>96</v>
      </c>
      <c r="AK199" s="77" t="s">
        <v>96</v>
      </c>
      <c r="AL199" s="77"/>
      <c r="AM199" s="77"/>
    </row>
    <row r="200" spans="2:39" s="65" customFormat="1" ht="15.9" customHeight="1">
      <c r="B200" s="75">
        <f>SUBTOTAL(3,C$4:$C200)</f>
        <v>197</v>
      </c>
      <c r="C200" s="76" t="s">
        <v>140</v>
      </c>
      <c r="D200" s="77">
        <v>2018</v>
      </c>
      <c r="E200" s="77" t="s">
        <v>55</v>
      </c>
      <c r="F200" s="77">
        <v>2</v>
      </c>
      <c r="G200" s="77" t="s">
        <v>56</v>
      </c>
      <c r="H200" s="77" t="s">
        <v>56</v>
      </c>
      <c r="I200" s="79">
        <f t="shared" si="24"/>
        <v>2</v>
      </c>
      <c r="J200" s="77">
        <v>1</v>
      </c>
      <c r="K200" s="77" t="s">
        <v>56</v>
      </c>
      <c r="L200" s="77" t="s">
        <v>56</v>
      </c>
      <c r="M200" s="77">
        <f t="shared" si="25"/>
        <v>1</v>
      </c>
      <c r="N200" s="97">
        <f t="shared" si="26"/>
        <v>1</v>
      </c>
      <c r="O200" s="82" t="str">
        <f t="shared" si="27"/>
        <v>-</v>
      </c>
      <c r="P200" s="83">
        <v>1</v>
      </c>
      <c r="Q200" s="83">
        <v>0</v>
      </c>
      <c r="R200" s="83">
        <v>0</v>
      </c>
      <c r="S200" s="79">
        <f t="shared" si="28"/>
        <v>1</v>
      </c>
      <c r="T200" s="84">
        <v>1</v>
      </c>
      <c r="U200" s="84">
        <v>0</v>
      </c>
      <c r="V200" s="84">
        <v>0</v>
      </c>
      <c r="W200" s="85">
        <f t="shared" si="29"/>
        <v>1</v>
      </c>
      <c r="X200" s="86">
        <v>1</v>
      </c>
      <c r="Y200" s="86">
        <v>0</v>
      </c>
      <c r="Z200" s="86">
        <v>0</v>
      </c>
      <c r="AA200" s="88">
        <v>1</v>
      </c>
      <c r="AB200" s="89">
        <v>1</v>
      </c>
      <c r="AC200" s="89">
        <v>0</v>
      </c>
      <c r="AD200" s="89">
        <v>0</v>
      </c>
      <c r="AE200" s="90">
        <f t="shared" si="30"/>
        <v>1</v>
      </c>
      <c r="AF200" s="91">
        <v>1</v>
      </c>
      <c r="AG200" s="91">
        <v>0</v>
      </c>
      <c r="AH200" s="91">
        <v>0</v>
      </c>
      <c r="AI200" s="87">
        <f t="shared" si="31"/>
        <v>1</v>
      </c>
      <c r="AJ200" s="77" t="s">
        <v>96</v>
      </c>
      <c r="AK200" s="77" t="s">
        <v>96</v>
      </c>
      <c r="AL200" s="77" t="s">
        <v>597</v>
      </c>
      <c r="AM200" s="77"/>
    </row>
    <row r="201" spans="2:39" s="65" customFormat="1" ht="15.9" customHeight="1">
      <c r="B201" s="75">
        <f>SUBTOTAL(3,C$4:$C201)</f>
        <v>198</v>
      </c>
      <c r="C201" s="76" t="s">
        <v>141</v>
      </c>
      <c r="D201" s="77" t="s">
        <v>105</v>
      </c>
      <c r="E201" s="77" t="s">
        <v>60</v>
      </c>
      <c r="F201" s="77">
        <v>2</v>
      </c>
      <c r="G201" s="77" t="s">
        <v>56</v>
      </c>
      <c r="H201" s="77" t="s">
        <v>56</v>
      </c>
      <c r="I201" s="79">
        <f t="shared" si="24"/>
        <v>2</v>
      </c>
      <c r="J201" s="77">
        <v>2</v>
      </c>
      <c r="K201" s="77" t="s">
        <v>56</v>
      </c>
      <c r="L201" s="77">
        <v>2</v>
      </c>
      <c r="M201" s="77">
        <f t="shared" si="25"/>
        <v>4</v>
      </c>
      <c r="N201" s="97">
        <f t="shared" si="26"/>
        <v>2</v>
      </c>
      <c r="O201" s="82">
        <f t="shared" si="27"/>
        <v>2</v>
      </c>
      <c r="P201" s="83">
        <v>2</v>
      </c>
      <c r="Q201" s="83">
        <v>0</v>
      </c>
      <c r="R201" s="83">
        <v>0</v>
      </c>
      <c r="S201" s="79">
        <f t="shared" si="28"/>
        <v>2</v>
      </c>
      <c r="T201" s="84">
        <v>2</v>
      </c>
      <c r="U201" s="84">
        <v>0</v>
      </c>
      <c r="V201" s="84">
        <v>0</v>
      </c>
      <c r="W201" s="85">
        <f t="shared" si="29"/>
        <v>2</v>
      </c>
      <c r="X201" s="86">
        <v>2</v>
      </c>
      <c r="Y201" s="86">
        <v>0</v>
      </c>
      <c r="Z201" s="86">
        <v>0</v>
      </c>
      <c r="AA201" s="88">
        <v>2</v>
      </c>
      <c r="AB201" s="89">
        <v>2</v>
      </c>
      <c r="AC201" s="89">
        <v>0</v>
      </c>
      <c r="AD201" s="89">
        <v>0</v>
      </c>
      <c r="AE201" s="90">
        <f t="shared" si="30"/>
        <v>2</v>
      </c>
      <c r="AF201" s="91">
        <v>2</v>
      </c>
      <c r="AG201" s="91">
        <v>0</v>
      </c>
      <c r="AH201" s="91">
        <v>0</v>
      </c>
      <c r="AI201" s="87">
        <f t="shared" si="31"/>
        <v>2</v>
      </c>
      <c r="AJ201" s="77" t="s">
        <v>96</v>
      </c>
      <c r="AK201" s="77" t="s">
        <v>96</v>
      </c>
      <c r="AL201" s="77"/>
      <c r="AM201" s="95">
        <v>45772</v>
      </c>
    </row>
    <row r="202" spans="2:39" s="65" customFormat="1" ht="15.9" customHeight="1">
      <c r="B202" s="75">
        <f>SUBTOTAL(3,C$4:$C202)</f>
        <v>199</v>
      </c>
      <c r="C202" s="76" t="s">
        <v>142</v>
      </c>
      <c r="D202" s="77" t="s">
        <v>127</v>
      </c>
      <c r="E202" s="77" t="s">
        <v>60</v>
      </c>
      <c r="F202" s="77">
        <v>62</v>
      </c>
      <c r="G202" s="77" t="s">
        <v>56</v>
      </c>
      <c r="H202" s="77" t="s">
        <v>56</v>
      </c>
      <c r="I202" s="79">
        <f t="shared" si="24"/>
        <v>62</v>
      </c>
      <c r="J202" s="77">
        <v>62</v>
      </c>
      <c r="K202" s="77" t="s">
        <v>56</v>
      </c>
      <c r="L202" s="77" t="s">
        <v>56</v>
      </c>
      <c r="M202" s="77">
        <f t="shared" si="25"/>
        <v>62</v>
      </c>
      <c r="N202" s="97">
        <f t="shared" si="26"/>
        <v>62</v>
      </c>
      <c r="O202" s="82" t="str">
        <f t="shared" si="27"/>
        <v>-</v>
      </c>
      <c r="P202" s="83">
        <v>62</v>
      </c>
      <c r="Q202" s="83">
        <v>0</v>
      </c>
      <c r="R202" s="83">
        <v>0</v>
      </c>
      <c r="S202" s="79">
        <f t="shared" si="28"/>
        <v>62</v>
      </c>
      <c r="T202" s="84">
        <v>62</v>
      </c>
      <c r="U202" s="84">
        <v>0</v>
      </c>
      <c r="V202" s="84">
        <v>0</v>
      </c>
      <c r="W202" s="85">
        <f t="shared" si="29"/>
        <v>62</v>
      </c>
      <c r="X202" s="86">
        <v>62</v>
      </c>
      <c r="Y202" s="86">
        <v>0</v>
      </c>
      <c r="Z202" s="86">
        <v>0</v>
      </c>
      <c r="AA202" s="88">
        <v>62</v>
      </c>
      <c r="AB202" s="89">
        <v>62</v>
      </c>
      <c r="AC202" s="89">
        <v>0</v>
      </c>
      <c r="AD202" s="89">
        <v>0</v>
      </c>
      <c r="AE202" s="90">
        <f t="shared" si="30"/>
        <v>62</v>
      </c>
      <c r="AF202" s="91">
        <v>62</v>
      </c>
      <c r="AG202" s="91">
        <v>0</v>
      </c>
      <c r="AH202" s="91">
        <v>0</v>
      </c>
      <c r="AI202" s="87">
        <f t="shared" si="31"/>
        <v>62</v>
      </c>
      <c r="AJ202" s="77" t="s">
        <v>96</v>
      </c>
      <c r="AK202" s="77" t="s">
        <v>96</v>
      </c>
      <c r="AL202" s="77"/>
      <c r="AM202" s="77"/>
    </row>
    <row r="203" spans="2:39" s="65" customFormat="1" ht="15.9" customHeight="1">
      <c r="B203" s="75">
        <f>SUBTOTAL(3,C$4:$C203)</f>
        <v>200</v>
      </c>
      <c r="C203" s="76" t="s">
        <v>143</v>
      </c>
      <c r="D203" s="77">
        <v>2010</v>
      </c>
      <c r="E203" s="77" t="s">
        <v>60</v>
      </c>
      <c r="F203" s="77">
        <v>2</v>
      </c>
      <c r="G203" s="77" t="s">
        <v>56</v>
      </c>
      <c r="H203" s="77" t="s">
        <v>56</v>
      </c>
      <c r="I203" s="79">
        <f t="shared" si="24"/>
        <v>2</v>
      </c>
      <c r="J203" s="77">
        <v>2</v>
      </c>
      <c r="K203" s="77" t="s">
        <v>56</v>
      </c>
      <c r="L203" s="77" t="s">
        <v>56</v>
      </c>
      <c r="M203" s="77">
        <f t="shared" si="25"/>
        <v>2</v>
      </c>
      <c r="N203" s="97">
        <f t="shared" si="26"/>
        <v>2</v>
      </c>
      <c r="O203" s="82" t="str">
        <f t="shared" si="27"/>
        <v>-</v>
      </c>
      <c r="P203" s="83">
        <v>1</v>
      </c>
      <c r="Q203" s="83">
        <v>1</v>
      </c>
      <c r="R203" s="83">
        <v>0</v>
      </c>
      <c r="S203" s="79">
        <f t="shared" si="28"/>
        <v>2</v>
      </c>
      <c r="T203" s="84">
        <v>1</v>
      </c>
      <c r="U203" s="84">
        <v>1</v>
      </c>
      <c r="V203" s="84">
        <v>0</v>
      </c>
      <c r="W203" s="85">
        <f t="shared" si="29"/>
        <v>2</v>
      </c>
      <c r="X203" s="86">
        <v>1</v>
      </c>
      <c r="Y203" s="86">
        <v>1</v>
      </c>
      <c r="Z203" s="86">
        <v>0</v>
      </c>
      <c r="AA203" s="88">
        <v>2</v>
      </c>
      <c r="AB203" s="89">
        <v>1</v>
      </c>
      <c r="AC203" s="89">
        <v>1</v>
      </c>
      <c r="AD203" s="89">
        <v>0</v>
      </c>
      <c r="AE203" s="90">
        <f t="shared" si="30"/>
        <v>2</v>
      </c>
      <c r="AF203" s="91">
        <v>1</v>
      </c>
      <c r="AG203" s="91">
        <v>0</v>
      </c>
      <c r="AH203" s="91">
        <v>0</v>
      </c>
      <c r="AI203" s="87">
        <f t="shared" si="31"/>
        <v>1</v>
      </c>
      <c r="AJ203" s="77" t="s">
        <v>96</v>
      </c>
      <c r="AK203" s="77" t="s">
        <v>96</v>
      </c>
      <c r="AL203" s="77" t="s">
        <v>116</v>
      </c>
      <c r="AM203" s="77"/>
    </row>
    <row r="204" spans="2:39" s="65" customFormat="1" ht="15.9" customHeight="1">
      <c r="B204" s="75">
        <f>SUBTOTAL(3,C$4:$C204)</f>
        <v>201</v>
      </c>
      <c r="C204" s="76" t="s">
        <v>144</v>
      </c>
      <c r="D204" s="77">
        <v>2010</v>
      </c>
      <c r="E204" s="77" t="s">
        <v>60</v>
      </c>
      <c r="F204" s="77">
        <v>1</v>
      </c>
      <c r="G204" s="77" t="s">
        <v>56</v>
      </c>
      <c r="H204" s="77" t="s">
        <v>56</v>
      </c>
      <c r="I204" s="79">
        <f t="shared" si="24"/>
        <v>1</v>
      </c>
      <c r="J204" s="77">
        <v>0</v>
      </c>
      <c r="K204" s="77" t="s">
        <v>56</v>
      </c>
      <c r="L204" s="77">
        <v>1</v>
      </c>
      <c r="M204" s="77">
        <f t="shared" si="25"/>
        <v>1</v>
      </c>
      <c r="N204" s="97">
        <f t="shared" si="26"/>
        <v>0</v>
      </c>
      <c r="O204" s="82">
        <f t="shared" si="27"/>
        <v>1</v>
      </c>
      <c r="P204" s="83">
        <v>0</v>
      </c>
      <c r="Q204" s="83">
        <v>1</v>
      </c>
      <c r="R204" s="83">
        <v>0</v>
      </c>
      <c r="S204" s="79">
        <f t="shared" si="28"/>
        <v>1</v>
      </c>
      <c r="T204" s="84">
        <v>0</v>
      </c>
      <c r="U204" s="84">
        <v>1</v>
      </c>
      <c r="V204" s="84">
        <v>0</v>
      </c>
      <c r="W204" s="85">
        <f t="shared" si="29"/>
        <v>1</v>
      </c>
      <c r="X204" s="86">
        <v>0</v>
      </c>
      <c r="Y204" s="86">
        <v>1</v>
      </c>
      <c r="Z204" s="86">
        <v>0</v>
      </c>
      <c r="AA204" s="88">
        <v>1</v>
      </c>
      <c r="AB204" s="89">
        <v>0</v>
      </c>
      <c r="AC204" s="89">
        <v>1</v>
      </c>
      <c r="AD204" s="89">
        <v>0</v>
      </c>
      <c r="AE204" s="90">
        <f t="shared" si="30"/>
        <v>1</v>
      </c>
      <c r="AF204" s="91">
        <v>0</v>
      </c>
      <c r="AG204" s="91">
        <v>0</v>
      </c>
      <c r="AH204" s="91">
        <v>0</v>
      </c>
      <c r="AI204" s="87">
        <f t="shared" si="31"/>
        <v>0</v>
      </c>
      <c r="AJ204" s="77" t="s">
        <v>96</v>
      </c>
      <c r="AK204" s="77" t="s">
        <v>96</v>
      </c>
      <c r="AL204" s="77" t="s">
        <v>116</v>
      </c>
      <c r="AM204" s="77"/>
    </row>
    <row r="205" spans="2:39" s="65" customFormat="1" ht="15.9" customHeight="1">
      <c r="B205" s="75">
        <f>SUBTOTAL(3,C$4:$C205)</f>
        <v>202</v>
      </c>
      <c r="C205" s="76" t="s">
        <v>145</v>
      </c>
      <c r="D205" s="77">
        <v>2021</v>
      </c>
      <c r="E205" s="77" t="s">
        <v>55</v>
      </c>
      <c r="F205" s="77">
        <v>1</v>
      </c>
      <c r="G205" s="77" t="s">
        <v>56</v>
      </c>
      <c r="H205" s="77" t="s">
        <v>56</v>
      </c>
      <c r="I205" s="79">
        <f t="shared" si="24"/>
        <v>1</v>
      </c>
      <c r="J205" s="77">
        <v>1</v>
      </c>
      <c r="K205" s="77" t="s">
        <v>56</v>
      </c>
      <c r="L205" s="77" t="s">
        <v>56</v>
      </c>
      <c r="M205" s="77">
        <f t="shared" si="25"/>
        <v>1</v>
      </c>
      <c r="N205" s="97">
        <f t="shared" si="26"/>
        <v>1</v>
      </c>
      <c r="O205" s="82" t="str">
        <f t="shared" si="27"/>
        <v>-</v>
      </c>
      <c r="P205" s="83">
        <v>1</v>
      </c>
      <c r="Q205" s="83">
        <v>0</v>
      </c>
      <c r="R205" s="83">
        <v>0</v>
      </c>
      <c r="S205" s="79">
        <f t="shared" si="28"/>
        <v>1</v>
      </c>
      <c r="T205" s="84">
        <v>1</v>
      </c>
      <c r="U205" s="84">
        <v>0</v>
      </c>
      <c r="V205" s="84">
        <v>0</v>
      </c>
      <c r="W205" s="85">
        <f t="shared" si="29"/>
        <v>1</v>
      </c>
      <c r="X205" s="86">
        <v>1</v>
      </c>
      <c r="Y205" s="86">
        <v>0</v>
      </c>
      <c r="Z205" s="86">
        <v>0</v>
      </c>
      <c r="AA205" s="88">
        <v>1</v>
      </c>
      <c r="AB205" s="89">
        <v>1</v>
      </c>
      <c r="AC205" s="89">
        <v>0</v>
      </c>
      <c r="AD205" s="89">
        <v>0</v>
      </c>
      <c r="AE205" s="90">
        <f t="shared" si="30"/>
        <v>1</v>
      </c>
      <c r="AF205" s="91">
        <v>1</v>
      </c>
      <c r="AG205" s="91">
        <v>0</v>
      </c>
      <c r="AH205" s="91">
        <v>0</v>
      </c>
      <c r="AI205" s="87">
        <f t="shared" si="31"/>
        <v>1</v>
      </c>
      <c r="AJ205" s="77" t="s">
        <v>96</v>
      </c>
      <c r="AK205" s="77" t="s">
        <v>96</v>
      </c>
      <c r="AL205" s="77"/>
      <c r="AM205" s="77"/>
    </row>
    <row r="206" spans="2:39" s="65" customFormat="1" ht="15.9" customHeight="1">
      <c r="B206" s="75">
        <f>SUBTOTAL(3,C$4:$C206)</f>
        <v>203</v>
      </c>
      <c r="C206" s="76" t="s">
        <v>146</v>
      </c>
      <c r="D206" s="77">
        <v>2021</v>
      </c>
      <c r="E206" s="77" t="s">
        <v>55</v>
      </c>
      <c r="F206" s="77">
        <v>1</v>
      </c>
      <c r="G206" s="77" t="s">
        <v>56</v>
      </c>
      <c r="H206" s="77" t="s">
        <v>56</v>
      </c>
      <c r="I206" s="79">
        <f t="shared" si="24"/>
        <v>1</v>
      </c>
      <c r="J206" s="77">
        <v>1</v>
      </c>
      <c r="K206" s="77" t="s">
        <v>56</v>
      </c>
      <c r="L206" s="77" t="s">
        <v>56</v>
      </c>
      <c r="M206" s="77">
        <f t="shared" si="25"/>
        <v>1</v>
      </c>
      <c r="N206" s="97">
        <f t="shared" si="26"/>
        <v>1</v>
      </c>
      <c r="O206" s="82" t="str">
        <f t="shared" si="27"/>
        <v>-</v>
      </c>
      <c r="P206" s="83">
        <v>1</v>
      </c>
      <c r="Q206" s="83">
        <v>0</v>
      </c>
      <c r="R206" s="83">
        <v>0</v>
      </c>
      <c r="S206" s="79">
        <f t="shared" si="28"/>
        <v>1</v>
      </c>
      <c r="T206" s="84">
        <v>1</v>
      </c>
      <c r="U206" s="84">
        <v>0</v>
      </c>
      <c r="V206" s="84">
        <v>0</v>
      </c>
      <c r="W206" s="85">
        <f t="shared" si="29"/>
        <v>1</v>
      </c>
      <c r="X206" s="86">
        <v>1</v>
      </c>
      <c r="Y206" s="86">
        <v>0</v>
      </c>
      <c r="Z206" s="86">
        <v>0</v>
      </c>
      <c r="AA206" s="88">
        <v>1</v>
      </c>
      <c r="AB206" s="89">
        <v>1</v>
      </c>
      <c r="AC206" s="89">
        <v>0</v>
      </c>
      <c r="AD206" s="89">
        <v>0</v>
      </c>
      <c r="AE206" s="90">
        <f t="shared" si="30"/>
        <v>1</v>
      </c>
      <c r="AF206" s="91">
        <v>1</v>
      </c>
      <c r="AG206" s="91">
        <v>0</v>
      </c>
      <c r="AH206" s="91">
        <v>0</v>
      </c>
      <c r="AI206" s="87">
        <f t="shared" si="31"/>
        <v>1</v>
      </c>
      <c r="AJ206" s="77" t="s">
        <v>96</v>
      </c>
      <c r="AK206" s="77" t="s">
        <v>96</v>
      </c>
      <c r="AL206" s="77"/>
      <c r="AM206" s="77"/>
    </row>
    <row r="207" spans="2:39" s="65" customFormat="1" ht="15.9" customHeight="1">
      <c r="B207" s="75">
        <f>SUBTOTAL(3,C$4:$C207)</f>
        <v>204</v>
      </c>
      <c r="C207" s="76" t="s">
        <v>147</v>
      </c>
      <c r="D207" s="77"/>
      <c r="E207" s="77" t="s">
        <v>60</v>
      </c>
      <c r="F207" s="77">
        <v>1</v>
      </c>
      <c r="G207" s="77" t="s">
        <v>56</v>
      </c>
      <c r="H207" s="77" t="s">
        <v>56</v>
      </c>
      <c r="I207" s="79">
        <f t="shared" si="24"/>
        <v>1</v>
      </c>
      <c r="J207" s="77">
        <v>1</v>
      </c>
      <c r="K207" s="77" t="s">
        <v>56</v>
      </c>
      <c r="L207" s="77" t="s">
        <v>56</v>
      </c>
      <c r="M207" s="77">
        <f t="shared" si="25"/>
        <v>1</v>
      </c>
      <c r="N207" s="97">
        <f t="shared" si="26"/>
        <v>1</v>
      </c>
      <c r="O207" s="82" t="str">
        <f t="shared" si="27"/>
        <v>-</v>
      </c>
      <c r="P207" s="83">
        <v>1</v>
      </c>
      <c r="Q207" s="83">
        <v>0</v>
      </c>
      <c r="R207" s="83">
        <v>0</v>
      </c>
      <c r="S207" s="79">
        <f t="shared" si="28"/>
        <v>1</v>
      </c>
      <c r="T207" s="84">
        <v>1</v>
      </c>
      <c r="U207" s="84">
        <v>0</v>
      </c>
      <c r="V207" s="84">
        <v>0</v>
      </c>
      <c r="W207" s="85">
        <f t="shared" si="29"/>
        <v>1</v>
      </c>
      <c r="X207" s="86">
        <v>1</v>
      </c>
      <c r="Y207" s="86">
        <v>0</v>
      </c>
      <c r="Z207" s="86">
        <v>0</v>
      </c>
      <c r="AA207" s="88">
        <v>1</v>
      </c>
      <c r="AB207" s="89">
        <v>1</v>
      </c>
      <c r="AC207" s="89">
        <v>0</v>
      </c>
      <c r="AD207" s="89">
        <v>0</v>
      </c>
      <c r="AE207" s="90">
        <f t="shared" si="30"/>
        <v>1</v>
      </c>
      <c r="AF207" s="91">
        <v>1</v>
      </c>
      <c r="AG207" s="91">
        <v>0</v>
      </c>
      <c r="AH207" s="91">
        <v>0</v>
      </c>
      <c r="AI207" s="87">
        <f t="shared" si="31"/>
        <v>1</v>
      </c>
      <c r="AJ207" s="77" t="s">
        <v>96</v>
      </c>
      <c r="AK207" s="77" t="s">
        <v>96</v>
      </c>
      <c r="AL207" s="77"/>
      <c r="AM207" s="77"/>
    </row>
    <row r="208" spans="2:39" s="65" customFormat="1" ht="15.9" customHeight="1">
      <c r="B208" s="75">
        <f>SUBTOTAL(3,C$4:$C208)</f>
        <v>205</v>
      </c>
      <c r="C208" s="76" t="s">
        <v>148</v>
      </c>
      <c r="D208" s="77">
        <v>2024</v>
      </c>
      <c r="E208" s="77" t="s">
        <v>55</v>
      </c>
      <c r="F208" s="77">
        <v>1</v>
      </c>
      <c r="G208" s="77" t="s">
        <v>56</v>
      </c>
      <c r="H208" s="77" t="s">
        <v>56</v>
      </c>
      <c r="I208" s="79">
        <f t="shared" si="24"/>
        <v>1</v>
      </c>
      <c r="J208" s="77">
        <v>1</v>
      </c>
      <c r="K208" s="77" t="s">
        <v>56</v>
      </c>
      <c r="L208" s="77" t="s">
        <v>56</v>
      </c>
      <c r="M208" s="77">
        <f t="shared" si="25"/>
        <v>1</v>
      </c>
      <c r="N208" s="97">
        <f t="shared" si="26"/>
        <v>1</v>
      </c>
      <c r="O208" s="82" t="str">
        <f t="shared" si="27"/>
        <v>-</v>
      </c>
      <c r="P208" s="83">
        <v>0</v>
      </c>
      <c r="Q208" s="83">
        <v>1</v>
      </c>
      <c r="R208" s="83">
        <v>0</v>
      </c>
      <c r="S208" s="79">
        <f t="shared" si="28"/>
        <v>1</v>
      </c>
      <c r="T208" s="84">
        <v>0</v>
      </c>
      <c r="U208" s="84">
        <v>1</v>
      </c>
      <c r="V208" s="84">
        <v>0</v>
      </c>
      <c r="W208" s="85">
        <f t="shared" si="29"/>
        <v>1</v>
      </c>
      <c r="X208" s="86">
        <v>0</v>
      </c>
      <c r="Y208" s="86">
        <v>1</v>
      </c>
      <c r="Z208" s="86">
        <v>0</v>
      </c>
      <c r="AA208" s="88">
        <v>1</v>
      </c>
      <c r="AB208" s="89">
        <v>0</v>
      </c>
      <c r="AC208" s="89">
        <v>1</v>
      </c>
      <c r="AD208" s="89">
        <v>0</v>
      </c>
      <c r="AE208" s="90">
        <f t="shared" si="30"/>
        <v>1</v>
      </c>
      <c r="AF208" s="91">
        <v>0</v>
      </c>
      <c r="AG208" s="91">
        <v>0</v>
      </c>
      <c r="AH208" s="91">
        <v>0</v>
      </c>
      <c r="AI208" s="87">
        <f t="shared" si="31"/>
        <v>0</v>
      </c>
      <c r="AJ208" s="77" t="s">
        <v>96</v>
      </c>
      <c r="AK208" s="77" t="s">
        <v>96</v>
      </c>
      <c r="AL208" s="77" t="s">
        <v>135</v>
      </c>
      <c r="AM208" s="77"/>
    </row>
    <row r="209" spans="2:39" s="65" customFormat="1" ht="15.9" customHeight="1">
      <c r="B209" s="75">
        <f>SUBTOTAL(3,C$4:$C209)</f>
        <v>206</v>
      </c>
      <c r="C209" s="76" t="s">
        <v>149</v>
      </c>
      <c r="D209" s="77">
        <v>2025</v>
      </c>
      <c r="E209" s="77" t="s">
        <v>60</v>
      </c>
      <c r="F209" s="77" t="s">
        <v>56</v>
      </c>
      <c r="G209" s="77" t="s">
        <v>56</v>
      </c>
      <c r="H209" s="77" t="s">
        <v>56</v>
      </c>
      <c r="I209" s="79" t="str">
        <f t="shared" si="24"/>
        <v>-</v>
      </c>
      <c r="J209" s="77">
        <v>2</v>
      </c>
      <c r="K209" s="77" t="s">
        <v>56</v>
      </c>
      <c r="L209" s="77" t="s">
        <v>56</v>
      </c>
      <c r="M209" s="77">
        <f t="shared" si="25"/>
        <v>2</v>
      </c>
      <c r="N209" s="81">
        <f t="shared" si="26"/>
        <v>2</v>
      </c>
      <c r="O209" s="82" t="str">
        <f t="shared" si="27"/>
        <v>-</v>
      </c>
      <c r="P209" s="83">
        <v>2</v>
      </c>
      <c r="Q209" s="83">
        <v>0</v>
      </c>
      <c r="R209" s="83">
        <v>0</v>
      </c>
      <c r="S209" s="79">
        <f t="shared" si="28"/>
        <v>2</v>
      </c>
      <c r="T209" s="84">
        <v>2</v>
      </c>
      <c r="U209" s="84">
        <v>0</v>
      </c>
      <c r="V209" s="84">
        <v>0</v>
      </c>
      <c r="W209" s="85">
        <f t="shared" si="29"/>
        <v>2</v>
      </c>
      <c r="X209" s="86">
        <v>2</v>
      </c>
      <c r="Y209" s="86">
        <v>0</v>
      </c>
      <c r="Z209" s="86">
        <v>0</v>
      </c>
      <c r="AA209" s="88">
        <v>2</v>
      </c>
      <c r="AB209" s="89">
        <v>2</v>
      </c>
      <c r="AC209" s="89">
        <v>0</v>
      </c>
      <c r="AD209" s="89">
        <v>0</v>
      </c>
      <c r="AE209" s="90">
        <f t="shared" si="30"/>
        <v>2</v>
      </c>
      <c r="AF209" s="91">
        <v>2</v>
      </c>
      <c r="AG209" s="91">
        <v>0</v>
      </c>
      <c r="AH209" s="91">
        <v>0</v>
      </c>
      <c r="AI209" s="87">
        <f t="shared" si="31"/>
        <v>2</v>
      </c>
      <c r="AJ209" s="77" t="s">
        <v>96</v>
      </c>
      <c r="AK209" s="77" t="s">
        <v>96</v>
      </c>
      <c r="AL209" s="77"/>
      <c r="AM209" s="95">
        <v>45791</v>
      </c>
    </row>
    <row r="210" spans="2:39" s="65" customFormat="1" ht="15.9" customHeight="1">
      <c r="B210" s="75">
        <f>SUBTOTAL(3,C$4:$C210)</f>
        <v>207</v>
      </c>
      <c r="C210" s="76" t="s">
        <v>150</v>
      </c>
      <c r="D210" s="77">
        <v>2025</v>
      </c>
      <c r="E210" s="77" t="s">
        <v>60</v>
      </c>
      <c r="F210" s="77" t="s">
        <v>56</v>
      </c>
      <c r="G210" s="77" t="s">
        <v>56</v>
      </c>
      <c r="H210" s="77" t="s">
        <v>56</v>
      </c>
      <c r="I210" s="79" t="str">
        <f t="shared" si="24"/>
        <v>-</v>
      </c>
      <c r="J210" s="77">
        <v>1</v>
      </c>
      <c r="K210" s="77" t="s">
        <v>56</v>
      </c>
      <c r="L210" s="77" t="s">
        <v>56</v>
      </c>
      <c r="M210" s="77">
        <f t="shared" si="25"/>
        <v>1</v>
      </c>
      <c r="N210" s="81">
        <f t="shared" si="26"/>
        <v>1</v>
      </c>
      <c r="O210" s="82" t="str">
        <f t="shared" si="27"/>
        <v>-</v>
      </c>
      <c r="P210" s="83">
        <v>1</v>
      </c>
      <c r="Q210" s="83">
        <v>0</v>
      </c>
      <c r="R210" s="83">
        <v>0</v>
      </c>
      <c r="S210" s="79">
        <f t="shared" si="28"/>
        <v>1</v>
      </c>
      <c r="T210" s="84">
        <v>1</v>
      </c>
      <c r="U210" s="84">
        <v>0</v>
      </c>
      <c r="V210" s="84">
        <v>0</v>
      </c>
      <c r="W210" s="85">
        <f t="shared" si="29"/>
        <v>1</v>
      </c>
      <c r="X210" s="86">
        <v>1</v>
      </c>
      <c r="Y210" s="86">
        <v>0</v>
      </c>
      <c r="Z210" s="86">
        <v>0</v>
      </c>
      <c r="AA210" s="88">
        <v>1</v>
      </c>
      <c r="AB210" s="89">
        <v>1</v>
      </c>
      <c r="AC210" s="89">
        <v>0</v>
      </c>
      <c r="AD210" s="89">
        <v>0</v>
      </c>
      <c r="AE210" s="90">
        <f t="shared" si="30"/>
        <v>1</v>
      </c>
      <c r="AF210" s="91">
        <v>1</v>
      </c>
      <c r="AG210" s="91">
        <v>0</v>
      </c>
      <c r="AH210" s="91">
        <v>0</v>
      </c>
      <c r="AI210" s="87">
        <f t="shared" si="31"/>
        <v>1</v>
      </c>
      <c r="AJ210" s="77" t="s">
        <v>96</v>
      </c>
      <c r="AK210" s="77" t="s">
        <v>96</v>
      </c>
      <c r="AL210" s="77"/>
      <c r="AM210" s="95">
        <v>45887</v>
      </c>
    </row>
    <row r="211" spans="2:39" s="65" customFormat="1" ht="15.9" customHeight="1">
      <c r="B211" s="75">
        <f>SUBTOTAL(3,C$4:$C211)</f>
        <v>208</v>
      </c>
      <c r="C211" s="76" t="s">
        <v>151</v>
      </c>
      <c r="D211" s="77">
        <v>2025</v>
      </c>
      <c r="E211" s="77" t="s">
        <v>60</v>
      </c>
      <c r="F211" s="77" t="s">
        <v>56</v>
      </c>
      <c r="G211" s="77" t="s">
        <v>56</v>
      </c>
      <c r="H211" s="77" t="s">
        <v>56</v>
      </c>
      <c r="I211" s="79" t="str">
        <f t="shared" si="24"/>
        <v>-</v>
      </c>
      <c r="J211" s="77">
        <v>1</v>
      </c>
      <c r="K211" s="77" t="s">
        <v>56</v>
      </c>
      <c r="L211" s="77" t="s">
        <v>56</v>
      </c>
      <c r="M211" s="77">
        <f t="shared" si="25"/>
        <v>1</v>
      </c>
      <c r="N211" s="81">
        <f t="shared" si="26"/>
        <v>1</v>
      </c>
      <c r="O211" s="82" t="str">
        <f t="shared" si="27"/>
        <v>-</v>
      </c>
      <c r="P211" s="83">
        <v>1</v>
      </c>
      <c r="Q211" s="83">
        <v>0</v>
      </c>
      <c r="R211" s="83">
        <v>0</v>
      </c>
      <c r="S211" s="79">
        <f t="shared" si="28"/>
        <v>1</v>
      </c>
      <c r="T211" s="84">
        <v>1</v>
      </c>
      <c r="U211" s="84">
        <v>0</v>
      </c>
      <c r="V211" s="84">
        <v>0</v>
      </c>
      <c r="W211" s="85">
        <f t="shared" si="29"/>
        <v>1</v>
      </c>
      <c r="X211" s="86">
        <v>1</v>
      </c>
      <c r="Y211" s="86">
        <v>0</v>
      </c>
      <c r="Z211" s="86">
        <v>0</v>
      </c>
      <c r="AA211" s="88">
        <v>1</v>
      </c>
      <c r="AB211" s="89">
        <v>1</v>
      </c>
      <c r="AC211" s="89">
        <v>0</v>
      </c>
      <c r="AD211" s="89">
        <v>0</v>
      </c>
      <c r="AE211" s="90">
        <f t="shared" si="30"/>
        <v>1</v>
      </c>
      <c r="AF211" s="91">
        <v>1</v>
      </c>
      <c r="AG211" s="91">
        <v>0</v>
      </c>
      <c r="AH211" s="91">
        <v>0</v>
      </c>
      <c r="AI211" s="87">
        <f t="shared" si="31"/>
        <v>1</v>
      </c>
      <c r="AJ211" s="77" t="s">
        <v>96</v>
      </c>
      <c r="AK211" s="77" t="s">
        <v>96</v>
      </c>
      <c r="AL211" s="77"/>
      <c r="AM211" s="95">
        <v>45887</v>
      </c>
    </row>
    <row r="212" spans="2:39" s="65" customFormat="1" ht="15.9" customHeight="1">
      <c r="B212" s="75">
        <f>SUBTOTAL(3,C$4:$C212)</f>
        <v>209</v>
      </c>
      <c r="C212" s="76" t="s">
        <v>152</v>
      </c>
      <c r="D212" s="77">
        <v>2021</v>
      </c>
      <c r="E212" s="77" t="s">
        <v>55</v>
      </c>
      <c r="F212" s="77">
        <v>1</v>
      </c>
      <c r="G212" s="77" t="s">
        <v>56</v>
      </c>
      <c r="H212" s="77" t="s">
        <v>56</v>
      </c>
      <c r="I212" s="79">
        <f t="shared" si="24"/>
        <v>1</v>
      </c>
      <c r="J212" s="77">
        <v>1</v>
      </c>
      <c r="K212" s="77" t="s">
        <v>56</v>
      </c>
      <c r="L212" s="77" t="s">
        <v>56</v>
      </c>
      <c r="M212" s="77">
        <f t="shared" si="25"/>
        <v>1</v>
      </c>
      <c r="N212" s="97">
        <f t="shared" si="26"/>
        <v>1</v>
      </c>
      <c r="O212" s="82" t="str">
        <f t="shared" si="27"/>
        <v>-</v>
      </c>
      <c r="P212" s="83">
        <v>1</v>
      </c>
      <c r="Q212" s="83">
        <v>0</v>
      </c>
      <c r="R212" s="83">
        <v>0</v>
      </c>
      <c r="S212" s="79">
        <f t="shared" si="28"/>
        <v>1</v>
      </c>
      <c r="T212" s="84">
        <v>0</v>
      </c>
      <c r="U212" s="84">
        <v>1</v>
      </c>
      <c r="V212" s="84">
        <v>0</v>
      </c>
      <c r="W212" s="85">
        <f t="shared" si="29"/>
        <v>1</v>
      </c>
      <c r="X212" s="86">
        <v>0</v>
      </c>
      <c r="Y212" s="86">
        <v>1</v>
      </c>
      <c r="Z212" s="86">
        <v>0</v>
      </c>
      <c r="AA212" s="88">
        <v>1</v>
      </c>
      <c r="AB212" s="89">
        <v>1</v>
      </c>
      <c r="AC212" s="89">
        <v>0</v>
      </c>
      <c r="AD212" s="89">
        <v>0</v>
      </c>
      <c r="AE212" s="90">
        <f t="shared" si="30"/>
        <v>1</v>
      </c>
      <c r="AF212" s="91">
        <v>0</v>
      </c>
      <c r="AG212" s="91">
        <v>1</v>
      </c>
      <c r="AH212" s="91">
        <v>0</v>
      </c>
      <c r="AI212" s="87">
        <f t="shared" si="31"/>
        <v>1</v>
      </c>
      <c r="AJ212" s="77" t="s">
        <v>153</v>
      </c>
      <c r="AK212" s="77" t="s">
        <v>153</v>
      </c>
      <c r="AL212" s="77" t="s">
        <v>598</v>
      </c>
      <c r="AM212" s="77"/>
    </row>
    <row r="213" spans="2:39" s="65" customFormat="1" ht="15.9" customHeight="1">
      <c r="B213" s="75">
        <f>SUBTOTAL(3,C$4:$C213)</f>
        <v>210</v>
      </c>
      <c r="C213" s="76" t="s">
        <v>155</v>
      </c>
      <c r="D213" s="77">
        <v>2010</v>
      </c>
      <c r="E213" s="77" t="s">
        <v>60</v>
      </c>
      <c r="F213" s="77">
        <v>4</v>
      </c>
      <c r="G213" s="77" t="s">
        <v>56</v>
      </c>
      <c r="H213" s="77">
        <v>1</v>
      </c>
      <c r="I213" s="79">
        <f t="shared" si="24"/>
        <v>4</v>
      </c>
      <c r="J213" s="77">
        <v>2</v>
      </c>
      <c r="K213" s="77" t="s">
        <v>56</v>
      </c>
      <c r="L213" s="77">
        <v>2</v>
      </c>
      <c r="M213" s="77">
        <f t="shared" si="25"/>
        <v>4</v>
      </c>
      <c r="N213" s="97">
        <f t="shared" si="26"/>
        <v>2</v>
      </c>
      <c r="O213" s="82">
        <f t="shared" si="27"/>
        <v>2</v>
      </c>
      <c r="P213" s="83">
        <v>0</v>
      </c>
      <c r="Q213" s="83">
        <v>2</v>
      </c>
      <c r="R213" s="83">
        <v>0</v>
      </c>
      <c r="S213" s="79">
        <f t="shared" si="28"/>
        <v>2</v>
      </c>
      <c r="T213" s="84">
        <v>0</v>
      </c>
      <c r="U213" s="84">
        <v>2</v>
      </c>
      <c r="V213" s="84">
        <v>0</v>
      </c>
      <c r="W213" s="85">
        <f t="shared" si="29"/>
        <v>2</v>
      </c>
      <c r="X213" s="86">
        <v>0</v>
      </c>
      <c r="Y213" s="86">
        <v>2</v>
      </c>
      <c r="Z213" s="86">
        <v>0</v>
      </c>
      <c r="AA213" s="88">
        <v>2</v>
      </c>
      <c r="AB213" s="89">
        <v>0</v>
      </c>
      <c r="AC213" s="89">
        <v>2</v>
      </c>
      <c r="AD213" s="89">
        <v>0</v>
      </c>
      <c r="AE213" s="90">
        <f t="shared" si="30"/>
        <v>2</v>
      </c>
      <c r="AF213" s="91">
        <v>0</v>
      </c>
      <c r="AG213" s="91">
        <v>0</v>
      </c>
      <c r="AH213" s="91">
        <v>0</v>
      </c>
      <c r="AI213" s="87">
        <f t="shared" si="31"/>
        <v>0</v>
      </c>
      <c r="AJ213" s="77" t="s">
        <v>153</v>
      </c>
      <c r="AK213" s="77" t="s">
        <v>153</v>
      </c>
      <c r="AL213" s="77" t="s">
        <v>135</v>
      </c>
      <c r="AM213" s="77"/>
    </row>
    <row r="214" spans="2:39" s="65" customFormat="1" ht="15.9" customHeight="1">
      <c r="B214" s="75">
        <f>SUBTOTAL(3,C$4:$C214)</f>
        <v>211</v>
      </c>
      <c r="C214" s="76" t="s">
        <v>156</v>
      </c>
      <c r="D214" s="77">
        <v>2024</v>
      </c>
      <c r="E214" s="77" t="s">
        <v>60</v>
      </c>
      <c r="F214" s="77">
        <v>15</v>
      </c>
      <c r="G214" s="77" t="s">
        <v>56</v>
      </c>
      <c r="H214" s="77" t="s">
        <v>56</v>
      </c>
      <c r="I214" s="79">
        <f t="shared" si="24"/>
        <v>15</v>
      </c>
      <c r="J214" s="77">
        <v>15</v>
      </c>
      <c r="K214" s="77" t="s">
        <v>56</v>
      </c>
      <c r="L214" s="77" t="s">
        <v>56</v>
      </c>
      <c r="M214" s="77">
        <f t="shared" si="25"/>
        <v>15</v>
      </c>
      <c r="N214" s="97">
        <f t="shared" si="26"/>
        <v>15</v>
      </c>
      <c r="O214" s="82" t="str">
        <f t="shared" si="27"/>
        <v>-</v>
      </c>
      <c r="P214" s="83">
        <v>15</v>
      </c>
      <c r="Q214" s="83">
        <v>0</v>
      </c>
      <c r="R214" s="83">
        <v>0</v>
      </c>
      <c r="S214" s="79">
        <f t="shared" si="28"/>
        <v>15</v>
      </c>
      <c r="T214" s="84">
        <v>15</v>
      </c>
      <c r="U214" s="84">
        <v>0</v>
      </c>
      <c r="V214" s="84">
        <v>0</v>
      </c>
      <c r="W214" s="85">
        <f t="shared" si="29"/>
        <v>15</v>
      </c>
      <c r="X214" s="86">
        <v>15</v>
      </c>
      <c r="Y214" s="86">
        <v>0</v>
      </c>
      <c r="Z214" s="86">
        <v>0</v>
      </c>
      <c r="AA214" s="88">
        <v>15</v>
      </c>
      <c r="AB214" s="89">
        <v>15</v>
      </c>
      <c r="AC214" s="89">
        <v>0</v>
      </c>
      <c r="AD214" s="89">
        <v>0</v>
      </c>
      <c r="AE214" s="90">
        <f t="shared" si="30"/>
        <v>15</v>
      </c>
      <c r="AF214" s="91">
        <v>15</v>
      </c>
      <c r="AG214" s="91">
        <v>0</v>
      </c>
      <c r="AH214" s="91">
        <v>0</v>
      </c>
      <c r="AI214" s="87">
        <f t="shared" si="31"/>
        <v>15</v>
      </c>
      <c r="AJ214" s="77" t="s">
        <v>153</v>
      </c>
      <c r="AK214" s="77" t="s">
        <v>153</v>
      </c>
      <c r="AL214" s="77"/>
      <c r="AM214" s="77"/>
    </row>
    <row r="215" spans="2:39" s="65" customFormat="1" ht="15.9" customHeight="1">
      <c r="B215" s="75">
        <f>SUBTOTAL(3,C$4:$C215)</f>
        <v>212</v>
      </c>
      <c r="C215" s="76" t="s">
        <v>157</v>
      </c>
      <c r="D215" s="77">
        <v>2010</v>
      </c>
      <c r="E215" s="77" t="s">
        <v>60</v>
      </c>
      <c r="F215" s="77">
        <v>4</v>
      </c>
      <c r="G215" s="77" t="s">
        <v>56</v>
      </c>
      <c r="H215" s="77" t="s">
        <v>56</v>
      </c>
      <c r="I215" s="79">
        <f t="shared" si="24"/>
        <v>4</v>
      </c>
      <c r="J215" s="77">
        <v>4</v>
      </c>
      <c r="K215" s="77" t="s">
        <v>56</v>
      </c>
      <c r="L215" s="77" t="s">
        <v>56</v>
      </c>
      <c r="M215" s="77">
        <f t="shared" si="25"/>
        <v>4</v>
      </c>
      <c r="N215" s="97">
        <f t="shared" si="26"/>
        <v>4</v>
      </c>
      <c r="O215" s="82" t="str">
        <f t="shared" si="27"/>
        <v>-</v>
      </c>
      <c r="P215" s="83">
        <v>0</v>
      </c>
      <c r="Q215" s="83">
        <v>4</v>
      </c>
      <c r="R215" s="83">
        <v>0</v>
      </c>
      <c r="S215" s="79">
        <f t="shared" si="28"/>
        <v>4</v>
      </c>
      <c r="T215" s="84">
        <v>0</v>
      </c>
      <c r="U215" s="84">
        <v>4</v>
      </c>
      <c r="V215" s="84">
        <v>0</v>
      </c>
      <c r="W215" s="85">
        <f t="shared" si="29"/>
        <v>4</v>
      </c>
      <c r="X215" s="86">
        <v>0</v>
      </c>
      <c r="Y215" s="86">
        <v>4</v>
      </c>
      <c r="Z215" s="86">
        <v>0</v>
      </c>
      <c r="AA215" s="88">
        <v>4</v>
      </c>
      <c r="AB215" s="89">
        <v>0</v>
      </c>
      <c r="AC215" s="89">
        <v>4</v>
      </c>
      <c r="AD215" s="89">
        <v>0</v>
      </c>
      <c r="AE215" s="90">
        <f t="shared" si="30"/>
        <v>4</v>
      </c>
      <c r="AF215" s="91">
        <v>0</v>
      </c>
      <c r="AG215" s="91">
        <v>4</v>
      </c>
      <c r="AH215" s="91">
        <v>0</v>
      </c>
      <c r="AI215" s="87">
        <f t="shared" si="31"/>
        <v>4</v>
      </c>
      <c r="AJ215" s="77" t="s">
        <v>153</v>
      </c>
      <c r="AK215" s="77" t="s">
        <v>153</v>
      </c>
      <c r="AL215" s="77" t="s">
        <v>116</v>
      </c>
      <c r="AM215" s="77"/>
    </row>
    <row r="216" spans="2:39" s="65" customFormat="1" ht="15.9" customHeight="1">
      <c r="B216" s="75">
        <f>SUBTOTAL(3,C$4:$C216)</f>
        <v>213</v>
      </c>
      <c r="C216" s="76" t="s">
        <v>158</v>
      </c>
      <c r="D216" s="77">
        <v>2024</v>
      </c>
      <c r="E216" s="77" t="s">
        <v>55</v>
      </c>
      <c r="F216" s="77">
        <v>2</v>
      </c>
      <c r="G216" s="77" t="s">
        <v>56</v>
      </c>
      <c r="H216" s="77" t="s">
        <v>56</v>
      </c>
      <c r="I216" s="79">
        <f t="shared" si="24"/>
        <v>2</v>
      </c>
      <c r="J216" s="77">
        <v>2</v>
      </c>
      <c r="K216" s="77" t="s">
        <v>56</v>
      </c>
      <c r="L216" s="77" t="s">
        <v>56</v>
      </c>
      <c r="M216" s="77">
        <f t="shared" si="25"/>
        <v>2</v>
      </c>
      <c r="N216" s="97">
        <f t="shared" si="26"/>
        <v>2</v>
      </c>
      <c r="O216" s="82" t="str">
        <f t="shared" si="27"/>
        <v>-</v>
      </c>
      <c r="P216" s="83">
        <v>2</v>
      </c>
      <c r="Q216" s="83">
        <v>0</v>
      </c>
      <c r="R216" s="83">
        <v>0</v>
      </c>
      <c r="S216" s="79">
        <f t="shared" si="28"/>
        <v>2</v>
      </c>
      <c r="T216" s="84">
        <v>2</v>
      </c>
      <c r="U216" s="84">
        <v>0</v>
      </c>
      <c r="V216" s="84">
        <v>0</v>
      </c>
      <c r="W216" s="85">
        <f t="shared" si="29"/>
        <v>2</v>
      </c>
      <c r="X216" s="86">
        <v>2</v>
      </c>
      <c r="Y216" s="86">
        <v>0</v>
      </c>
      <c r="Z216" s="86">
        <v>0</v>
      </c>
      <c r="AA216" s="88">
        <v>2</v>
      </c>
      <c r="AB216" s="89">
        <v>2</v>
      </c>
      <c r="AC216" s="89">
        <v>0</v>
      </c>
      <c r="AD216" s="89">
        <v>0</v>
      </c>
      <c r="AE216" s="90">
        <f t="shared" si="30"/>
        <v>2</v>
      </c>
      <c r="AF216" s="91">
        <v>2</v>
      </c>
      <c r="AG216" s="91">
        <v>0</v>
      </c>
      <c r="AH216" s="91">
        <v>0</v>
      </c>
      <c r="AI216" s="87">
        <f t="shared" si="31"/>
        <v>2</v>
      </c>
      <c r="AJ216" s="77" t="s">
        <v>153</v>
      </c>
      <c r="AK216" s="77" t="s">
        <v>153</v>
      </c>
      <c r="AL216" s="77"/>
      <c r="AM216" s="77"/>
    </row>
    <row r="217" spans="2:39" s="65" customFormat="1" ht="15.9" customHeight="1">
      <c r="B217" s="75">
        <f>SUBTOTAL(3,C$4:$C217)</f>
        <v>214</v>
      </c>
      <c r="C217" s="76" t="s">
        <v>64</v>
      </c>
      <c r="D217" s="77">
        <v>2018</v>
      </c>
      <c r="E217" s="77" t="s">
        <v>63</v>
      </c>
      <c r="F217" s="77">
        <v>29</v>
      </c>
      <c r="G217" s="77" t="s">
        <v>56</v>
      </c>
      <c r="H217" s="77" t="s">
        <v>56</v>
      </c>
      <c r="I217" s="79">
        <f t="shared" si="24"/>
        <v>29</v>
      </c>
      <c r="J217" s="77">
        <v>56</v>
      </c>
      <c r="K217" s="77" t="s">
        <v>56</v>
      </c>
      <c r="L217" s="77">
        <v>10</v>
      </c>
      <c r="M217" s="77">
        <f t="shared" si="25"/>
        <v>66</v>
      </c>
      <c r="N217" s="97">
        <f t="shared" si="26"/>
        <v>56</v>
      </c>
      <c r="O217" s="82">
        <f t="shared" si="27"/>
        <v>10</v>
      </c>
      <c r="P217" s="83">
        <v>56</v>
      </c>
      <c r="Q217" s="103">
        <v>10</v>
      </c>
      <c r="R217" s="103">
        <v>0</v>
      </c>
      <c r="S217" s="79">
        <f t="shared" si="28"/>
        <v>66</v>
      </c>
      <c r="T217" s="84">
        <v>56</v>
      </c>
      <c r="U217" s="104">
        <v>10</v>
      </c>
      <c r="V217" s="104">
        <v>0</v>
      </c>
      <c r="W217" s="85">
        <f t="shared" si="29"/>
        <v>66</v>
      </c>
      <c r="X217" s="86">
        <v>56</v>
      </c>
      <c r="Y217" s="105">
        <v>10</v>
      </c>
      <c r="Z217" s="105">
        <v>0</v>
      </c>
      <c r="AA217" s="88">
        <v>66</v>
      </c>
      <c r="AB217" s="89">
        <v>56</v>
      </c>
      <c r="AC217" s="106">
        <v>10</v>
      </c>
      <c r="AD217" s="106">
        <v>0</v>
      </c>
      <c r="AE217" s="90">
        <f t="shared" si="30"/>
        <v>66</v>
      </c>
      <c r="AF217" s="93">
        <v>54</v>
      </c>
      <c r="AG217" s="93">
        <v>2</v>
      </c>
      <c r="AH217" s="107">
        <v>0</v>
      </c>
      <c r="AI217" s="87">
        <f t="shared" si="31"/>
        <v>56</v>
      </c>
      <c r="AJ217" s="77" t="s">
        <v>153</v>
      </c>
      <c r="AK217" s="77" t="s">
        <v>159</v>
      </c>
      <c r="AL217" s="77" t="s">
        <v>160</v>
      </c>
      <c r="AM217" s="77"/>
    </row>
    <row r="218" spans="2:39" s="65" customFormat="1" ht="15.9" customHeight="1">
      <c r="B218" s="75">
        <f>SUBTOTAL(3,C$4:$C218)</f>
        <v>215</v>
      </c>
      <c r="C218" s="76" t="s">
        <v>161</v>
      </c>
      <c r="D218" s="77">
        <v>2016</v>
      </c>
      <c r="E218" s="77" t="s">
        <v>63</v>
      </c>
      <c r="F218" s="77"/>
      <c r="G218" s="77"/>
      <c r="H218" s="77"/>
      <c r="I218" s="97"/>
      <c r="J218" s="100">
        <v>6</v>
      </c>
      <c r="K218" s="100" t="s">
        <v>56</v>
      </c>
      <c r="L218" s="100" t="s">
        <v>56</v>
      </c>
      <c r="M218" s="77">
        <f t="shared" si="25"/>
        <v>6</v>
      </c>
      <c r="N218" s="97">
        <f t="shared" si="26"/>
        <v>6</v>
      </c>
      <c r="O218" s="82" t="str">
        <f t="shared" si="27"/>
        <v>-</v>
      </c>
      <c r="P218" s="83">
        <v>6</v>
      </c>
      <c r="Q218" s="83">
        <v>0</v>
      </c>
      <c r="R218" s="83">
        <v>0</v>
      </c>
      <c r="S218" s="79">
        <f t="shared" si="28"/>
        <v>6</v>
      </c>
      <c r="T218" s="84">
        <v>6</v>
      </c>
      <c r="U218" s="84">
        <v>0</v>
      </c>
      <c r="V218" s="84">
        <v>0</v>
      </c>
      <c r="W218" s="85">
        <f t="shared" si="29"/>
        <v>6</v>
      </c>
      <c r="X218" s="86">
        <v>6</v>
      </c>
      <c r="Y218" s="86">
        <v>0</v>
      </c>
      <c r="Z218" s="86">
        <v>0</v>
      </c>
      <c r="AA218" s="88">
        <v>6</v>
      </c>
      <c r="AB218" s="89">
        <v>6</v>
      </c>
      <c r="AC218" s="89">
        <v>0</v>
      </c>
      <c r="AD218" s="89">
        <v>0</v>
      </c>
      <c r="AE218" s="90">
        <f t="shared" si="30"/>
        <v>6</v>
      </c>
      <c r="AF218" s="91">
        <v>6</v>
      </c>
      <c r="AG218" s="91">
        <v>0</v>
      </c>
      <c r="AH218" s="91">
        <v>0</v>
      </c>
      <c r="AI218" s="87">
        <f t="shared" si="31"/>
        <v>6</v>
      </c>
      <c r="AJ218" s="77" t="s">
        <v>153</v>
      </c>
      <c r="AK218" s="77" t="s">
        <v>159</v>
      </c>
      <c r="AL218" s="77"/>
      <c r="AM218" s="95"/>
    </row>
    <row r="219" spans="2:39" s="65" customFormat="1" ht="15.9" customHeight="1">
      <c r="B219" s="75">
        <f>SUBTOTAL(3,C$4:$C219)</f>
        <v>216</v>
      </c>
      <c r="C219" s="76" t="s">
        <v>162</v>
      </c>
      <c r="D219" s="77">
        <v>2010</v>
      </c>
      <c r="E219" s="76" t="s">
        <v>63</v>
      </c>
      <c r="F219" s="99"/>
      <c r="G219" s="99"/>
      <c r="H219" s="99"/>
      <c r="I219" s="99"/>
      <c r="J219" s="100">
        <v>18</v>
      </c>
      <c r="K219" s="100" t="s">
        <v>56</v>
      </c>
      <c r="L219" s="100" t="s">
        <v>56</v>
      </c>
      <c r="M219" s="100">
        <f t="shared" si="25"/>
        <v>18</v>
      </c>
      <c r="N219" s="101">
        <f t="shared" si="26"/>
        <v>18</v>
      </c>
      <c r="O219" s="82" t="str">
        <f t="shared" si="27"/>
        <v>-</v>
      </c>
      <c r="P219" s="102">
        <v>18</v>
      </c>
      <c r="Q219" s="83">
        <v>0</v>
      </c>
      <c r="R219" s="83">
        <v>0</v>
      </c>
      <c r="S219" s="102">
        <f t="shared" si="28"/>
        <v>18</v>
      </c>
      <c r="T219" s="104">
        <v>18</v>
      </c>
      <c r="U219" s="84">
        <v>0</v>
      </c>
      <c r="V219" s="84">
        <v>0</v>
      </c>
      <c r="W219" s="104">
        <f t="shared" si="29"/>
        <v>18</v>
      </c>
      <c r="X219" s="105">
        <v>18</v>
      </c>
      <c r="Y219" s="86">
        <v>0</v>
      </c>
      <c r="Z219" s="86">
        <v>0</v>
      </c>
      <c r="AA219" s="105">
        <v>18</v>
      </c>
      <c r="AB219" s="106">
        <v>18</v>
      </c>
      <c r="AC219" s="89">
        <v>0</v>
      </c>
      <c r="AD219" s="89">
        <v>0</v>
      </c>
      <c r="AE219" s="90">
        <f t="shared" si="30"/>
        <v>18</v>
      </c>
      <c r="AF219" s="107">
        <v>18</v>
      </c>
      <c r="AG219" s="91">
        <v>0</v>
      </c>
      <c r="AH219" s="91">
        <v>0</v>
      </c>
      <c r="AI219" s="87">
        <f t="shared" si="31"/>
        <v>18</v>
      </c>
      <c r="AJ219" s="77" t="s">
        <v>153</v>
      </c>
      <c r="AK219" s="77" t="s">
        <v>159</v>
      </c>
      <c r="AL219" s="77"/>
      <c r="AM219" s="76"/>
    </row>
    <row r="220" spans="2:39" s="65" customFormat="1" ht="15.9" customHeight="1">
      <c r="B220" s="75">
        <f>SUBTOTAL(3,C$4:$C220)</f>
        <v>217</v>
      </c>
      <c r="C220" s="76" t="s">
        <v>99</v>
      </c>
      <c r="D220" s="77">
        <v>2010</v>
      </c>
      <c r="E220" s="77" t="s">
        <v>60</v>
      </c>
      <c r="F220" s="77">
        <v>30</v>
      </c>
      <c r="G220" s="77" t="s">
        <v>56</v>
      </c>
      <c r="H220" s="77" t="s">
        <v>56</v>
      </c>
      <c r="I220" s="79">
        <f t="shared" ref="I220:I234" si="32">F220</f>
        <v>30</v>
      </c>
      <c r="J220" s="77">
        <v>33</v>
      </c>
      <c r="K220" s="77" t="s">
        <v>56</v>
      </c>
      <c r="L220" s="77" t="s">
        <v>56</v>
      </c>
      <c r="M220" s="77">
        <f t="shared" si="25"/>
        <v>33</v>
      </c>
      <c r="N220" s="81">
        <f t="shared" si="26"/>
        <v>33</v>
      </c>
      <c r="O220" s="82" t="str">
        <f t="shared" si="27"/>
        <v>-</v>
      </c>
      <c r="P220" s="83">
        <v>33</v>
      </c>
      <c r="Q220" s="83">
        <v>0</v>
      </c>
      <c r="R220" s="83">
        <v>0</v>
      </c>
      <c r="S220" s="79">
        <f t="shared" si="28"/>
        <v>33</v>
      </c>
      <c r="T220" s="84">
        <v>33</v>
      </c>
      <c r="U220" s="84">
        <v>0</v>
      </c>
      <c r="V220" s="84">
        <v>0</v>
      </c>
      <c r="W220" s="85">
        <f t="shared" si="29"/>
        <v>33</v>
      </c>
      <c r="X220" s="86">
        <v>33</v>
      </c>
      <c r="Y220" s="86">
        <v>0</v>
      </c>
      <c r="Z220" s="86">
        <v>0</v>
      </c>
      <c r="AA220" s="88">
        <v>33</v>
      </c>
      <c r="AB220" s="89">
        <v>33</v>
      </c>
      <c r="AC220" s="89">
        <v>0</v>
      </c>
      <c r="AD220" s="89">
        <v>0</v>
      </c>
      <c r="AE220" s="90">
        <f t="shared" si="30"/>
        <v>33</v>
      </c>
      <c r="AF220" s="91">
        <v>33</v>
      </c>
      <c r="AG220" s="91">
        <v>0</v>
      </c>
      <c r="AH220" s="91">
        <v>0</v>
      </c>
      <c r="AI220" s="87">
        <f t="shared" si="31"/>
        <v>33</v>
      </c>
      <c r="AJ220" s="77" t="s">
        <v>163</v>
      </c>
      <c r="AK220" s="77" t="s">
        <v>164</v>
      </c>
      <c r="AL220" s="77"/>
      <c r="AM220" s="77"/>
    </row>
    <row r="221" spans="2:39" s="65" customFormat="1" ht="15.9" customHeight="1">
      <c r="B221" s="75">
        <f>SUBTOTAL(3,C$4:$C221)</f>
        <v>218</v>
      </c>
      <c r="C221" s="76" t="s">
        <v>165</v>
      </c>
      <c r="D221" s="77">
        <v>2010</v>
      </c>
      <c r="E221" s="77" t="s">
        <v>60</v>
      </c>
      <c r="F221" s="77">
        <v>4</v>
      </c>
      <c r="G221" s="77" t="s">
        <v>56</v>
      </c>
      <c r="H221" s="77" t="s">
        <v>56</v>
      </c>
      <c r="I221" s="79">
        <f t="shared" si="32"/>
        <v>4</v>
      </c>
      <c r="J221" s="77">
        <v>4</v>
      </c>
      <c r="K221" s="77" t="s">
        <v>56</v>
      </c>
      <c r="L221" s="77" t="s">
        <v>56</v>
      </c>
      <c r="M221" s="77">
        <f t="shared" si="25"/>
        <v>4</v>
      </c>
      <c r="N221" s="81">
        <f t="shared" si="26"/>
        <v>4</v>
      </c>
      <c r="O221" s="82" t="str">
        <f t="shared" si="27"/>
        <v>-</v>
      </c>
      <c r="P221" s="83">
        <v>4</v>
      </c>
      <c r="Q221" s="83">
        <v>0</v>
      </c>
      <c r="R221" s="83">
        <v>0</v>
      </c>
      <c r="S221" s="79">
        <f t="shared" si="28"/>
        <v>4</v>
      </c>
      <c r="T221" s="84">
        <v>4</v>
      </c>
      <c r="U221" s="84">
        <v>0</v>
      </c>
      <c r="V221" s="84">
        <v>0</v>
      </c>
      <c r="W221" s="85">
        <f t="shared" si="29"/>
        <v>4</v>
      </c>
      <c r="X221" s="86">
        <v>4</v>
      </c>
      <c r="Y221" s="86">
        <v>0</v>
      </c>
      <c r="Z221" s="86">
        <v>0</v>
      </c>
      <c r="AA221" s="88">
        <v>4</v>
      </c>
      <c r="AB221" s="89">
        <v>4</v>
      </c>
      <c r="AC221" s="89">
        <v>0</v>
      </c>
      <c r="AD221" s="89">
        <v>0</v>
      </c>
      <c r="AE221" s="90">
        <f t="shared" si="30"/>
        <v>4</v>
      </c>
      <c r="AF221" s="91">
        <v>4</v>
      </c>
      <c r="AG221" s="91">
        <v>0</v>
      </c>
      <c r="AH221" s="91">
        <v>0</v>
      </c>
      <c r="AI221" s="87">
        <f t="shared" si="31"/>
        <v>4</v>
      </c>
      <c r="AJ221" s="77" t="s">
        <v>163</v>
      </c>
      <c r="AK221" s="77" t="s">
        <v>164</v>
      </c>
      <c r="AL221" s="77"/>
      <c r="AM221" s="77"/>
    </row>
    <row r="222" spans="2:39" s="65" customFormat="1" ht="15.9" customHeight="1">
      <c r="B222" s="75">
        <f>SUBTOTAL(3,C$4:$C222)</f>
        <v>219</v>
      </c>
      <c r="C222" s="76" t="s">
        <v>166</v>
      </c>
      <c r="D222" s="77">
        <v>2018</v>
      </c>
      <c r="E222" s="77" t="s">
        <v>63</v>
      </c>
      <c r="F222" s="77">
        <v>4</v>
      </c>
      <c r="G222" s="77" t="s">
        <v>56</v>
      </c>
      <c r="H222" s="77" t="s">
        <v>56</v>
      </c>
      <c r="I222" s="79">
        <f t="shared" si="32"/>
        <v>4</v>
      </c>
      <c r="J222" s="77">
        <v>4</v>
      </c>
      <c r="K222" s="77" t="s">
        <v>56</v>
      </c>
      <c r="L222" s="77" t="s">
        <v>56</v>
      </c>
      <c r="M222" s="77">
        <f t="shared" si="25"/>
        <v>4</v>
      </c>
      <c r="N222" s="81">
        <f t="shared" si="26"/>
        <v>4</v>
      </c>
      <c r="O222" s="82" t="str">
        <f t="shared" si="27"/>
        <v>-</v>
      </c>
      <c r="P222" s="83">
        <v>4</v>
      </c>
      <c r="Q222" s="83">
        <v>0</v>
      </c>
      <c r="R222" s="83">
        <v>0</v>
      </c>
      <c r="S222" s="79">
        <f t="shared" si="28"/>
        <v>4</v>
      </c>
      <c r="T222" s="84">
        <v>4</v>
      </c>
      <c r="U222" s="84">
        <v>0</v>
      </c>
      <c r="V222" s="84">
        <v>0</v>
      </c>
      <c r="W222" s="85">
        <f t="shared" si="29"/>
        <v>4</v>
      </c>
      <c r="X222" s="86">
        <v>4</v>
      </c>
      <c r="Y222" s="86">
        <v>0</v>
      </c>
      <c r="Z222" s="86">
        <v>0</v>
      </c>
      <c r="AA222" s="88">
        <v>4</v>
      </c>
      <c r="AB222" s="89">
        <v>4</v>
      </c>
      <c r="AC222" s="89">
        <v>0</v>
      </c>
      <c r="AD222" s="89">
        <v>0</v>
      </c>
      <c r="AE222" s="90">
        <f t="shared" si="30"/>
        <v>4</v>
      </c>
      <c r="AF222" s="91">
        <v>4</v>
      </c>
      <c r="AG222" s="91">
        <v>0</v>
      </c>
      <c r="AH222" s="91">
        <v>0</v>
      </c>
      <c r="AI222" s="87">
        <f t="shared" si="31"/>
        <v>4</v>
      </c>
      <c r="AJ222" s="77" t="s">
        <v>163</v>
      </c>
      <c r="AK222" s="77" t="s">
        <v>164</v>
      </c>
      <c r="AL222" s="77"/>
      <c r="AM222" s="77"/>
    </row>
    <row r="223" spans="2:39" s="65" customFormat="1" ht="15.9" customHeight="1">
      <c r="B223" s="75">
        <f>SUBTOTAL(3,C$4:$C223)</f>
        <v>220</v>
      </c>
      <c r="C223" s="76" t="s">
        <v>167</v>
      </c>
      <c r="D223" s="77">
        <v>2018</v>
      </c>
      <c r="E223" s="77" t="s">
        <v>63</v>
      </c>
      <c r="F223" s="77">
        <v>1</v>
      </c>
      <c r="G223" s="77" t="s">
        <v>56</v>
      </c>
      <c r="H223" s="77" t="s">
        <v>56</v>
      </c>
      <c r="I223" s="79">
        <f t="shared" si="32"/>
        <v>1</v>
      </c>
      <c r="J223" s="77">
        <v>1</v>
      </c>
      <c r="K223" s="77" t="s">
        <v>56</v>
      </c>
      <c r="L223" s="77" t="s">
        <v>56</v>
      </c>
      <c r="M223" s="77">
        <f t="shared" si="25"/>
        <v>1</v>
      </c>
      <c r="N223" s="81">
        <f t="shared" si="26"/>
        <v>1</v>
      </c>
      <c r="O223" s="82" t="str">
        <f t="shared" si="27"/>
        <v>-</v>
      </c>
      <c r="P223" s="83">
        <v>1</v>
      </c>
      <c r="Q223" s="83">
        <v>0</v>
      </c>
      <c r="R223" s="83">
        <v>0</v>
      </c>
      <c r="S223" s="79">
        <f t="shared" si="28"/>
        <v>1</v>
      </c>
      <c r="T223" s="84">
        <v>1</v>
      </c>
      <c r="U223" s="84">
        <v>0</v>
      </c>
      <c r="V223" s="84">
        <v>0</v>
      </c>
      <c r="W223" s="85">
        <f t="shared" si="29"/>
        <v>1</v>
      </c>
      <c r="X223" s="86">
        <v>1</v>
      </c>
      <c r="Y223" s="86">
        <v>0</v>
      </c>
      <c r="Z223" s="86">
        <v>0</v>
      </c>
      <c r="AA223" s="88">
        <v>1</v>
      </c>
      <c r="AB223" s="89">
        <v>1</v>
      </c>
      <c r="AC223" s="89">
        <v>0</v>
      </c>
      <c r="AD223" s="89">
        <v>0</v>
      </c>
      <c r="AE223" s="90">
        <f t="shared" si="30"/>
        <v>1</v>
      </c>
      <c r="AF223" s="91">
        <v>1</v>
      </c>
      <c r="AG223" s="91">
        <v>0</v>
      </c>
      <c r="AH223" s="91">
        <v>0</v>
      </c>
      <c r="AI223" s="87">
        <f t="shared" si="31"/>
        <v>1</v>
      </c>
      <c r="AJ223" s="77" t="s">
        <v>163</v>
      </c>
      <c r="AK223" s="77" t="s">
        <v>164</v>
      </c>
      <c r="AL223" s="77"/>
      <c r="AM223" s="77"/>
    </row>
    <row r="224" spans="2:39" s="65" customFormat="1" ht="15.9" customHeight="1">
      <c r="B224" s="75">
        <f>SUBTOTAL(3,C$4:$C224)</f>
        <v>221</v>
      </c>
      <c r="C224" s="76" t="s">
        <v>168</v>
      </c>
      <c r="D224" s="77">
        <v>2010</v>
      </c>
      <c r="E224" s="77" t="s">
        <v>60</v>
      </c>
      <c r="F224" s="77">
        <v>1</v>
      </c>
      <c r="G224" s="77" t="s">
        <v>56</v>
      </c>
      <c r="H224" s="77" t="s">
        <v>56</v>
      </c>
      <c r="I224" s="79">
        <f t="shared" si="32"/>
        <v>1</v>
      </c>
      <c r="J224" s="77">
        <v>1</v>
      </c>
      <c r="K224" s="77" t="s">
        <v>56</v>
      </c>
      <c r="L224" s="77" t="s">
        <v>56</v>
      </c>
      <c r="M224" s="77">
        <f t="shared" si="25"/>
        <v>1</v>
      </c>
      <c r="N224" s="81">
        <f t="shared" si="26"/>
        <v>1</v>
      </c>
      <c r="O224" s="82" t="str">
        <f t="shared" si="27"/>
        <v>-</v>
      </c>
      <c r="P224" s="83">
        <v>1</v>
      </c>
      <c r="Q224" s="83">
        <v>0</v>
      </c>
      <c r="R224" s="83">
        <v>0</v>
      </c>
      <c r="S224" s="79">
        <f t="shared" si="28"/>
        <v>1</v>
      </c>
      <c r="T224" s="84">
        <v>1</v>
      </c>
      <c r="U224" s="84">
        <v>0</v>
      </c>
      <c r="V224" s="84">
        <v>0</v>
      </c>
      <c r="W224" s="85">
        <f t="shared" si="29"/>
        <v>1</v>
      </c>
      <c r="X224" s="86">
        <v>1</v>
      </c>
      <c r="Y224" s="86">
        <v>0</v>
      </c>
      <c r="Z224" s="86">
        <v>0</v>
      </c>
      <c r="AA224" s="88">
        <v>1</v>
      </c>
      <c r="AB224" s="89">
        <v>1</v>
      </c>
      <c r="AC224" s="89">
        <v>0</v>
      </c>
      <c r="AD224" s="89">
        <v>0</v>
      </c>
      <c r="AE224" s="90">
        <f t="shared" si="30"/>
        <v>1</v>
      </c>
      <c r="AF224" s="91">
        <v>1</v>
      </c>
      <c r="AG224" s="91">
        <v>0</v>
      </c>
      <c r="AH224" s="91">
        <v>0</v>
      </c>
      <c r="AI224" s="87">
        <f t="shared" si="31"/>
        <v>1</v>
      </c>
      <c r="AJ224" s="77" t="s">
        <v>163</v>
      </c>
      <c r="AK224" s="77" t="s">
        <v>164</v>
      </c>
      <c r="AL224" s="77"/>
      <c r="AM224" s="77"/>
    </row>
    <row r="225" spans="2:39" s="65" customFormat="1" ht="15.9" customHeight="1">
      <c r="B225" s="75">
        <f>SUBTOTAL(3,C$4:$C225)</f>
        <v>222</v>
      </c>
      <c r="C225" s="76" t="s">
        <v>169</v>
      </c>
      <c r="D225" s="77">
        <v>2010</v>
      </c>
      <c r="E225" s="77" t="s">
        <v>71</v>
      </c>
      <c r="F225" s="77">
        <v>1</v>
      </c>
      <c r="G225" s="77" t="s">
        <v>56</v>
      </c>
      <c r="H225" s="77" t="s">
        <v>56</v>
      </c>
      <c r="I225" s="79">
        <f t="shared" si="32"/>
        <v>1</v>
      </c>
      <c r="J225" s="77">
        <v>1</v>
      </c>
      <c r="K225" s="77" t="s">
        <v>56</v>
      </c>
      <c r="L225" s="77" t="s">
        <v>56</v>
      </c>
      <c r="M225" s="77">
        <f t="shared" si="25"/>
        <v>1</v>
      </c>
      <c r="N225" s="81">
        <f t="shared" si="26"/>
        <v>1</v>
      </c>
      <c r="O225" s="82" t="str">
        <f t="shared" si="27"/>
        <v>-</v>
      </c>
      <c r="P225" s="83">
        <v>1</v>
      </c>
      <c r="Q225" s="83">
        <v>0</v>
      </c>
      <c r="R225" s="83">
        <v>0</v>
      </c>
      <c r="S225" s="79">
        <f t="shared" si="28"/>
        <v>1</v>
      </c>
      <c r="T225" s="84">
        <v>1</v>
      </c>
      <c r="U225" s="84">
        <v>0</v>
      </c>
      <c r="V225" s="84">
        <v>0</v>
      </c>
      <c r="W225" s="85">
        <f t="shared" si="29"/>
        <v>1</v>
      </c>
      <c r="X225" s="86">
        <v>1</v>
      </c>
      <c r="Y225" s="86">
        <v>0</v>
      </c>
      <c r="Z225" s="86">
        <v>0</v>
      </c>
      <c r="AA225" s="88">
        <v>1</v>
      </c>
      <c r="AB225" s="89">
        <v>1</v>
      </c>
      <c r="AC225" s="89">
        <v>0</v>
      </c>
      <c r="AD225" s="89">
        <v>0</v>
      </c>
      <c r="AE225" s="90">
        <f t="shared" si="30"/>
        <v>1</v>
      </c>
      <c r="AF225" s="91">
        <v>1</v>
      </c>
      <c r="AG225" s="91">
        <v>0</v>
      </c>
      <c r="AH225" s="91">
        <v>0</v>
      </c>
      <c r="AI225" s="87">
        <f t="shared" si="31"/>
        <v>1</v>
      </c>
      <c r="AJ225" s="77" t="s">
        <v>163</v>
      </c>
      <c r="AK225" s="77" t="s">
        <v>164</v>
      </c>
      <c r="AL225" s="77"/>
      <c r="AM225" s="77"/>
    </row>
    <row r="226" spans="2:39" s="65" customFormat="1" ht="15.9" customHeight="1">
      <c r="B226" s="75">
        <f>SUBTOTAL(3,C$4:$C226)</f>
        <v>223</v>
      </c>
      <c r="C226" s="76" t="s">
        <v>170</v>
      </c>
      <c r="D226" s="77">
        <v>2010</v>
      </c>
      <c r="E226" s="77" t="s">
        <v>71</v>
      </c>
      <c r="F226" s="77">
        <v>1</v>
      </c>
      <c r="G226" s="77" t="s">
        <v>56</v>
      </c>
      <c r="H226" s="77" t="s">
        <v>56</v>
      </c>
      <c r="I226" s="79">
        <f t="shared" si="32"/>
        <v>1</v>
      </c>
      <c r="J226" s="77">
        <v>1</v>
      </c>
      <c r="K226" s="77" t="s">
        <v>56</v>
      </c>
      <c r="L226" s="77" t="s">
        <v>56</v>
      </c>
      <c r="M226" s="77">
        <f t="shared" si="25"/>
        <v>1</v>
      </c>
      <c r="N226" s="81">
        <f t="shared" si="26"/>
        <v>1</v>
      </c>
      <c r="O226" s="82" t="str">
        <f t="shared" si="27"/>
        <v>-</v>
      </c>
      <c r="P226" s="83">
        <v>1</v>
      </c>
      <c r="Q226" s="83">
        <v>0</v>
      </c>
      <c r="R226" s="83">
        <v>0</v>
      </c>
      <c r="S226" s="79">
        <f t="shared" si="28"/>
        <v>1</v>
      </c>
      <c r="T226" s="84">
        <v>1</v>
      </c>
      <c r="U226" s="84">
        <v>0</v>
      </c>
      <c r="V226" s="84">
        <v>0</v>
      </c>
      <c r="W226" s="85">
        <f t="shared" si="29"/>
        <v>1</v>
      </c>
      <c r="X226" s="86">
        <v>1</v>
      </c>
      <c r="Y226" s="86">
        <v>0</v>
      </c>
      <c r="Z226" s="86">
        <v>0</v>
      </c>
      <c r="AA226" s="88">
        <v>1</v>
      </c>
      <c r="AB226" s="89">
        <v>1</v>
      </c>
      <c r="AC226" s="89">
        <v>0</v>
      </c>
      <c r="AD226" s="89">
        <v>0</v>
      </c>
      <c r="AE226" s="90">
        <f t="shared" si="30"/>
        <v>1</v>
      </c>
      <c r="AF226" s="91">
        <v>1</v>
      </c>
      <c r="AG226" s="91">
        <v>0</v>
      </c>
      <c r="AH226" s="91">
        <v>0</v>
      </c>
      <c r="AI226" s="87">
        <f t="shared" si="31"/>
        <v>1</v>
      </c>
      <c r="AJ226" s="77" t="s">
        <v>163</v>
      </c>
      <c r="AK226" s="77" t="s">
        <v>164</v>
      </c>
      <c r="AL226" s="77"/>
      <c r="AM226" s="77"/>
    </row>
    <row r="227" spans="2:39" s="65" customFormat="1" ht="15.9" customHeight="1">
      <c r="B227" s="75">
        <f>SUBTOTAL(3,C$4:$C227)</f>
        <v>224</v>
      </c>
      <c r="C227" s="76" t="s">
        <v>171</v>
      </c>
      <c r="D227" s="77"/>
      <c r="E227" s="77" t="s">
        <v>60</v>
      </c>
      <c r="F227" s="77">
        <v>1</v>
      </c>
      <c r="G227" s="77" t="s">
        <v>56</v>
      </c>
      <c r="H227" s="77" t="s">
        <v>56</v>
      </c>
      <c r="I227" s="79">
        <f t="shared" si="32"/>
        <v>1</v>
      </c>
      <c r="J227" s="77">
        <v>1</v>
      </c>
      <c r="K227" s="77" t="s">
        <v>56</v>
      </c>
      <c r="L227" s="77" t="s">
        <v>56</v>
      </c>
      <c r="M227" s="77">
        <f t="shared" si="25"/>
        <v>1</v>
      </c>
      <c r="N227" s="81">
        <f t="shared" si="26"/>
        <v>1</v>
      </c>
      <c r="O227" s="82" t="str">
        <f t="shared" si="27"/>
        <v>-</v>
      </c>
      <c r="P227" s="83">
        <v>1</v>
      </c>
      <c r="Q227" s="83">
        <v>0</v>
      </c>
      <c r="R227" s="83">
        <v>0</v>
      </c>
      <c r="S227" s="79">
        <f t="shared" si="28"/>
        <v>1</v>
      </c>
      <c r="T227" s="84">
        <v>1</v>
      </c>
      <c r="U227" s="84">
        <v>0</v>
      </c>
      <c r="V227" s="84">
        <v>0</v>
      </c>
      <c r="W227" s="85">
        <f t="shared" si="29"/>
        <v>1</v>
      </c>
      <c r="X227" s="86">
        <v>1</v>
      </c>
      <c r="Y227" s="86">
        <v>0</v>
      </c>
      <c r="Z227" s="86">
        <v>0</v>
      </c>
      <c r="AA227" s="88">
        <v>1</v>
      </c>
      <c r="AB227" s="89">
        <v>1</v>
      </c>
      <c r="AC227" s="89">
        <v>0</v>
      </c>
      <c r="AD227" s="89">
        <v>0</v>
      </c>
      <c r="AE227" s="90">
        <f t="shared" si="30"/>
        <v>1</v>
      </c>
      <c r="AF227" s="91">
        <v>1</v>
      </c>
      <c r="AG227" s="91">
        <v>0</v>
      </c>
      <c r="AH227" s="91">
        <v>0</v>
      </c>
      <c r="AI227" s="87">
        <f t="shared" si="31"/>
        <v>1</v>
      </c>
      <c r="AJ227" s="77" t="s">
        <v>163</v>
      </c>
      <c r="AK227" s="77" t="s">
        <v>164</v>
      </c>
      <c r="AL227" s="77"/>
      <c r="AM227" s="77"/>
    </row>
    <row r="228" spans="2:39" s="65" customFormat="1" ht="15.9" customHeight="1">
      <c r="B228" s="75">
        <f>SUBTOTAL(3,C$4:$C228)</f>
        <v>225</v>
      </c>
      <c r="C228" s="76" t="s">
        <v>172</v>
      </c>
      <c r="D228" s="77">
        <v>2010</v>
      </c>
      <c r="E228" s="77" t="s">
        <v>55</v>
      </c>
      <c r="F228" s="77">
        <v>3</v>
      </c>
      <c r="G228" s="77" t="s">
        <v>56</v>
      </c>
      <c r="H228" s="77" t="s">
        <v>56</v>
      </c>
      <c r="I228" s="79">
        <f t="shared" si="32"/>
        <v>3</v>
      </c>
      <c r="J228" s="77">
        <v>3</v>
      </c>
      <c r="K228" s="77" t="s">
        <v>56</v>
      </c>
      <c r="L228" s="77" t="s">
        <v>56</v>
      </c>
      <c r="M228" s="77">
        <f t="shared" si="25"/>
        <v>3</v>
      </c>
      <c r="N228" s="81">
        <f t="shared" si="26"/>
        <v>3</v>
      </c>
      <c r="O228" s="82" t="str">
        <f t="shared" si="27"/>
        <v>-</v>
      </c>
      <c r="P228" s="83">
        <v>3</v>
      </c>
      <c r="Q228" s="83">
        <v>0</v>
      </c>
      <c r="R228" s="83">
        <v>0</v>
      </c>
      <c r="S228" s="79">
        <f t="shared" si="28"/>
        <v>3</v>
      </c>
      <c r="T228" s="84">
        <v>3</v>
      </c>
      <c r="U228" s="84">
        <v>0</v>
      </c>
      <c r="V228" s="84">
        <v>0</v>
      </c>
      <c r="W228" s="85">
        <f t="shared" si="29"/>
        <v>3</v>
      </c>
      <c r="X228" s="86">
        <v>3</v>
      </c>
      <c r="Y228" s="86">
        <v>0</v>
      </c>
      <c r="Z228" s="86">
        <v>0</v>
      </c>
      <c r="AA228" s="88">
        <v>3</v>
      </c>
      <c r="AB228" s="89">
        <v>3</v>
      </c>
      <c r="AC228" s="89">
        <v>0</v>
      </c>
      <c r="AD228" s="89">
        <v>0</v>
      </c>
      <c r="AE228" s="90">
        <f t="shared" si="30"/>
        <v>3</v>
      </c>
      <c r="AF228" s="91">
        <v>3</v>
      </c>
      <c r="AG228" s="91">
        <v>0</v>
      </c>
      <c r="AH228" s="91">
        <v>0</v>
      </c>
      <c r="AI228" s="87">
        <f t="shared" si="31"/>
        <v>3</v>
      </c>
      <c r="AJ228" s="77" t="s">
        <v>163</v>
      </c>
      <c r="AK228" s="77" t="s">
        <v>164</v>
      </c>
      <c r="AL228" s="77"/>
      <c r="AM228" s="77"/>
    </row>
    <row r="229" spans="2:39" s="65" customFormat="1" ht="15.9" customHeight="1">
      <c r="B229" s="75">
        <f>SUBTOTAL(3,C$4:$C229)</f>
        <v>226</v>
      </c>
      <c r="C229" s="76" t="s">
        <v>173</v>
      </c>
      <c r="D229" s="77">
        <v>2010</v>
      </c>
      <c r="E229" s="77" t="s">
        <v>60</v>
      </c>
      <c r="F229" s="77">
        <v>1</v>
      </c>
      <c r="G229" s="77" t="s">
        <v>56</v>
      </c>
      <c r="H229" s="77" t="s">
        <v>56</v>
      </c>
      <c r="I229" s="79">
        <f t="shared" si="32"/>
        <v>1</v>
      </c>
      <c r="J229" s="77">
        <v>1</v>
      </c>
      <c r="K229" s="77" t="s">
        <v>56</v>
      </c>
      <c r="L229" s="77" t="s">
        <v>56</v>
      </c>
      <c r="M229" s="77">
        <f t="shared" si="25"/>
        <v>1</v>
      </c>
      <c r="N229" s="81">
        <f t="shared" si="26"/>
        <v>1</v>
      </c>
      <c r="O229" s="82" t="str">
        <f t="shared" si="27"/>
        <v>-</v>
      </c>
      <c r="P229" s="83">
        <v>1</v>
      </c>
      <c r="Q229" s="83">
        <v>0</v>
      </c>
      <c r="R229" s="83">
        <v>0</v>
      </c>
      <c r="S229" s="79">
        <f t="shared" si="28"/>
        <v>1</v>
      </c>
      <c r="T229" s="84">
        <v>1</v>
      </c>
      <c r="U229" s="84">
        <v>0</v>
      </c>
      <c r="V229" s="84">
        <v>0</v>
      </c>
      <c r="W229" s="85">
        <f t="shared" si="29"/>
        <v>1</v>
      </c>
      <c r="X229" s="86">
        <v>1</v>
      </c>
      <c r="Y229" s="86">
        <v>0</v>
      </c>
      <c r="Z229" s="86">
        <v>0</v>
      </c>
      <c r="AA229" s="88">
        <v>1</v>
      </c>
      <c r="AB229" s="89">
        <v>1</v>
      </c>
      <c r="AC229" s="89">
        <v>0</v>
      </c>
      <c r="AD229" s="89">
        <v>0</v>
      </c>
      <c r="AE229" s="90">
        <f t="shared" si="30"/>
        <v>1</v>
      </c>
      <c r="AF229" s="91">
        <v>1</v>
      </c>
      <c r="AG229" s="91">
        <v>0</v>
      </c>
      <c r="AH229" s="91">
        <v>0</v>
      </c>
      <c r="AI229" s="87">
        <f t="shared" si="31"/>
        <v>1</v>
      </c>
      <c r="AJ229" s="77" t="s">
        <v>163</v>
      </c>
      <c r="AK229" s="77" t="s">
        <v>164</v>
      </c>
      <c r="AL229" s="77"/>
      <c r="AM229" s="77"/>
    </row>
    <row r="230" spans="2:39" s="65" customFormat="1" ht="15.9" customHeight="1">
      <c r="B230" s="75">
        <f>SUBTOTAL(3,C$4:$C230)</f>
        <v>227</v>
      </c>
      <c r="C230" s="76" t="s">
        <v>70</v>
      </c>
      <c r="D230" s="77">
        <v>2010</v>
      </c>
      <c r="E230" s="77" t="s">
        <v>71</v>
      </c>
      <c r="F230" s="77">
        <v>3</v>
      </c>
      <c r="G230" s="77" t="s">
        <v>56</v>
      </c>
      <c r="H230" s="77" t="s">
        <v>56</v>
      </c>
      <c r="I230" s="79">
        <f t="shared" si="32"/>
        <v>3</v>
      </c>
      <c r="J230" s="77">
        <v>3</v>
      </c>
      <c r="K230" s="77" t="s">
        <v>56</v>
      </c>
      <c r="L230" s="77" t="s">
        <v>56</v>
      </c>
      <c r="M230" s="77">
        <f t="shared" si="25"/>
        <v>3</v>
      </c>
      <c r="N230" s="81">
        <f t="shared" si="26"/>
        <v>3</v>
      </c>
      <c r="O230" s="82" t="str">
        <f t="shared" si="27"/>
        <v>-</v>
      </c>
      <c r="P230" s="83">
        <v>3</v>
      </c>
      <c r="Q230" s="83">
        <v>0</v>
      </c>
      <c r="R230" s="83">
        <v>0</v>
      </c>
      <c r="S230" s="79">
        <f t="shared" si="28"/>
        <v>3</v>
      </c>
      <c r="T230" s="84">
        <v>3</v>
      </c>
      <c r="U230" s="84">
        <v>0</v>
      </c>
      <c r="V230" s="84">
        <v>0</v>
      </c>
      <c r="W230" s="85">
        <f t="shared" si="29"/>
        <v>3</v>
      </c>
      <c r="X230" s="86">
        <v>3</v>
      </c>
      <c r="Y230" s="86">
        <v>0</v>
      </c>
      <c r="Z230" s="86">
        <v>0</v>
      </c>
      <c r="AA230" s="88">
        <v>3</v>
      </c>
      <c r="AB230" s="89">
        <v>3</v>
      </c>
      <c r="AC230" s="89">
        <v>0</v>
      </c>
      <c r="AD230" s="89">
        <v>0</v>
      </c>
      <c r="AE230" s="90">
        <f t="shared" si="30"/>
        <v>3</v>
      </c>
      <c r="AF230" s="91">
        <v>3</v>
      </c>
      <c r="AG230" s="91">
        <v>0</v>
      </c>
      <c r="AH230" s="91">
        <v>0</v>
      </c>
      <c r="AI230" s="87">
        <f t="shared" si="31"/>
        <v>3</v>
      </c>
      <c r="AJ230" s="77" t="s">
        <v>163</v>
      </c>
      <c r="AK230" s="77" t="s">
        <v>164</v>
      </c>
      <c r="AL230" s="77"/>
      <c r="AM230" s="77"/>
    </row>
    <row r="231" spans="2:39" s="65" customFormat="1" ht="15.9" customHeight="1">
      <c r="B231" s="75">
        <f>SUBTOTAL(3,C$4:$C231)</f>
        <v>228</v>
      </c>
      <c r="C231" s="76" t="s">
        <v>174</v>
      </c>
      <c r="D231" s="77">
        <v>2010</v>
      </c>
      <c r="E231" s="77" t="s">
        <v>55</v>
      </c>
      <c r="F231" s="77">
        <v>1</v>
      </c>
      <c r="G231" s="77" t="s">
        <v>56</v>
      </c>
      <c r="H231" s="77" t="s">
        <v>56</v>
      </c>
      <c r="I231" s="79">
        <f t="shared" si="32"/>
        <v>1</v>
      </c>
      <c r="J231" s="77">
        <v>1</v>
      </c>
      <c r="K231" s="77" t="s">
        <v>56</v>
      </c>
      <c r="L231" s="77" t="s">
        <v>56</v>
      </c>
      <c r="M231" s="77">
        <f t="shared" si="25"/>
        <v>1</v>
      </c>
      <c r="N231" s="81">
        <f t="shared" si="26"/>
        <v>1</v>
      </c>
      <c r="O231" s="82" t="str">
        <f t="shared" si="27"/>
        <v>-</v>
      </c>
      <c r="P231" s="83">
        <v>1</v>
      </c>
      <c r="Q231" s="83">
        <v>0</v>
      </c>
      <c r="R231" s="83">
        <v>0</v>
      </c>
      <c r="S231" s="79">
        <f t="shared" si="28"/>
        <v>1</v>
      </c>
      <c r="T231" s="84">
        <v>1</v>
      </c>
      <c r="U231" s="84">
        <v>0</v>
      </c>
      <c r="V231" s="84">
        <v>0</v>
      </c>
      <c r="W231" s="85">
        <f t="shared" si="29"/>
        <v>1</v>
      </c>
      <c r="X231" s="86">
        <v>1</v>
      </c>
      <c r="Y231" s="86">
        <v>0</v>
      </c>
      <c r="Z231" s="86">
        <v>0</v>
      </c>
      <c r="AA231" s="88">
        <v>1</v>
      </c>
      <c r="AB231" s="89">
        <v>1</v>
      </c>
      <c r="AC231" s="89">
        <v>0</v>
      </c>
      <c r="AD231" s="89">
        <v>0</v>
      </c>
      <c r="AE231" s="90">
        <f t="shared" si="30"/>
        <v>1</v>
      </c>
      <c r="AF231" s="91">
        <v>1</v>
      </c>
      <c r="AG231" s="91">
        <v>0</v>
      </c>
      <c r="AH231" s="91">
        <v>0</v>
      </c>
      <c r="AI231" s="87">
        <f t="shared" si="31"/>
        <v>1</v>
      </c>
      <c r="AJ231" s="77" t="s">
        <v>163</v>
      </c>
      <c r="AK231" s="77" t="s">
        <v>164</v>
      </c>
      <c r="AL231" s="77"/>
      <c r="AM231" s="77"/>
    </row>
    <row r="232" spans="2:39" s="65" customFormat="1" ht="15.9" customHeight="1">
      <c r="B232" s="75">
        <f>SUBTOTAL(3,C$4:$C232)</f>
        <v>229</v>
      </c>
      <c r="C232" s="76" t="s">
        <v>147</v>
      </c>
      <c r="D232" s="77"/>
      <c r="E232" s="77" t="s">
        <v>55</v>
      </c>
      <c r="F232" s="77">
        <v>1</v>
      </c>
      <c r="G232" s="77" t="s">
        <v>56</v>
      </c>
      <c r="H232" s="77" t="s">
        <v>56</v>
      </c>
      <c r="I232" s="79">
        <f t="shared" si="32"/>
        <v>1</v>
      </c>
      <c r="J232" s="77">
        <v>1</v>
      </c>
      <c r="K232" s="77" t="s">
        <v>56</v>
      </c>
      <c r="L232" s="77" t="s">
        <v>56</v>
      </c>
      <c r="M232" s="77">
        <f t="shared" si="25"/>
        <v>1</v>
      </c>
      <c r="N232" s="81">
        <f t="shared" si="26"/>
        <v>1</v>
      </c>
      <c r="O232" s="82" t="str">
        <f t="shared" si="27"/>
        <v>-</v>
      </c>
      <c r="P232" s="83">
        <v>1</v>
      </c>
      <c r="Q232" s="83">
        <v>0</v>
      </c>
      <c r="R232" s="83">
        <v>0</v>
      </c>
      <c r="S232" s="79">
        <f t="shared" si="28"/>
        <v>1</v>
      </c>
      <c r="T232" s="84">
        <v>1</v>
      </c>
      <c r="U232" s="84">
        <v>0</v>
      </c>
      <c r="V232" s="84">
        <v>0</v>
      </c>
      <c r="W232" s="85">
        <f t="shared" si="29"/>
        <v>1</v>
      </c>
      <c r="X232" s="86">
        <v>1</v>
      </c>
      <c r="Y232" s="86">
        <v>0</v>
      </c>
      <c r="Z232" s="86">
        <v>0</v>
      </c>
      <c r="AA232" s="88">
        <v>1</v>
      </c>
      <c r="AB232" s="89">
        <v>1</v>
      </c>
      <c r="AC232" s="89">
        <v>0</v>
      </c>
      <c r="AD232" s="89">
        <v>0</v>
      </c>
      <c r="AE232" s="90">
        <f t="shared" si="30"/>
        <v>1</v>
      </c>
      <c r="AF232" s="91">
        <v>1</v>
      </c>
      <c r="AG232" s="91">
        <v>0</v>
      </c>
      <c r="AH232" s="91">
        <v>0</v>
      </c>
      <c r="AI232" s="87">
        <f t="shared" si="31"/>
        <v>1</v>
      </c>
      <c r="AJ232" s="77" t="s">
        <v>163</v>
      </c>
      <c r="AK232" s="77" t="s">
        <v>164</v>
      </c>
      <c r="AL232" s="77"/>
      <c r="AM232" s="77"/>
    </row>
    <row r="233" spans="2:39" s="65" customFormat="1" ht="15.9" customHeight="1">
      <c r="B233" s="75">
        <f>SUBTOTAL(3,C$4:$C233)</f>
        <v>230</v>
      </c>
      <c r="C233" s="76" t="s">
        <v>139</v>
      </c>
      <c r="D233" s="77">
        <v>2010</v>
      </c>
      <c r="E233" s="77" t="s">
        <v>55</v>
      </c>
      <c r="F233" s="77">
        <v>1</v>
      </c>
      <c r="G233" s="77" t="s">
        <v>56</v>
      </c>
      <c r="H233" s="77" t="s">
        <v>56</v>
      </c>
      <c r="I233" s="79">
        <f t="shared" si="32"/>
        <v>1</v>
      </c>
      <c r="J233" s="77">
        <v>1</v>
      </c>
      <c r="K233" s="77" t="s">
        <v>56</v>
      </c>
      <c r="L233" s="77" t="s">
        <v>56</v>
      </c>
      <c r="M233" s="77">
        <f t="shared" si="25"/>
        <v>1</v>
      </c>
      <c r="N233" s="81">
        <f t="shared" si="26"/>
        <v>1</v>
      </c>
      <c r="O233" s="82" t="str">
        <f t="shared" si="27"/>
        <v>-</v>
      </c>
      <c r="P233" s="83">
        <v>1</v>
      </c>
      <c r="Q233" s="83">
        <v>0</v>
      </c>
      <c r="R233" s="83">
        <v>0</v>
      </c>
      <c r="S233" s="79">
        <f t="shared" si="28"/>
        <v>1</v>
      </c>
      <c r="T233" s="84">
        <v>1</v>
      </c>
      <c r="U233" s="84">
        <v>0</v>
      </c>
      <c r="V233" s="84">
        <v>0</v>
      </c>
      <c r="W233" s="85">
        <f t="shared" si="29"/>
        <v>1</v>
      </c>
      <c r="X233" s="86">
        <v>1</v>
      </c>
      <c r="Y233" s="86">
        <v>0</v>
      </c>
      <c r="Z233" s="86">
        <v>0</v>
      </c>
      <c r="AA233" s="88">
        <v>1</v>
      </c>
      <c r="AB233" s="89">
        <v>1</v>
      </c>
      <c r="AC233" s="89">
        <v>0</v>
      </c>
      <c r="AD233" s="89">
        <v>0</v>
      </c>
      <c r="AE233" s="90">
        <f t="shared" si="30"/>
        <v>1</v>
      </c>
      <c r="AF233" s="91">
        <v>1</v>
      </c>
      <c r="AG233" s="91">
        <v>0</v>
      </c>
      <c r="AH233" s="91">
        <v>0</v>
      </c>
      <c r="AI233" s="87">
        <f t="shared" si="31"/>
        <v>1</v>
      </c>
      <c r="AJ233" s="77" t="s">
        <v>163</v>
      </c>
      <c r="AK233" s="77" t="s">
        <v>164</v>
      </c>
      <c r="AL233" s="77"/>
      <c r="AM233" s="77"/>
    </row>
    <row r="234" spans="2:39" s="65" customFormat="1" ht="15.9" customHeight="1">
      <c r="B234" s="75">
        <f>SUBTOTAL(3,C$4:$C234)</f>
        <v>231</v>
      </c>
      <c r="C234" s="76" t="s">
        <v>140</v>
      </c>
      <c r="D234" s="77">
        <v>2018</v>
      </c>
      <c r="E234" s="77" t="s">
        <v>55</v>
      </c>
      <c r="F234" s="77">
        <v>1</v>
      </c>
      <c r="G234" s="77" t="s">
        <v>56</v>
      </c>
      <c r="H234" s="77" t="s">
        <v>56</v>
      </c>
      <c r="I234" s="79">
        <f t="shared" si="32"/>
        <v>1</v>
      </c>
      <c r="J234" s="77">
        <v>1</v>
      </c>
      <c r="K234" s="77" t="s">
        <v>56</v>
      </c>
      <c r="L234" s="77" t="s">
        <v>56</v>
      </c>
      <c r="M234" s="77">
        <f t="shared" si="25"/>
        <v>1</v>
      </c>
      <c r="N234" s="81">
        <f t="shared" si="26"/>
        <v>1</v>
      </c>
      <c r="O234" s="82" t="str">
        <f t="shared" si="27"/>
        <v>-</v>
      </c>
      <c r="P234" s="83">
        <v>1</v>
      </c>
      <c r="Q234" s="83">
        <v>0</v>
      </c>
      <c r="R234" s="83">
        <v>0</v>
      </c>
      <c r="S234" s="79">
        <f t="shared" si="28"/>
        <v>1</v>
      </c>
      <c r="T234" s="84">
        <v>1</v>
      </c>
      <c r="U234" s="84">
        <v>0</v>
      </c>
      <c r="V234" s="84">
        <v>0</v>
      </c>
      <c r="W234" s="85">
        <f t="shared" si="29"/>
        <v>1</v>
      </c>
      <c r="X234" s="86">
        <v>1</v>
      </c>
      <c r="Y234" s="86">
        <v>0</v>
      </c>
      <c r="Z234" s="86">
        <v>0</v>
      </c>
      <c r="AA234" s="88">
        <v>1</v>
      </c>
      <c r="AB234" s="89">
        <v>1</v>
      </c>
      <c r="AC234" s="89">
        <v>0</v>
      </c>
      <c r="AD234" s="89">
        <v>0</v>
      </c>
      <c r="AE234" s="90">
        <f t="shared" si="30"/>
        <v>1</v>
      </c>
      <c r="AF234" s="91">
        <v>1</v>
      </c>
      <c r="AG234" s="91">
        <v>0</v>
      </c>
      <c r="AH234" s="91">
        <v>0</v>
      </c>
      <c r="AI234" s="87">
        <f t="shared" si="31"/>
        <v>1</v>
      </c>
      <c r="AJ234" s="77" t="s">
        <v>163</v>
      </c>
      <c r="AK234" s="77" t="s">
        <v>164</v>
      </c>
      <c r="AL234" s="77"/>
      <c r="AM234" s="77"/>
    </row>
    <row r="235" spans="2:39" s="65" customFormat="1" ht="15.9" customHeight="1">
      <c r="B235" s="75">
        <f>SUBTOTAL(3,C$4:$C235)</f>
        <v>232</v>
      </c>
      <c r="C235" s="76" t="s">
        <v>601</v>
      </c>
      <c r="D235" s="77"/>
      <c r="E235" s="77"/>
      <c r="F235" s="77"/>
      <c r="G235" s="77"/>
      <c r="H235" s="77"/>
      <c r="I235" s="79"/>
      <c r="J235" s="77"/>
      <c r="K235" s="77"/>
      <c r="L235" s="77"/>
      <c r="M235" s="77"/>
      <c r="N235" s="81"/>
      <c r="O235" s="82"/>
      <c r="P235" s="83"/>
      <c r="Q235" s="83"/>
      <c r="R235" s="83"/>
      <c r="S235" s="79"/>
      <c r="T235" s="84"/>
      <c r="U235" s="84"/>
      <c r="V235" s="84"/>
      <c r="W235" s="85"/>
      <c r="X235" s="86"/>
      <c r="Y235" s="86"/>
      <c r="Z235" s="86"/>
      <c r="AA235" s="88"/>
      <c r="AB235" s="89"/>
      <c r="AC235" s="89"/>
      <c r="AD235" s="89"/>
      <c r="AE235" s="90"/>
      <c r="AF235" s="91">
        <v>2</v>
      </c>
      <c r="AG235" s="91">
        <v>0</v>
      </c>
      <c r="AH235" s="91">
        <v>0</v>
      </c>
      <c r="AI235" s="87">
        <f t="shared" ref="AI235:AI259" si="33">SUM(AF235:AH235)</f>
        <v>2</v>
      </c>
      <c r="AJ235" s="77" t="s">
        <v>163</v>
      </c>
      <c r="AK235" s="77" t="s">
        <v>164</v>
      </c>
      <c r="AL235" s="77"/>
      <c r="AM235" s="77"/>
    </row>
    <row r="236" spans="2:39" s="65" customFormat="1" ht="15.9" customHeight="1">
      <c r="B236" s="75">
        <f>SUBTOTAL(3,C$4:$C236)</f>
        <v>233</v>
      </c>
      <c r="C236" s="76" t="s">
        <v>75</v>
      </c>
      <c r="D236" s="77">
        <v>2010</v>
      </c>
      <c r="E236" s="77" t="s">
        <v>60</v>
      </c>
      <c r="F236" s="77">
        <v>2</v>
      </c>
      <c r="G236" s="77" t="s">
        <v>56</v>
      </c>
      <c r="H236" s="77" t="s">
        <v>56</v>
      </c>
      <c r="I236" s="79">
        <f t="shared" ref="I236:I248" si="34">F236</f>
        <v>2</v>
      </c>
      <c r="J236" s="77">
        <v>2</v>
      </c>
      <c r="K236" s="77" t="s">
        <v>56</v>
      </c>
      <c r="L236" s="77" t="s">
        <v>56</v>
      </c>
      <c r="M236" s="77">
        <f t="shared" ref="M236:M248" si="35">SUM(J236:L236)</f>
        <v>2</v>
      </c>
      <c r="N236" s="81">
        <f t="shared" ref="N236:N248" si="36">J236</f>
        <v>2</v>
      </c>
      <c r="O236" s="82" t="str">
        <f t="shared" ref="O236:O248" si="37">L236</f>
        <v>-</v>
      </c>
      <c r="P236" s="83">
        <v>2</v>
      </c>
      <c r="Q236" s="83">
        <v>0</v>
      </c>
      <c r="R236" s="83">
        <v>0</v>
      </c>
      <c r="S236" s="79">
        <f t="shared" ref="S236:S248" si="38">SUM(P236:R236)</f>
        <v>2</v>
      </c>
      <c r="T236" s="84">
        <v>2</v>
      </c>
      <c r="U236" s="84">
        <v>0</v>
      </c>
      <c r="V236" s="84">
        <v>0</v>
      </c>
      <c r="W236" s="85">
        <f t="shared" ref="W236:W248" si="39">SUM(T236:V236)</f>
        <v>2</v>
      </c>
      <c r="X236" s="86">
        <v>2</v>
      </c>
      <c r="Y236" s="86">
        <v>0</v>
      </c>
      <c r="Z236" s="86">
        <v>0</v>
      </c>
      <c r="AA236" s="88">
        <v>2</v>
      </c>
      <c r="AB236" s="89">
        <v>2</v>
      </c>
      <c r="AC236" s="89">
        <v>0</v>
      </c>
      <c r="AD236" s="89">
        <v>0</v>
      </c>
      <c r="AE236" s="90">
        <f t="shared" ref="AE236:AE259" si="40">SUM(AB236:AD236)</f>
        <v>2</v>
      </c>
      <c r="AF236" s="91">
        <v>2</v>
      </c>
      <c r="AG236" s="91">
        <v>0</v>
      </c>
      <c r="AH236" s="91">
        <v>0</v>
      </c>
      <c r="AI236" s="87">
        <f t="shared" si="33"/>
        <v>2</v>
      </c>
      <c r="AJ236" s="77" t="s">
        <v>163</v>
      </c>
      <c r="AK236" s="77" t="s">
        <v>164</v>
      </c>
      <c r="AL236" s="77"/>
      <c r="AM236" s="77"/>
    </row>
    <row r="237" spans="2:39" s="65" customFormat="1" ht="15.9" customHeight="1">
      <c r="B237" s="75">
        <f>SUBTOTAL(3,C$4:$C237)</f>
        <v>234</v>
      </c>
      <c r="C237" s="76" t="s">
        <v>76</v>
      </c>
      <c r="D237" s="77">
        <v>2010</v>
      </c>
      <c r="E237" s="77" t="s">
        <v>60</v>
      </c>
      <c r="F237" s="77">
        <v>1</v>
      </c>
      <c r="G237" s="77" t="s">
        <v>56</v>
      </c>
      <c r="H237" s="77" t="s">
        <v>56</v>
      </c>
      <c r="I237" s="79">
        <f t="shared" si="34"/>
        <v>1</v>
      </c>
      <c r="J237" s="77">
        <v>1</v>
      </c>
      <c r="K237" s="77" t="s">
        <v>56</v>
      </c>
      <c r="L237" s="77" t="s">
        <v>56</v>
      </c>
      <c r="M237" s="77">
        <f t="shared" si="35"/>
        <v>1</v>
      </c>
      <c r="N237" s="81">
        <f t="shared" si="36"/>
        <v>1</v>
      </c>
      <c r="O237" s="82" t="str">
        <f t="shared" si="37"/>
        <v>-</v>
      </c>
      <c r="P237" s="83">
        <v>1</v>
      </c>
      <c r="Q237" s="83">
        <v>0</v>
      </c>
      <c r="R237" s="83">
        <v>0</v>
      </c>
      <c r="S237" s="79">
        <f t="shared" si="38"/>
        <v>1</v>
      </c>
      <c r="T237" s="84">
        <v>1</v>
      </c>
      <c r="U237" s="84">
        <v>0</v>
      </c>
      <c r="V237" s="84">
        <v>0</v>
      </c>
      <c r="W237" s="85">
        <f t="shared" si="39"/>
        <v>1</v>
      </c>
      <c r="X237" s="86">
        <v>1</v>
      </c>
      <c r="Y237" s="86">
        <v>0</v>
      </c>
      <c r="Z237" s="86">
        <v>0</v>
      </c>
      <c r="AA237" s="88">
        <v>1</v>
      </c>
      <c r="AB237" s="89">
        <v>1</v>
      </c>
      <c r="AC237" s="89">
        <v>0</v>
      </c>
      <c r="AD237" s="89">
        <v>0</v>
      </c>
      <c r="AE237" s="90">
        <f t="shared" si="40"/>
        <v>1</v>
      </c>
      <c r="AF237" s="91">
        <v>1</v>
      </c>
      <c r="AG237" s="91">
        <v>0</v>
      </c>
      <c r="AH237" s="91">
        <v>0</v>
      </c>
      <c r="AI237" s="87">
        <f t="shared" si="33"/>
        <v>1</v>
      </c>
      <c r="AJ237" s="77" t="s">
        <v>163</v>
      </c>
      <c r="AK237" s="77" t="s">
        <v>164</v>
      </c>
      <c r="AL237" s="77"/>
      <c r="AM237" s="77"/>
    </row>
    <row r="238" spans="2:39" s="65" customFormat="1" ht="15.9" customHeight="1">
      <c r="B238" s="75">
        <f>SUBTOTAL(3,C$4:$C238)</f>
        <v>235</v>
      </c>
      <c r="C238" s="76" t="s">
        <v>176</v>
      </c>
      <c r="D238" s="77">
        <v>2010</v>
      </c>
      <c r="E238" s="77" t="s">
        <v>55</v>
      </c>
      <c r="F238" s="77">
        <v>1</v>
      </c>
      <c r="G238" s="77" t="s">
        <v>56</v>
      </c>
      <c r="H238" s="77" t="s">
        <v>56</v>
      </c>
      <c r="I238" s="79">
        <f t="shared" si="34"/>
        <v>1</v>
      </c>
      <c r="J238" s="77">
        <v>1</v>
      </c>
      <c r="K238" s="77" t="s">
        <v>56</v>
      </c>
      <c r="L238" s="77" t="s">
        <v>56</v>
      </c>
      <c r="M238" s="77">
        <f t="shared" si="35"/>
        <v>1</v>
      </c>
      <c r="N238" s="81">
        <f t="shared" si="36"/>
        <v>1</v>
      </c>
      <c r="O238" s="82" t="str">
        <f t="shared" si="37"/>
        <v>-</v>
      </c>
      <c r="P238" s="83">
        <v>1</v>
      </c>
      <c r="Q238" s="83">
        <v>0</v>
      </c>
      <c r="R238" s="83">
        <v>0</v>
      </c>
      <c r="S238" s="79">
        <f t="shared" si="38"/>
        <v>1</v>
      </c>
      <c r="T238" s="84">
        <v>1</v>
      </c>
      <c r="U238" s="84">
        <v>0</v>
      </c>
      <c r="V238" s="84">
        <v>0</v>
      </c>
      <c r="W238" s="85">
        <f t="shared" si="39"/>
        <v>1</v>
      </c>
      <c r="X238" s="86">
        <v>1</v>
      </c>
      <c r="Y238" s="86">
        <v>0</v>
      </c>
      <c r="Z238" s="86">
        <v>0</v>
      </c>
      <c r="AA238" s="88">
        <v>1</v>
      </c>
      <c r="AB238" s="89">
        <v>1</v>
      </c>
      <c r="AC238" s="89">
        <v>0</v>
      </c>
      <c r="AD238" s="89">
        <v>0</v>
      </c>
      <c r="AE238" s="90">
        <f t="shared" si="40"/>
        <v>1</v>
      </c>
      <c r="AF238" s="91">
        <v>1</v>
      </c>
      <c r="AG238" s="91">
        <v>0</v>
      </c>
      <c r="AH238" s="91">
        <v>0</v>
      </c>
      <c r="AI238" s="87">
        <f t="shared" si="33"/>
        <v>1</v>
      </c>
      <c r="AJ238" s="77" t="s">
        <v>163</v>
      </c>
      <c r="AK238" s="77" t="s">
        <v>177</v>
      </c>
      <c r="AL238" s="77"/>
      <c r="AM238" s="77"/>
    </row>
    <row r="239" spans="2:39" s="65" customFormat="1" ht="15.9" customHeight="1">
      <c r="B239" s="75">
        <f>SUBTOTAL(3,C$4:$C239)</f>
        <v>236</v>
      </c>
      <c r="C239" s="76" t="s">
        <v>178</v>
      </c>
      <c r="D239" s="77">
        <v>2015</v>
      </c>
      <c r="E239" s="77" t="s">
        <v>55</v>
      </c>
      <c r="F239" s="77">
        <v>2</v>
      </c>
      <c r="G239" s="77" t="s">
        <v>56</v>
      </c>
      <c r="H239" s="77" t="s">
        <v>56</v>
      </c>
      <c r="I239" s="79">
        <f t="shared" si="34"/>
        <v>2</v>
      </c>
      <c r="J239" s="77">
        <v>2</v>
      </c>
      <c r="K239" s="77" t="s">
        <v>56</v>
      </c>
      <c r="L239" s="77" t="s">
        <v>56</v>
      </c>
      <c r="M239" s="77">
        <f t="shared" si="35"/>
        <v>2</v>
      </c>
      <c r="N239" s="81">
        <f t="shared" si="36"/>
        <v>2</v>
      </c>
      <c r="O239" s="82" t="str">
        <f t="shared" si="37"/>
        <v>-</v>
      </c>
      <c r="P239" s="83">
        <v>2</v>
      </c>
      <c r="Q239" s="83">
        <v>0</v>
      </c>
      <c r="R239" s="83">
        <v>0</v>
      </c>
      <c r="S239" s="79">
        <f t="shared" si="38"/>
        <v>2</v>
      </c>
      <c r="T239" s="84">
        <v>2</v>
      </c>
      <c r="U239" s="84">
        <v>0</v>
      </c>
      <c r="V239" s="84">
        <v>0</v>
      </c>
      <c r="W239" s="85">
        <f t="shared" si="39"/>
        <v>2</v>
      </c>
      <c r="X239" s="86">
        <v>2</v>
      </c>
      <c r="Y239" s="86">
        <v>0</v>
      </c>
      <c r="Z239" s="86">
        <v>0</v>
      </c>
      <c r="AA239" s="88">
        <v>2</v>
      </c>
      <c r="AB239" s="89">
        <v>2</v>
      </c>
      <c r="AC239" s="89">
        <v>0</v>
      </c>
      <c r="AD239" s="89">
        <v>0</v>
      </c>
      <c r="AE239" s="90">
        <f t="shared" si="40"/>
        <v>2</v>
      </c>
      <c r="AF239" s="91">
        <v>2</v>
      </c>
      <c r="AG239" s="91">
        <v>0</v>
      </c>
      <c r="AH239" s="91">
        <v>0</v>
      </c>
      <c r="AI239" s="87">
        <f t="shared" si="33"/>
        <v>2</v>
      </c>
      <c r="AJ239" s="77" t="s">
        <v>163</v>
      </c>
      <c r="AK239" s="77" t="s">
        <v>177</v>
      </c>
      <c r="AL239" s="77"/>
      <c r="AM239" s="77"/>
    </row>
    <row r="240" spans="2:39" s="65" customFormat="1" ht="15.9" customHeight="1">
      <c r="B240" s="75">
        <f>SUBTOTAL(3,C$4:$C240)</f>
        <v>237</v>
      </c>
      <c r="C240" s="76" t="s">
        <v>61</v>
      </c>
      <c r="D240" s="77">
        <v>2010</v>
      </c>
      <c r="E240" s="77" t="s">
        <v>63</v>
      </c>
      <c r="F240" s="77">
        <v>2</v>
      </c>
      <c r="G240" s="77" t="s">
        <v>56</v>
      </c>
      <c r="H240" s="77" t="s">
        <v>56</v>
      </c>
      <c r="I240" s="79">
        <f t="shared" si="34"/>
        <v>2</v>
      </c>
      <c r="J240" s="77">
        <v>2</v>
      </c>
      <c r="K240" s="77" t="s">
        <v>56</v>
      </c>
      <c r="L240" s="77" t="s">
        <v>56</v>
      </c>
      <c r="M240" s="77">
        <f t="shared" si="35"/>
        <v>2</v>
      </c>
      <c r="N240" s="81">
        <f t="shared" si="36"/>
        <v>2</v>
      </c>
      <c r="O240" s="82" t="str">
        <f t="shared" si="37"/>
        <v>-</v>
      </c>
      <c r="P240" s="83">
        <v>2</v>
      </c>
      <c r="Q240" s="83">
        <v>0</v>
      </c>
      <c r="R240" s="83">
        <v>0</v>
      </c>
      <c r="S240" s="79">
        <f t="shared" si="38"/>
        <v>2</v>
      </c>
      <c r="T240" s="84">
        <v>2</v>
      </c>
      <c r="U240" s="84">
        <v>0</v>
      </c>
      <c r="V240" s="84">
        <v>0</v>
      </c>
      <c r="W240" s="85">
        <f t="shared" si="39"/>
        <v>2</v>
      </c>
      <c r="X240" s="86">
        <v>2</v>
      </c>
      <c r="Y240" s="86">
        <v>0</v>
      </c>
      <c r="Z240" s="86">
        <v>0</v>
      </c>
      <c r="AA240" s="88">
        <v>2</v>
      </c>
      <c r="AB240" s="89">
        <v>2</v>
      </c>
      <c r="AC240" s="89">
        <v>0</v>
      </c>
      <c r="AD240" s="89">
        <v>0</v>
      </c>
      <c r="AE240" s="90">
        <f t="shared" si="40"/>
        <v>2</v>
      </c>
      <c r="AF240" s="91">
        <v>2</v>
      </c>
      <c r="AG240" s="91">
        <v>0</v>
      </c>
      <c r="AH240" s="91">
        <v>0</v>
      </c>
      <c r="AI240" s="87">
        <f t="shared" si="33"/>
        <v>2</v>
      </c>
      <c r="AJ240" s="77" t="s">
        <v>163</v>
      </c>
      <c r="AK240" s="77" t="s">
        <v>177</v>
      </c>
      <c r="AL240" s="77"/>
      <c r="AM240" s="77"/>
    </row>
    <row r="241" spans="2:39" s="65" customFormat="1" ht="15.9" customHeight="1">
      <c r="B241" s="75">
        <f>SUBTOTAL(3,C$4:$C241)</f>
        <v>238</v>
      </c>
      <c r="C241" s="76" t="s">
        <v>65</v>
      </c>
      <c r="D241" s="77">
        <v>2010</v>
      </c>
      <c r="E241" s="77" t="s">
        <v>60</v>
      </c>
      <c r="F241" s="77">
        <v>2</v>
      </c>
      <c r="G241" s="77" t="s">
        <v>56</v>
      </c>
      <c r="H241" s="77" t="s">
        <v>56</v>
      </c>
      <c r="I241" s="79">
        <f t="shared" si="34"/>
        <v>2</v>
      </c>
      <c r="J241" s="77">
        <v>2</v>
      </c>
      <c r="K241" s="77" t="s">
        <v>56</v>
      </c>
      <c r="L241" s="77" t="s">
        <v>56</v>
      </c>
      <c r="M241" s="77">
        <f t="shared" si="35"/>
        <v>2</v>
      </c>
      <c r="N241" s="81">
        <f t="shared" si="36"/>
        <v>2</v>
      </c>
      <c r="O241" s="82" t="str">
        <f t="shared" si="37"/>
        <v>-</v>
      </c>
      <c r="P241" s="83">
        <v>2</v>
      </c>
      <c r="Q241" s="83">
        <v>0</v>
      </c>
      <c r="R241" s="83">
        <v>0</v>
      </c>
      <c r="S241" s="79">
        <f t="shared" si="38"/>
        <v>2</v>
      </c>
      <c r="T241" s="84">
        <v>2</v>
      </c>
      <c r="U241" s="84">
        <v>0</v>
      </c>
      <c r="V241" s="84">
        <v>0</v>
      </c>
      <c r="W241" s="85">
        <f t="shared" si="39"/>
        <v>2</v>
      </c>
      <c r="X241" s="86">
        <v>2</v>
      </c>
      <c r="Y241" s="86">
        <v>0</v>
      </c>
      <c r="Z241" s="86">
        <v>0</v>
      </c>
      <c r="AA241" s="88">
        <v>2</v>
      </c>
      <c r="AB241" s="89">
        <v>2</v>
      </c>
      <c r="AC241" s="89">
        <v>0</v>
      </c>
      <c r="AD241" s="89">
        <v>0</v>
      </c>
      <c r="AE241" s="90">
        <f t="shared" si="40"/>
        <v>2</v>
      </c>
      <c r="AF241" s="91">
        <v>2</v>
      </c>
      <c r="AG241" s="91">
        <v>0</v>
      </c>
      <c r="AH241" s="91">
        <v>0</v>
      </c>
      <c r="AI241" s="87">
        <f t="shared" si="33"/>
        <v>2</v>
      </c>
      <c r="AJ241" s="77" t="s">
        <v>163</v>
      </c>
      <c r="AK241" s="77" t="s">
        <v>177</v>
      </c>
      <c r="AL241" s="77"/>
      <c r="AM241" s="77"/>
    </row>
    <row r="242" spans="2:39" s="65" customFormat="1" ht="15.9" customHeight="1">
      <c r="B242" s="75">
        <f>SUBTOTAL(3,C$4:$C242)</f>
        <v>239</v>
      </c>
      <c r="C242" s="76" t="s">
        <v>162</v>
      </c>
      <c r="D242" s="77">
        <v>2010</v>
      </c>
      <c r="E242" s="77" t="s">
        <v>63</v>
      </c>
      <c r="F242" s="77">
        <v>2</v>
      </c>
      <c r="G242" s="77" t="s">
        <v>56</v>
      </c>
      <c r="H242" s="77" t="s">
        <v>56</v>
      </c>
      <c r="I242" s="79">
        <f t="shared" si="34"/>
        <v>2</v>
      </c>
      <c r="J242" s="77">
        <v>2</v>
      </c>
      <c r="K242" s="77" t="s">
        <v>56</v>
      </c>
      <c r="L242" s="77" t="s">
        <v>56</v>
      </c>
      <c r="M242" s="77">
        <f t="shared" si="35"/>
        <v>2</v>
      </c>
      <c r="N242" s="81">
        <f t="shared" si="36"/>
        <v>2</v>
      </c>
      <c r="O242" s="82" t="str">
        <f t="shared" si="37"/>
        <v>-</v>
      </c>
      <c r="P242" s="83">
        <v>2</v>
      </c>
      <c r="Q242" s="83">
        <v>0</v>
      </c>
      <c r="R242" s="83">
        <v>0</v>
      </c>
      <c r="S242" s="79">
        <f t="shared" si="38"/>
        <v>2</v>
      </c>
      <c r="T242" s="84">
        <v>2</v>
      </c>
      <c r="U242" s="84">
        <v>0</v>
      </c>
      <c r="V242" s="84">
        <v>0</v>
      </c>
      <c r="W242" s="85">
        <f t="shared" si="39"/>
        <v>2</v>
      </c>
      <c r="X242" s="86">
        <v>2</v>
      </c>
      <c r="Y242" s="86">
        <v>0</v>
      </c>
      <c r="Z242" s="86">
        <v>0</v>
      </c>
      <c r="AA242" s="88">
        <v>2</v>
      </c>
      <c r="AB242" s="89">
        <v>2</v>
      </c>
      <c r="AC242" s="89">
        <v>0</v>
      </c>
      <c r="AD242" s="89">
        <v>0</v>
      </c>
      <c r="AE242" s="90">
        <f t="shared" si="40"/>
        <v>2</v>
      </c>
      <c r="AF242" s="91">
        <v>2</v>
      </c>
      <c r="AG242" s="91">
        <v>0</v>
      </c>
      <c r="AH242" s="91">
        <v>0</v>
      </c>
      <c r="AI242" s="87">
        <f t="shared" si="33"/>
        <v>2</v>
      </c>
      <c r="AJ242" s="77" t="s">
        <v>163</v>
      </c>
      <c r="AK242" s="77" t="s">
        <v>177</v>
      </c>
      <c r="AL242" s="77"/>
      <c r="AM242" s="77"/>
    </row>
    <row r="243" spans="2:39" s="65" customFormat="1" ht="15.9" customHeight="1">
      <c r="B243" s="75">
        <f>SUBTOTAL(3,C$4:$C243)</f>
        <v>240</v>
      </c>
      <c r="C243" s="76" t="s">
        <v>179</v>
      </c>
      <c r="D243" s="77">
        <v>2010</v>
      </c>
      <c r="E243" s="77" t="s">
        <v>55</v>
      </c>
      <c r="F243" s="77">
        <v>1</v>
      </c>
      <c r="G243" s="77" t="s">
        <v>56</v>
      </c>
      <c r="H243" s="77" t="s">
        <v>56</v>
      </c>
      <c r="I243" s="79">
        <f t="shared" si="34"/>
        <v>1</v>
      </c>
      <c r="J243" s="77">
        <v>1</v>
      </c>
      <c r="K243" s="77" t="s">
        <v>56</v>
      </c>
      <c r="L243" s="77" t="s">
        <v>56</v>
      </c>
      <c r="M243" s="77">
        <f t="shared" si="35"/>
        <v>1</v>
      </c>
      <c r="N243" s="81">
        <f t="shared" si="36"/>
        <v>1</v>
      </c>
      <c r="O243" s="82" t="str">
        <f t="shared" si="37"/>
        <v>-</v>
      </c>
      <c r="P243" s="83">
        <v>1</v>
      </c>
      <c r="Q243" s="83">
        <v>0</v>
      </c>
      <c r="R243" s="83">
        <v>0</v>
      </c>
      <c r="S243" s="79">
        <f t="shared" si="38"/>
        <v>1</v>
      </c>
      <c r="T243" s="84">
        <v>1</v>
      </c>
      <c r="U243" s="84">
        <v>0</v>
      </c>
      <c r="V243" s="84">
        <v>0</v>
      </c>
      <c r="W243" s="85">
        <f t="shared" si="39"/>
        <v>1</v>
      </c>
      <c r="X243" s="86">
        <v>1</v>
      </c>
      <c r="Y243" s="86">
        <v>0</v>
      </c>
      <c r="Z243" s="86">
        <v>0</v>
      </c>
      <c r="AA243" s="88">
        <v>1</v>
      </c>
      <c r="AB243" s="89">
        <v>1</v>
      </c>
      <c r="AC243" s="89">
        <v>0</v>
      </c>
      <c r="AD243" s="89">
        <v>0</v>
      </c>
      <c r="AE243" s="90">
        <f t="shared" si="40"/>
        <v>1</v>
      </c>
      <c r="AF243" s="91">
        <v>1</v>
      </c>
      <c r="AG243" s="91">
        <v>0</v>
      </c>
      <c r="AH243" s="91">
        <v>0</v>
      </c>
      <c r="AI243" s="87">
        <f t="shared" si="33"/>
        <v>1</v>
      </c>
      <c r="AJ243" s="77" t="s">
        <v>163</v>
      </c>
      <c r="AK243" s="77" t="s">
        <v>177</v>
      </c>
      <c r="AL243" s="77"/>
      <c r="AM243" s="77"/>
    </row>
    <row r="244" spans="2:39" s="65" customFormat="1" ht="15.9" customHeight="1">
      <c r="B244" s="75">
        <f>SUBTOTAL(3,C$4:$C244)</f>
        <v>241</v>
      </c>
      <c r="C244" s="76" t="s">
        <v>180</v>
      </c>
      <c r="D244" s="77">
        <v>2010</v>
      </c>
      <c r="E244" s="77" t="s">
        <v>55</v>
      </c>
      <c r="F244" s="77">
        <v>1</v>
      </c>
      <c r="G244" s="77" t="s">
        <v>56</v>
      </c>
      <c r="H244" s="77" t="s">
        <v>56</v>
      </c>
      <c r="I244" s="79">
        <f t="shared" si="34"/>
        <v>1</v>
      </c>
      <c r="J244" s="77">
        <v>1</v>
      </c>
      <c r="K244" s="77" t="s">
        <v>56</v>
      </c>
      <c r="L244" s="77" t="s">
        <v>56</v>
      </c>
      <c r="M244" s="77">
        <f t="shared" si="35"/>
        <v>1</v>
      </c>
      <c r="N244" s="81">
        <f t="shared" si="36"/>
        <v>1</v>
      </c>
      <c r="O244" s="82" t="str">
        <f t="shared" si="37"/>
        <v>-</v>
      </c>
      <c r="P244" s="83">
        <v>1</v>
      </c>
      <c r="Q244" s="83">
        <v>0</v>
      </c>
      <c r="R244" s="83">
        <v>0</v>
      </c>
      <c r="S244" s="79">
        <f t="shared" si="38"/>
        <v>1</v>
      </c>
      <c r="T244" s="84">
        <v>1</v>
      </c>
      <c r="U244" s="84">
        <v>0</v>
      </c>
      <c r="V244" s="84">
        <v>0</v>
      </c>
      <c r="W244" s="85">
        <f t="shared" si="39"/>
        <v>1</v>
      </c>
      <c r="X244" s="86">
        <v>1</v>
      </c>
      <c r="Y244" s="86">
        <v>0</v>
      </c>
      <c r="Z244" s="86">
        <v>0</v>
      </c>
      <c r="AA244" s="88">
        <v>1</v>
      </c>
      <c r="AB244" s="89">
        <v>1</v>
      </c>
      <c r="AC244" s="89">
        <v>0</v>
      </c>
      <c r="AD244" s="89">
        <v>0</v>
      </c>
      <c r="AE244" s="90">
        <f t="shared" si="40"/>
        <v>1</v>
      </c>
      <c r="AF244" s="91">
        <v>1</v>
      </c>
      <c r="AG244" s="91">
        <v>0</v>
      </c>
      <c r="AH244" s="91">
        <v>0</v>
      </c>
      <c r="AI244" s="87">
        <f t="shared" si="33"/>
        <v>1</v>
      </c>
      <c r="AJ244" s="77" t="s">
        <v>163</v>
      </c>
      <c r="AK244" s="77" t="s">
        <v>177</v>
      </c>
      <c r="AL244" s="77"/>
      <c r="AM244" s="77"/>
    </row>
    <row r="245" spans="2:39" s="65" customFormat="1" ht="15.9" customHeight="1">
      <c r="B245" s="75">
        <f>SUBTOTAL(3,C$4:$C245)</f>
        <v>242</v>
      </c>
      <c r="C245" s="76" t="s">
        <v>74</v>
      </c>
      <c r="D245" s="77">
        <v>2018</v>
      </c>
      <c r="E245" s="77" t="s">
        <v>60</v>
      </c>
      <c r="F245" s="77">
        <v>1</v>
      </c>
      <c r="G245" s="77" t="s">
        <v>56</v>
      </c>
      <c r="H245" s="77" t="s">
        <v>56</v>
      </c>
      <c r="I245" s="79">
        <f t="shared" si="34"/>
        <v>1</v>
      </c>
      <c r="J245" s="77">
        <v>1</v>
      </c>
      <c r="K245" s="77" t="s">
        <v>56</v>
      </c>
      <c r="L245" s="77" t="s">
        <v>56</v>
      </c>
      <c r="M245" s="77">
        <f t="shared" si="35"/>
        <v>1</v>
      </c>
      <c r="N245" s="81">
        <f t="shared" si="36"/>
        <v>1</v>
      </c>
      <c r="O245" s="82" t="str">
        <f t="shared" si="37"/>
        <v>-</v>
      </c>
      <c r="P245" s="83">
        <v>1</v>
      </c>
      <c r="Q245" s="83">
        <v>0</v>
      </c>
      <c r="R245" s="83">
        <v>0</v>
      </c>
      <c r="S245" s="79">
        <f t="shared" si="38"/>
        <v>1</v>
      </c>
      <c r="T245" s="84">
        <v>1</v>
      </c>
      <c r="U245" s="84">
        <v>0</v>
      </c>
      <c r="V245" s="84">
        <v>0</v>
      </c>
      <c r="W245" s="85">
        <f t="shared" si="39"/>
        <v>1</v>
      </c>
      <c r="X245" s="86">
        <v>1</v>
      </c>
      <c r="Y245" s="86">
        <v>0</v>
      </c>
      <c r="Z245" s="86">
        <v>0</v>
      </c>
      <c r="AA245" s="88">
        <v>1</v>
      </c>
      <c r="AB245" s="89">
        <v>1</v>
      </c>
      <c r="AC245" s="89">
        <v>0</v>
      </c>
      <c r="AD245" s="89">
        <v>0</v>
      </c>
      <c r="AE245" s="90">
        <f t="shared" si="40"/>
        <v>1</v>
      </c>
      <c r="AF245" s="91">
        <v>1</v>
      </c>
      <c r="AG245" s="91">
        <v>0</v>
      </c>
      <c r="AH245" s="91">
        <v>0</v>
      </c>
      <c r="AI245" s="87">
        <f t="shared" si="33"/>
        <v>1</v>
      </c>
      <c r="AJ245" s="77" t="s">
        <v>163</v>
      </c>
      <c r="AK245" s="77" t="s">
        <v>177</v>
      </c>
      <c r="AL245" s="77"/>
      <c r="AM245" s="77"/>
    </row>
    <row r="246" spans="2:39" s="65" customFormat="1" ht="15.9" customHeight="1">
      <c r="B246" s="75">
        <f>SUBTOTAL(3,C$4:$C246)</f>
        <v>243</v>
      </c>
      <c r="C246" s="76" t="s">
        <v>181</v>
      </c>
      <c r="D246" s="77">
        <v>2010</v>
      </c>
      <c r="E246" s="77" t="s">
        <v>55</v>
      </c>
      <c r="F246" s="77">
        <v>1</v>
      </c>
      <c r="G246" s="77" t="s">
        <v>56</v>
      </c>
      <c r="H246" s="77" t="s">
        <v>56</v>
      </c>
      <c r="I246" s="79">
        <f t="shared" si="34"/>
        <v>1</v>
      </c>
      <c r="J246" s="77">
        <v>1</v>
      </c>
      <c r="K246" s="77" t="s">
        <v>56</v>
      </c>
      <c r="L246" s="77" t="s">
        <v>56</v>
      </c>
      <c r="M246" s="77">
        <f t="shared" si="35"/>
        <v>1</v>
      </c>
      <c r="N246" s="81">
        <f t="shared" si="36"/>
        <v>1</v>
      </c>
      <c r="O246" s="82" t="str">
        <f t="shared" si="37"/>
        <v>-</v>
      </c>
      <c r="P246" s="83">
        <v>1</v>
      </c>
      <c r="Q246" s="83">
        <v>0</v>
      </c>
      <c r="R246" s="83">
        <v>0</v>
      </c>
      <c r="S246" s="79">
        <f t="shared" si="38"/>
        <v>1</v>
      </c>
      <c r="T246" s="84">
        <v>1</v>
      </c>
      <c r="U246" s="84">
        <v>0</v>
      </c>
      <c r="V246" s="84">
        <v>0</v>
      </c>
      <c r="W246" s="85">
        <f t="shared" si="39"/>
        <v>1</v>
      </c>
      <c r="X246" s="86">
        <v>1</v>
      </c>
      <c r="Y246" s="86">
        <v>0</v>
      </c>
      <c r="Z246" s="86">
        <v>0</v>
      </c>
      <c r="AA246" s="88">
        <v>1</v>
      </c>
      <c r="AB246" s="89">
        <v>1</v>
      </c>
      <c r="AC246" s="89">
        <v>0</v>
      </c>
      <c r="AD246" s="89">
        <v>0</v>
      </c>
      <c r="AE246" s="90">
        <f t="shared" si="40"/>
        <v>1</v>
      </c>
      <c r="AF246" s="91">
        <v>1</v>
      </c>
      <c r="AG246" s="91">
        <v>0</v>
      </c>
      <c r="AH246" s="91">
        <v>0</v>
      </c>
      <c r="AI246" s="87">
        <f t="shared" si="33"/>
        <v>1</v>
      </c>
      <c r="AJ246" s="77" t="s">
        <v>163</v>
      </c>
      <c r="AK246" s="77" t="s">
        <v>177</v>
      </c>
      <c r="AL246" s="77"/>
      <c r="AM246" s="77"/>
    </row>
    <row r="247" spans="2:39" s="65" customFormat="1" ht="15.9" customHeight="1">
      <c r="B247" s="75">
        <f>SUBTOTAL(3,C$4:$C247)</f>
        <v>244</v>
      </c>
      <c r="C247" s="76" t="s">
        <v>73</v>
      </c>
      <c r="D247" s="77">
        <v>2010</v>
      </c>
      <c r="E247" s="77" t="s">
        <v>63</v>
      </c>
      <c r="F247" s="77">
        <v>1</v>
      </c>
      <c r="G247" s="77" t="s">
        <v>56</v>
      </c>
      <c r="H247" s="77" t="s">
        <v>56</v>
      </c>
      <c r="I247" s="79">
        <f t="shared" si="34"/>
        <v>1</v>
      </c>
      <c r="J247" s="77">
        <v>1</v>
      </c>
      <c r="K247" s="77" t="s">
        <v>56</v>
      </c>
      <c r="L247" s="77" t="s">
        <v>56</v>
      </c>
      <c r="M247" s="77">
        <f t="shared" si="35"/>
        <v>1</v>
      </c>
      <c r="N247" s="81">
        <f t="shared" si="36"/>
        <v>1</v>
      </c>
      <c r="O247" s="82" t="str">
        <f t="shared" si="37"/>
        <v>-</v>
      </c>
      <c r="P247" s="83">
        <v>1</v>
      </c>
      <c r="Q247" s="83">
        <v>0</v>
      </c>
      <c r="R247" s="83">
        <v>0</v>
      </c>
      <c r="S247" s="79">
        <f t="shared" si="38"/>
        <v>1</v>
      </c>
      <c r="T247" s="84">
        <v>1</v>
      </c>
      <c r="U247" s="84">
        <v>0</v>
      </c>
      <c r="V247" s="84">
        <v>0</v>
      </c>
      <c r="W247" s="85">
        <f t="shared" si="39"/>
        <v>1</v>
      </c>
      <c r="X247" s="86">
        <v>1</v>
      </c>
      <c r="Y247" s="86">
        <v>0</v>
      </c>
      <c r="Z247" s="86">
        <v>0</v>
      </c>
      <c r="AA247" s="88">
        <v>1</v>
      </c>
      <c r="AB247" s="89">
        <v>1</v>
      </c>
      <c r="AC247" s="89">
        <v>0</v>
      </c>
      <c r="AD247" s="89">
        <v>0</v>
      </c>
      <c r="AE247" s="90">
        <f t="shared" si="40"/>
        <v>1</v>
      </c>
      <c r="AF247" s="91">
        <v>1</v>
      </c>
      <c r="AG247" s="91">
        <v>0</v>
      </c>
      <c r="AH247" s="91">
        <v>0</v>
      </c>
      <c r="AI247" s="87">
        <f t="shared" si="33"/>
        <v>1</v>
      </c>
      <c r="AJ247" s="77" t="s">
        <v>163</v>
      </c>
      <c r="AK247" s="77" t="s">
        <v>177</v>
      </c>
      <c r="AL247" s="77"/>
      <c r="AM247" s="77"/>
    </row>
    <row r="248" spans="2:39" s="65" customFormat="1" ht="15.9" customHeight="1">
      <c r="B248" s="75">
        <f>SUBTOTAL(3,C$4:$C248)</f>
        <v>245</v>
      </c>
      <c r="C248" s="76" t="s">
        <v>72</v>
      </c>
      <c r="D248" s="77">
        <v>2010</v>
      </c>
      <c r="E248" s="77" t="s">
        <v>60</v>
      </c>
      <c r="F248" s="77">
        <v>1</v>
      </c>
      <c r="G248" s="77" t="s">
        <v>56</v>
      </c>
      <c r="H248" s="77" t="s">
        <v>56</v>
      </c>
      <c r="I248" s="79">
        <f t="shared" si="34"/>
        <v>1</v>
      </c>
      <c r="J248" s="77">
        <v>1</v>
      </c>
      <c r="K248" s="77" t="s">
        <v>56</v>
      </c>
      <c r="L248" s="77" t="s">
        <v>56</v>
      </c>
      <c r="M248" s="77">
        <f t="shared" si="35"/>
        <v>1</v>
      </c>
      <c r="N248" s="81">
        <f t="shared" si="36"/>
        <v>1</v>
      </c>
      <c r="O248" s="82" t="str">
        <f t="shared" si="37"/>
        <v>-</v>
      </c>
      <c r="P248" s="83">
        <v>1</v>
      </c>
      <c r="Q248" s="83">
        <v>0</v>
      </c>
      <c r="R248" s="83">
        <v>0</v>
      </c>
      <c r="S248" s="79">
        <f t="shared" si="38"/>
        <v>1</v>
      </c>
      <c r="T248" s="84">
        <v>1</v>
      </c>
      <c r="U248" s="84">
        <v>0</v>
      </c>
      <c r="V248" s="84">
        <v>0</v>
      </c>
      <c r="W248" s="85">
        <f t="shared" si="39"/>
        <v>1</v>
      </c>
      <c r="X248" s="86">
        <v>1</v>
      </c>
      <c r="Y248" s="86">
        <v>0</v>
      </c>
      <c r="Z248" s="86">
        <v>0</v>
      </c>
      <c r="AA248" s="88">
        <v>1</v>
      </c>
      <c r="AB248" s="89">
        <v>1</v>
      </c>
      <c r="AC248" s="89">
        <v>0</v>
      </c>
      <c r="AD248" s="89">
        <v>0</v>
      </c>
      <c r="AE248" s="90">
        <f t="shared" si="40"/>
        <v>1</v>
      </c>
      <c r="AF248" s="91">
        <v>1</v>
      </c>
      <c r="AG248" s="91">
        <v>0</v>
      </c>
      <c r="AH248" s="91">
        <v>0</v>
      </c>
      <c r="AI248" s="87">
        <f t="shared" si="33"/>
        <v>1</v>
      </c>
      <c r="AJ248" s="77" t="s">
        <v>163</v>
      </c>
      <c r="AK248" s="77" t="s">
        <v>177</v>
      </c>
      <c r="AL248" s="77"/>
      <c r="AM248" s="77"/>
    </row>
    <row r="249" spans="2:39" s="65" customFormat="1" ht="15.9" customHeight="1">
      <c r="B249" s="75">
        <f t="shared" ref="B249:B251" si="41">B248+1</f>
        <v>246</v>
      </c>
      <c r="C249" s="76" t="s">
        <v>501</v>
      </c>
      <c r="D249" s="77"/>
      <c r="E249" s="77" t="s">
        <v>60</v>
      </c>
      <c r="F249" s="77"/>
      <c r="G249" s="77"/>
      <c r="H249" s="77"/>
      <c r="I249" s="79"/>
      <c r="J249" s="77"/>
      <c r="K249" s="77"/>
      <c r="L249" s="77"/>
      <c r="M249" s="77"/>
      <c r="N249" s="81"/>
      <c r="O249" s="82"/>
      <c r="P249" s="83"/>
      <c r="Q249" s="83"/>
      <c r="R249" s="83"/>
      <c r="S249" s="79"/>
      <c r="T249" s="84"/>
      <c r="U249" s="84"/>
      <c r="V249" s="84"/>
      <c r="W249" s="85"/>
      <c r="X249" s="86">
        <v>1</v>
      </c>
      <c r="Y249" s="86">
        <v>0</v>
      </c>
      <c r="Z249" s="86">
        <v>0</v>
      </c>
      <c r="AA249" s="88">
        <v>1</v>
      </c>
      <c r="AB249" s="89">
        <v>1</v>
      </c>
      <c r="AC249" s="89">
        <v>0</v>
      </c>
      <c r="AD249" s="89">
        <v>0</v>
      </c>
      <c r="AE249" s="90">
        <f t="shared" si="40"/>
        <v>1</v>
      </c>
      <c r="AF249" s="91">
        <v>1</v>
      </c>
      <c r="AG249" s="91">
        <v>0</v>
      </c>
      <c r="AH249" s="91">
        <v>0</v>
      </c>
      <c r="AI249" s="87">
        <f t="shared" si="33"/>
        <v>1</v>
      </c>
      <c r="AJ249" s="77" t="s">
        <v>163</v>
      </c>
      <c r="AK249" s="77" t="s">
        <v>177</v>
      </c>
      <c r="AL249" s="77"/>
      <c r="AM249" s="77"/>
    </row>
    <row r="250" spans="2:39" s="65" customFormat="1" ht="15.9" customHeight="1">
      <c r="B250" s="75">
        <f t="shared" si="41"/>
        <v>247</v>
      </c>
      <c r="C250" s="76" t="s">
        <v>172</v>
      </c>
      <c r="D250" s="77">
        <v>2010</v>
      </c>
      <c r="E250" s="77" t="s">
        <v>55</v>
      </c>
      <c r="F250" s="77">
        <v>1</v>
      </c>
      <c r="G250" s="77" t="s">
        <v>56</v>
      </c>
      <c r="H250" s="77" t="s">
        <v>56</v>
      </c>
      <c r="I250" s="79">
        <f t="shared" ref="I250:I285" si="42">F250</f>
        <v>1</v>
      </c>
      <c r="J250" s="77">
        <v>1</v>
      </c>
      <c r="K250" s="77" t="s">
        <v>56</v>
      </c>
      <c r="L250" s="77" t="s">
        <v>56</v>
      </c>
      <c r="M250" s="77">
        <f t="shared" ref="M250:M313" si="43">SUM(J250:L250)</f>
        <v>1</v>
      </c>
      <c r="N250" s="81">
        <f t="shared" ref="N250:N313" si="44">J250</f>
        <v>1</v>
      </c>
      <c r="O250" s="82" t="str">
        <f t="shared" ref="O250:O313" si="45">L250</f>
        <v>-</v>
      </c>
      <c r="P250" s="83">
        <v>1</v>
      </c>
      <c r="Q250" s="83">
        <v>0</v>
      </c>
      <c r="R250" s="83">
        <v>0</v>
      </c>
      <c r="S250" s="79">
        <f t="shared" ref="S250:S313" si="46">SUM(P250:R250)</f>
        <v>1</v>
      </c>
      <c r="T250" s="84">
        <v>1</v>
      </c>
      <c r="U250" s="84">
        <v>0</v>
      </c>
      <c r="V250" s="84">
        <v>0</v>
      </c>
      <c r="W250" s="85">
        <f t="shared" ref="W250:W313" si="47">SUM(T250:V250)</f>
        <v>1</v>
      </c>
      <c r="X250" s="86">
        <v>1</v>
      </c>
      <c r="Y250" s="86">
        <v>0</v>
      </c>
      <c r="Z250" s="86">
        <v>0</v>
      </c>
      <c r="AA250" s="88">
        <v>1</v>
      </c>
      <c r="AB250" s="89">
        <v>1</v>
      </c>
      <c r="AC250" s="89">
        <v>0</v>
      </c>
      <c r="AD250" s="89">
        <v>0</v>
      </c>
      <c r="AE250" s="90">
        <f t="shared" si="40"/>
        <v>1</v>
      </c>
      <c r="AF250" s="91">
        <v>1</v>
      </c>
      <c r="AG250" s="91">
        <v>0</v>
      </c>
      <c r="AH250" s="91">
        <v>0</v>
      </c>
      <c r="AI250" s="87">
        <f t="shared" si="33"/>
        <v>1</v>
      </c>
      <c r="AJ250" s="77" t="s">
        <v>163</v>
      </c>
      <c r="AK250" s="77" t="s">
        <v>177</v>
      </c>
      <c r="AL250" s="77"/>
      <c r="AM250" s="77"/>
    </row>
    <row r="251" spans="2:39" s="65" customFormat="1" ht="15.9" customHeight="1">
      <c r="B251" s="75">
        <f t="shared" si="41"/>
        <v>248</v>
      </c>
      <c r="C251" s="76" t="s">
        <v>70</v>
      </c>
      <c r="D251" s="77">
        <v>2010</v>
      </c>
      <c r="E251" s="77" t="s">
        <v>71</v>
      </c>
      <c r="F251" s="77">
        <v>1</v>
      </c>
      <c r="G251" s="77" t="s">
        <v>56</v>
      </c>
      <c r="H251" s="77" t="s">
        <v>56</v>
      </c>
      <c r="I251" s="79">
        <f t="shared" si="42"/>
        <v>1</v>
      </c>
      <c r="J251" s="77">
        <v>1</v>
      </c>
      <c r="K251" s="77" t="s">
        <v>56</v>
      </c>
      <c r="L251" s="77" t="s">
        <v>56</v>
      </c>
      <c r="M251" s="77">
        <f t="shared" si="43"/>
        <v>1</v>
      </c>
      <c r="N251" s="81">
        <f t="shared" si="44"/>
        <v>1</v>
      </c>
      <c r="O251" s="82" t="str">
        <f t="shared" si="45"/>
        <v>-</v>
      </c>
      <c r="P251" s="83">
        <v>1</v>
      </c>
      <c r="Q251" s="83">
        <v>0</v>
      </c>
      <c r="R251" s="83">
        <v>0</v>
      </c>
      <c r="S251" s="79">
        <f t="shared" si="46"/>
        <v>1</v>
      </c>
      <c r="T251" s="84">
        <v>1</v>
      </c>
      <c r="U251" s="84">
        <v>0</v>
      </c>
      <c r="V251" s="84">
        <v>0</v>
      </c>
      <c r="W251" s="85">
        <f t="shared" si="47"/>
        <v>1</v>
      </c>
      <c r="X251" s="86">
        <v>1</v>
      </c>
      <c r="Y251" s="86">
        <v>0</v>
      </c>
      <c r="Z251" s="86">
        <v>0</v>
      </c>
      <c r="AA251" s="88">
        <v>1</v>
      </c>
      <c r="AB251" s="89">
        <v>1</v>
      </c>
      <c r="AC251" s="89">
        <v>0</v>
      </c>
      <c r="AD251" s="89">
        <v>0</v>
      </c>
      <c r="AE251" s="90">
        <f t="shared" si="40"/>
        <v>1</v>
      </c>
      <c r="AF251" s="91">
        <v>1</v>
      </c>
      <c r="AG251" s="91">
        <v>0</v>
      </c>
      <c r="AH251" s="91">
        <v>0</v>
      </c>
      <c r="AI251" s="87">
        <f t="shared" si="33"/>
        <v>1</v>
      </c>
      <c r="AJ251" s="77" t="s">
        <v>163</v>
      </c>
      <c r="AK251" s="77" t="s">
        <v>177</v>
      </c>
      <c r="AL251" s="77"/>
      <c r="AM251" s="77"/>
    </row>
    <row r="252" spans="2:39" s="65" customFormat="1" ht="15.9" customHeight="1">
      <c r="B252" s="75">
        <f>SUBTOTAL(3,C$4:$C252)</f>
        <v>249</v>
      </c>
      <c r="C252" s="76" t="s">
        <v>173</v>
      </c>
      <c r="D252" s="77">
        <v>2010</v>
      </c>
      <c r="E252" s="77" t="s">
        <v>60</v>
      </c>
      <c r="F252" s="77">
        <v>1</v>
      </c>
      <c r="G252" s="77" t="s">
        <v>56</v>
      </c>
      <c r="H252" s="77" t="s">
        <v>56</v>
      </c>
      <c r="I252" s="79">
        <f t="shared" si="42"/>
        <v>1</v>
      </c>
      <c r="J252" s="77">
        <v>1</v>
      </c>
      <c r="K252" s="77" t="s">
        <v>56</v>
      </c>
      <c r="L252" s="77" t="s">
        <v>56</v>
      </c>
      <c r="M252" s="77">
        <f t="shared" si="43"/>
        <v>1</v>
      </c>
      <c r="N252" s="81">
        <f t="shared" si="44"/>
        <v>1</v>
      </c>
      <c r="O252" s="82" t="str">
        <f t="shared" si="45"/>
        <v>-</v>
      </c>
      <c r="P252" s="83">
        <v>1</v>
      </c>
      <c r="Q252" s="83">
        <v>0</v>
      </c>
      <c r="R252" s="83">
        <v>0</v>
      </c>
      <c r="S252" s="79">
        <f t="shared" si="46"/>
        <v>1</v>
      </c>
      <c r="T252" s="84">
        <v>1</v>
      </c>
      <c r="U252" s="84">
        <v>0</v>
      </c>
      <c r="V252" s="84">
        <v>0</v>
      </c>
      <c r="W252" s="85">
        <f t="shared" si="47"/>
        <v>1</v>
      </c>
      <c r="X252" s="86">
        <v>1</v>
      </c>
      <c r="Y252" s="86">
        <v>0</v>
      </c>
      <c r="Z252" s="86">
        <v>0</v>
      </c>
      <c r="AA252" s="88">
        <v>1</v>
      </c>
      <c r="AB252" s="89">
        <v>1</v>
      </c>
      <c r="AC252" s="89">
        <v>0</v>
      </c>
      <c r="AD252" s="89">
        <v>0</v>
      </c>
      <c r="AE252" s="90">
        <f t="shared" si="40"/>
        <v>1</v>
      </c>
      <c r="AF252" s="91">
        <v>1</v>
      </c>
      <c r="AG252" s="91">
        <v>0</v>
      </c>
      <c r="AH252" s="91">
        <v>0</v>
      </c>
      <c r="AI252" s="87">
        <f t="shared" si="33"/>
        <v>1</v>
      </c>
      <c r="AJ252" s="77" t="s">
        <v>163</v>
      </c>
      <c r="AK252" s="77" t="s">
        <v>177</v>
      </c>
      <c r="AL252" s="77"/>
      <c r="AM252" s="77"/>
    </row>
    <row r="253" spans="2:39" s="65" customFormat="1" ht="15.9" customHeight="1">
      <c r="B253" s="75">
        <f>SUBTOTAL(3,C$4:$C253)</f>
        <v>250</v>
      </c>
      <c r="C253" s="76" t="s">
        <v>75</v>
      </c>
      <c r="D253" s="77">
        <v>2010</v>
      </c>
      <c r="E253" s="77" t="s">
        <v>60</v>
      </c>
      <c r="F253" s="77">
        <v>1</v>
      </c>
      <c r="G253" s="77" t="s">
        <v>56</v>
      </c>
      <c r="H253" s="77" t="s">
        <v>56</v>
      </c>
      <c r="I253" s="79">
        <f t="shared" si="42"/>
        <v>1</v>
      </c>
      <c r="J253" s="77">
        <v>1</v>
      </c>
      <c r="K253" s="77" t="s">
        <v>56</v>
      </c>
      <c r="L253" s="77" t="s">
        <v>56</v>
      </c>
      <c r="M253" s="77">
        <f t="shared" si="43"/>
        <v>1</v>
      </c>
      <c r="N253" s="81">
        <f t="shared" si="44"/>
        <v>1</v>
      </c>
      <c r="O253" s="82" t="str">
        <f t="shared" si="45"/>
        <v>-</v>
      </c>
      <c r="P253" s="83">
        <v>1</v>
      </c>
      <c r="Q253" s="83">
        <v>0</v>
      </c>
      <c r="R253" s="83">
        <v>0</v>
      </c>
      <c r="S253" s="79">
        <f t="shared" si="46"/>
        <v>1</v>
      </c>
      <c r="T253" s="84">
        <v>1</v>
      </c>
      <c r="U253" s="84">
        <v>0</v>
      </c>
      <c r="V253" s="84">
        <v>0</v>
      </c>
      <c r="W253" s="85">
        <f t="shared" si="47"/>
        <v>1</v>
      </c>
      <c r="X253" s="86">
        <v>1</v>
      </c>
      <c r="Y253" s="86">
        <v>0</v>
      </c>
      <c r="Z253" s="86">
        <v>0</v>
      </c>
      <c r="AA253" s="88">
        <v>1</v>
      </c>
      <c r="AB253" s="89">
        <v>1</v>
      </c>
      <c r="AC253" s="89">
        <v>0</v>
      </c>
      <c r="AD253" s="89">
        <v>0</v>
      </c>
      <c r="AE253" s="90">
        <f t="shared" si="40"/>
        <v>1</v>
      </c>
      <c r="AF253" s="91">
        <v>1</v>
      </c>
      <c r="AG253" s="91">
        <v>0</v>
      </c>
      <c r="AH253" s="91">
        <v>0</v>
      </c>
      <c r="AI253" s="87">
        <f t="shared" si="33"/>
        <v>1</v>
      </c>
      <c r="AJ253" s="77" t="s">
        <v>163</v>
      </c>
      <c r="AK253" s="77" t="s">
        <v>177</v>
      </c>
      <c r="AL253" s="77"/>
      <c r="AM253" s="77"/>
    </row>
    <row r="254" spans="2:39" s="65" customFormat="1" ht="15.9" customHeight="1">
      <c r="B254" s="75">
        <f>SUBTOTAL(3,C$4:$C254)</f>
        <v>251</v>
      </c>
      <c r="C254" s="76" t="s">
        <v>76</v>
      </c>
      <c r="D254" s="77">
        <v>2010</v>
      </c>
      <c r="E254" s="77" t="s">
        <v>60</v>
      </c>
      <c r="F254" s="77">
        <v>1</v>
      </c>
      <c r="G254" s="77" t="s">
        <v>56</v>
      </c>
      <c r="H254" s="77" t="s">
        <v>56</v>
      </c>
      <c r="I254" s="79">
        <f t="shared" si="42"/>
        <v>1</v>
      </c>
      <c r="J254" s="77">
        <v>1</v>
      </c>
      <c r="K254" s="77" t="s">
        <v>56</v>
      </c>
      <c r="L254" s="77" t="s">
        <v>56</v>
      </c>
      <c r="M254" s="77">
        <f t="shared" si="43"/>
        <v>1</v>
      </c>
      <c r="N254" s="81">
        <f t="shared" si="44"/>
        <v>1</v>
      </c>
      <c r="O254" s="82" t="str">
        <f t="shared" si="45"/>
        <v>-</v>
      </c>
      <c r="P254" s="83">
        <v>1</v>
      </c>
      <c r="Q254" s="83">
        <v>0</v>
      </c>
      <c r="R254" s="83">
        <v>0</v>
      </c>
      <c r="S254" s="79">
        <f t="shared" si="46"/>
        <v>1</v>
      </c>
      <c r="T254" s="84">
        <v>1</v>
      </c>
      <c r="U254" s="84">
        <v>0</v>
      </c>
      <c r="V254" s="84">
        <v>0</v>
      </c>
      <c r="W254" s="85">
        <f t="shared" si="47"/>
        <v>1</v>
      </c>
      <c r="X254" s="86">
        <v>1</v>
      </c>
      <c r="Y254" s="86">
        <v>0</v>
      </c>
      <c r="Z254" s="86">
        <v>0</v>
      </c>
      <c r="AA254" s="88">
        <v>1</v>
      </c>
      <c r="AB254" s="89">
        <v>1</v>
      </c>
      <c r="AC254" s="89">
        <v>0</v>
      </c>
      <c r="AD254" s="89">
        <v>0</v>
      </c>
      <c r="AE254" s="90">
        <f t="shared" si="40"/>
        <v>1</v>
      </c>
      <c r="AF254" s="91">
        <v>1</v>
      </c>
      <c r="AG254" s="91">
        <v>0</v>
      </c>
      <c r="AH254" s="91">
        <v>0</v>
      </c>
      <c r="AI254" s="87">
        <f t="shared" si="33"/>
        <v>1</v>
      </c>
      <c r="AJ254" s="77" t="s">
        <v>163</v>
      </c>
      <c r="AK254" s="77" t="s">
        <v>177</v>
      </c>
      <c r="AL254" s="77"/>
      <c r="AM254" s="77"/>
    </row>
    <row r="255" spans="2:39" s="65" customFormat="1" ht="15.9" customHeight="1">
      <c r="B255" s="75">
        <f>SUBTOTAL(3,C$4:$C255)</f>
        <v>252</v>
      </c>
      <c r="C255" s="76" t="s">
        <v>501</v>
      </c>
      <c r="D255" s="77"/>
      <c r="E255" s="77"/>
      <c r="F255" s="77" t="s">
        <v>56</v>
      </c>
      <c r="G255" s="77" t="s">
        <v>56</v>
      </c>
      <c r="H255" s="77" t="s">
        <v>56</v>
      </c>
      <c r="I255" s="79" t="str">
        <f t="shared" si="42"/>
        <v>-</v>
      </c>
      <c r="J255" s="77">
        <v>2</v>
      </c>
      <c r="K255" s="77" t="s">
        <v>56</v>
      </c>
      <c r="L255" s="77" t="s">
        <v>56</v>
      </c>
      <c r="M255" s="77">
        <f t="shared" si="43"/>
        <v>2</v>
      </c>
      <c r="N255" s="81">
        <f t="shared" si="44"/>
        <v>2</v>
      </c>
      <c r="O255" s="82" t="str">
        <f t="shared" si="45"/>
        <v>-</v>
      </c>
      <c r="P255" s="83">
        <v>1</v>
      </c>
      <c r="Q255" s="83">
        <v>0</v>
      </c>
      <c r="R255" s="83">
        <v>0</v>
      </c>
      <c r="S255" s="79">
        <f t="shared" si="46"/>
        <v>1</v>
      </c>
      <c r="T255" s="84">
        <v>1</v>
      </c>
      <c r="U255" s="84">
        <v>0</v>
      </c>
      <c r="V255" s="84">
        <v>0</v>
      </c>
      <c r="W255" s="85">
        <f t="shared" si="47"/>
        <v>1</v>
      </c>
      <c r="X255" s="86">
        <v>1</v>
      </c>
      <c r="Y255" s="86">
        <v>0</v>
      </c>
      <c r="Z255" s="86">
        <v>0</v>
      </c>
      <c r="AA255" s="88">
        <v>1</v>
      </c>
      <c r="AB255" s="89">
        <v>1</v>
      </c>
      <c r="AC255" s="89">
        <v>0</v>
      </c>
      <c r="AD255" s="89">
        <v>0</v>
      </c>
      <c r="AE255" s="90">
        <f t="shared" si="40"/>
        <v>1</v>
      </c>
      <c r="AF255" s="91">
        <v>1</v>
      </c>
      <c r="AG255" s="91">
        <v>0</v>
      </c>
      <c r="AH255" s="91">
        <v>0</v>
      </c>
      <c r="AI255" s="87">
        <f t="shared" si="33"/>
        <v>1</v>
      </c>
      <c r="AJ255" s="77" t="s">
        <v>163</v>
      </c>
      <c r="AK255" s="77" t="s">
        <v>177</v>
      </c>
      <c r="AL255" s="77"/>
      <c r="AM255" s="95"/>
    </row>
    <row r="256" spans="2:39" s="65" customFormat="1" ht="15.9" customHeight="1">
      <c r="B256" s="75">
        <f>SUBTOTAL(3,C$4:$C256)</f>
        <v>253</v>
      </c>
      <c r="C256" s="76" t="s">
        <v>176</v>
      </c>
      <c r="D256" s="77">
        <v>2010</v>
      </c>
      <c r="E256" s="77" t="s">
        <v>55</v>
      </c>
      <c r="F256" s="77">
        <v>1</v>
      </c>
      <c r="G256" s="77" t="s">
        <v>56</v>
      </c>
      <c r="H256" s="77" t="s">
        <v>56</v>
      </c>
      <c r="I256" s="79">
        <f t="shared" si="42"/>
        <v>1</v>
      </c>
      <c r="J256" s="77">
        <v>1</v>
      </c>
      <c r="K256" s="77" t="s">
        <v>56</v>
      </c>
      <c r="L256" s="77" t="s">
        <v>56</v>
      </c>
      <c r="M256" s="77">
        <f t="shared" si="43"/>
        <v>1</v>
      </c>
      <c r="N256" s="81">
        <f t="shared" si="44"/>
        <v>1</v>
      </c>
      <c r="O256" s="82" t="str">
        <f t="shared" si="45"/>
        <v>-</v>
      </c>
      <c r="P256" s="83">
        <v>1</v>
      </c>
      <c r="Q256" s="83">
        <v>0</v>
      </c>
      <c r="R256" s="83">
        <v>0</v>
      </c>
      <c r="S256" s="79">
        <f t="shared" si="46"/>
        <v>1</v>
      </c>
      <c r="T256" s="84">
        <v>1</v>
      </c>
      <c r="U256" s="84">
        <v>0</v>
      </c>
      <c r="V256" s="84">
        <v>0</v>
      </c>
      <c r="W256" s="85">
        <f t="shared" si="47"/>
        <v>1</v>
      </c>
      <c r="X256" s="86">
        <v>1</v>
      </c>
      <c r="Y256" s="86">
        <v>0</v>
      </c>
      <c r="Z256" s="86">
        <v>0</v>
      </c>
      <c r="AA256" s="88">
        <v>1</v>
      </c>
      <c r="AB256" s="89">
        <v>1</v>
      </c>
      <c r="AC256" s="89">
        <v>0</v>
      </c>
      <c r="AD256" s="89">
        <v>0</v>
      </c>
      <c r="AE256" s="90">
        <f t="shared" si="40"/>
        <v>1</v>
      </c>
      <c r="AF256" s="91">
        <v>1</v>
      </c>
      <c r="AG256" s="91">
        <v>0</v>
      </c>
      <c r="AH256" s="91">
        <v>0</v>
      </c>
      <c r="AI256" s="87">
        <f t="shared" si="33"/>
        <v>1</v>
      </c>
      <c r="AJ256" s="77" t="s">
        <v>163</v>
      </c>
      <c r="AK256" s="77" t="s">
        <v>182</v>
      </c>
      <c r="AL256" s="77"/>
      <c r="AM256" s="77"/>
    </row>
    <row r="257" spans="2:39" s="65" customFormat="1" ht="15.9" customHeight="1">
      <c r="B257" s="75">
        <f>SUBTOTAL(3,C$4:$C257)</f>
        <v>254</v>
      </c>
      <c r="C257" s="76" t="s">
        <v>183</v>
      </c>
      <c r="D257" s="77">
        <v>2010</v>
      </c>
      <c r="E257" s="77" t="s">
        <v>55</v>
      </c>
      <c r="F257" s="77">
        <v>1</v>
      </c>
      <c r="G257" s="77" t="s">
        <v>56</v>
      </c>
      <c r="H257" s="77" t="s">
        <v>56</v>
      </c>
      <c r="I257" s="79">
        <f t="shared" si="42"/>
        <v>1</v>
      </c>
      <c r="J257" s="77">
        <v>1</v>
      </c>
      <c r="K257" s="77" t="s">
        <v>56</v>
      </c>
      <c r="L257" s="77" t="s">
        <v>56</v>
      </c>
      <c r="M257" s="77">
        <f t="shared" si="43"/>
        <v>1</v>
      </c>
      <c r="N257" s="81">
        <f t="shared" si="44"/>
        <v>1</v>
      </c>
      <c r="O257" s="82" t="str">
        <f t="shared" si="45"/>
        <v>-</v>
      </c>
      <c r="P257" s="83">
        <v>1</v>
      </c>
      <c r="Q257" s="83">
        <v>0</v>
      </c>
      <c r="R257" s="83">
        <v>0</v>
      </c>
      <c r="S257" s="79">
        <f t="shared" si="46"/>
        <v>1</v>
      </c>
      <c r="T257" s="84">
        <v>1</v>
      </c>
      <c r="U257" s="84">
        <v>0</v>
      </c>
      <c r="V257" s="84">
        <v>0</v>
      </c>
      <c r="W257" s="85">
        <f t="shared" si="47"/>
        <v>1</v>
      </c>
      <c r="X257" s="86">
        <v>1</v>
      </c>
      <c r="Y257" s="86">
        <v>0</v>
      </c>
      <c r="Z257" s="86">
        <v>0</v>
      </c>
      <c r="AA257" s="88">
        <v>1</v>
      </c>
      <c r="AB257" s="89">
        <v>1</v>
      </c>
      <c r="AC257" s="89">
        <v>0</v>
      </c>
      <c r="AD257" s="89">
        <v>0</v>
      </c>
      <c r="AE257" s="90">
        <f t="shared" si="40"/>
        <v>1</v>
      </c>
      <c r="AF257" s="91">
        <v>1</v>
      </c>
      <c r="AG257" s="91">
        <v>0</v>
      </c>
      <c r="AH257" s="91">
        <v>0</v>
      </c>
      <c r="AI257" s="87">
        <f t="shared" si="33"/>
        <v>1</v>
      </c>
      <c r="AJ257" s="77" t="s">
        <v>163</v>
      </c>
      <c r="AK257" s="77" t="s">
        <v>182</v>
      </c>
      <c r="AL257" s="77"/>
      <c r="AM257" s="77"/>
    </row>
    <row r="258" spans="2:39" s="65" customFormat="1" ht="15.9" customHeight="1">
      <c r="B258" s="75">
        <f>SUBTOTAL(3,C$4:$C258)</f>
        <v>255</v>
      </c>
      <c r="C258" s="76" t="s">
        <v>61</v>
      </c>
      <c r="D258" s="77">
        <v>2016</v>
      </c>
      <c r="E258" s="77" t="s">
        <v>63</v>
      </c>
      <c r="F258" s="77">
        <v>1</v>
      </c>
      <c r="G258" s="77" t="s">
        <v>56</v>
      </c>
      <c r="H258" s="77" t="s">
        <v>56</v>
      </c>
      <c r="I258" s="79">
        <f t="shared" si="42"/>
        <v>1</v>
      </c>
      <c r="J258" s="77">
        <v>1</v>
      </c>
      <c r="K258" s="77" t="s">
        <v>56</v>
      </c>
      <c r="L258" s="77" t="s">
        <v>56</v>
      </c>
      <c r="M258" s="77">
        <f t="shared" si="43"/>
        <v>1</v>
      </c>
      <c r="N258" s="81">
        <f t="shared" si="44"/>
        <v>1</v>
      </c>
      <c r="O258" s="82" t="str">
        <f t="shared" si="45"/>
        <v>-</v>
      </c>
      <c r="P258" s="83">
        <v>1</v>
      </c>
      <c r="Q258" s="83">
        <v>0</v>
      </c>
      <c r="R258" s="83">
        <v>0</v>
      </c>
      <c r="S258" s="79">
        <f t="shared" si="46"/>
        <v>1</v>
      </c>
      <c r="T258" s="84">
        <v>1</v>
      </c>
      <c r="U258" s="84">
        <v>0</v>
      </c>
      <c r="V258" s="84">
        <v>0</v>
      </c>
      <c r="W258" s="85">
        <f t="shared" si="47"/>
        <v>1</v>
      </c>
      <c r="X258" s="86">
        <v>1</v>
      </c>
      <c r="Y258" s="86">
        <v>0</v>
      </c>
      <c r="Z258" s="86">
        <v>0</v>
      </c>
      <c r="AA258" s="88">
        <v>1</v>
      </c>
      <c r="AB258" s="89">
        <v>1</v>
      </c>
      <c r="AC258" s="89">
        <v>0</v>
      </c>
      <c r="AD258" s="89">
        <v>0</v>
      </c>
      <c r="AE258" s="90">
        <f t="shared" si="40"/>
        <v>1</v>
      </c>
      <c r="AF258" s="91">
        <v>1</v>
      </c>
      <c r="AG258" s="91">
        <v>0</v>
      </c>
      <c r="AH258" s="91">
        <v>0</v>
      </c>
      <c r="AI258" s="87">
        <f t="shared" si="33"/>
        <v>1</v>
      </c>
      <c r="AJ258" s="77" t="s">
        <v>163</v>
      </c>
      <c r="AK258" s="77" t="s">
        <v>182</v>
      </c>
      <c r="AL258" s="77"/>
      <c r="AM258" s="77"/>
    </row>
    <row r="259" spans="2:39" s="65" customFormat="1" ht="15.9" customHeight="1">
      <c r="B259" s="75">
        <f>SUBTOTAL(3,C$4:$C259)</f>
        <v>256</v>
      </c>
      <c r="C259" s="76" t="s">
        <v>184</v>
      </c>
      <c r="D259" s="77">
        <v>2010</v>
      </c>
      <c r="E259" s="77" t="s">
        <v>60</v>
      </c>
      <c r="F259" s="77">
        <v>3</v>
      </c>
      <c r="G259" s="77" t="s">
        <v>56</v>
      </c>
      <c r="H259" s="77" t="s">
        <v>56</v>
      </c>
      <c r="I259" s="79">
        <f t="shared" si="42"/>
        <v>3</v>
      </c>
      <c r="J259" s="77">
        <v>3</v>
      </c>
      <c r="K259" s="77" t="s">
        <v>56</v>
      </c>
      <c r="L259" s="77" t="s">
        <v>56</v>
      </c>
      <c r="M259" s="77">
        <f t="shared" si="43"/>
        <v>3</v>
      </c>
      <c r="N259" s="81">
        <f t="shared" si="44"/>
        <v>3</v>
      </c>
      <c r="O259" s="82" t="str">
        <f t="shared" si="45"/>
        <v>-</v>
      </c>
      <c r="P259" s="83">
        <v>3</v>
      </c>
      <c r="Q259" s="83">
        <v>0</v>
      </c>
      <c r="R259" s="83">
        <v>0</v>
      </c>
      <c r="S259" s="79">
        <f t="shared" si="46"/>
        <v>3</v>
      </c>
      <c r="T259" s="84">
        <v>3</v>
      </c>
      <c r="U259" s="84">
        <v>0</v>
      </c>
      <c r="V259" s="84">
        <v>0</v>
      </c>
      <c r="W259" s="85">
        <f t="shared" si="47"/>
        <v>3</v>
      </c>
      <c r="X259" s="86">
        <v>3</v>
      </c>
      <c r="Y259" s="86">
        <v>0</v>
      </c>
      <c r="Z259" s="86">
        <v>0</v>
      </c>
      <c r="AA259" s="88">
        <v>3</v>
      </c>
      <c r="AB259" s="89">
        <v>3</v>
      </c>
      <c r="AC259" s="89">
        <v>0</v>
      </c>
      <c r="AD259" s="89">
        <v>0</v>
      </c>
      <c r="AE259" s="90">
        <f t="shared" si="40"/>
        <v>3</v>
      </c>
      <c r="AF259" s="91">
        <v>3</v>
      </c>
      <c r="AG259" s="91">
        <v>0</v>
      </c>
      <c r="AH259" s="91">
        <v>0</v>
      </c>
      <c r="AI259" s="87">
        <f t="shared" si="33"/>
        <v>3</v>
      </c>
      <c r="AJ259" s="77" t="s">
        <v>163</v>
      </c>
      <c r="AK259" s="77" t="s">
        <v>182</v>
      </c>
      <c r="AL259" s="77"/>
      <c r="AM259" s="77"/>
    </row>
    <row r="260" spans="2:39" s="65" customFormat="1" ht="15.9" customHeight="1">
      <c r="B260" s="75">
        <f>SUBTOTAL(3,C$4:$C260)</f>
        <v>257</v>
      </c>
      <c r="C260" s="76" t="s">
        <v>185</v>
      </c>
      <c r="D260" s="77">
        <v>2010</v>
      </c>
      <c r="E260" s="77" t="s">
        <v>63</v>
      </c>
      <c r="F260" s="77">
        <v>1</v>
      </c>
      <c r="G260" s="77" t="s">
        <v>56</v>
      </c>
      <c r="H260" s="77" t="s">
        <v>56</v>
      </c>
      <c r="I260" s="79">
        <f t="shared" si="42"/>
        <v>1</v>
      </c>
      <c r="J260" s="77">
        <v>1</v>
      </c>
      <c r="K260" s="77" t="s">
        <v>56</v>
      </c>
      <c r="L260" s="77" t="s">
        <v>56</v>
      </c>
      <c r="M260" s="77">
        <f t="shared" si="43"/>
        <v>1</v>
      </c>
      <c r="N260" s="81">
        <f t="shared" si="44"/>
        <v>1</v>
      </c>
      <c r="O260" s="82" t="str">
        <f t="shared" si="45"/>
        <v>-</v>
      </c>
      <c r="P260" s="83">
        <v>1</v>
      </c>
      <c r="Q260" s="83">
        <v>0</v>
      </c>
      <c r="R260" s="83">
        <v>0</v>
      </c>
      <c r="S260" s="79">
        <f t="shared" si="46"/>
        <v>1</v>
      </c>
      <c r="T260" s="84">
        <v>1</v>
      </c>
      <c r="U260" s="84">
        <v>0</v>
      </c>
      <c r="V260" s="84">
        <v>0</v>
      </c>
      <c r="W260" s="85">
        <f t="shared" si="47"/>
        <v>1</v>
      </c>
      <c r="X260" s="86">
        <v>1</v>
      </c>
      <c r="Y260" s="86">
        <v>0</v>
      </c>
      <c r="Z260" s="86">
        <v>0</v>
      </c>
      <c r="AA260" s="88">
        <v>1</v>
      </c>
      <c r="AB260" s="89">
        <v>1</v>
      </c>
      <c r="AC260" s="89">
        <v>0</v>
      </c>
      <c r="AD260" s="89">
        <v>0</v>
      </c>
      <c r="AE260" s="90">
        <f t="shared" ref="AE260:AE318" si="48">SUM(AB260:AD260)</f>
        <v>1</v>
      </c>
      <c r="AF260" s="91">
        <v>1</v>
      </c>
      <c r="AG260" s="91">
        <v>0</v>
      </c>
      <c r="AH260" s="91">
        <v>0</v>
      </c>
      <c r="AI260" s="87">
        <f t="shared" ref="AI260:AI318" si="49">SUM(AF260:AH260)</f>
        <v>1</v>
      </c>
      <c r="AJ260" s="77" t="s">
        <v>163</v>
      </c>
      <c r="AK260" s="77" t="s">
        <v>182</v>
      </c>
      <c r="AL260" s="77"/>
      <c r="AM260" s="77"/>
    </row>
    <row r="261" spans="2:39" s="65" customFormat="1" ht="15.9" customHeight="1">
      <c r="B261" s="75">
        <f>SUBTOTAL(3,C$4:$C261)</f>
        <v>258</v>
      </c>
      <c r="C261" s="76" t="s">
        <v>179</v>
      </c>
      <c r="D261" s="77">
        <v>2010</v>
      </c>
      <c r="E261" s="77" t="s">
        <v>55</v>
      </c>
      <c r="F261" s="77">
        <v>1</v>
      </c>
      <c r="G261" s="77" t="s">
        <v>56</v>
      </c>
      <c r="H261" s="77" t="s">
        <v>56</v>
      </c>
      <c r="I261" s="79">
        <f t="shared" si="42"/>
        <v>1</v>
      </c>
      <c r="J261" s="77">
        <v>1</v>
      </c>
      <c r="K261" s="77" t="s">
        <v>56</v>
      </c>
      <c r="L261" s="77" t="s">
        <v>56</v>
      </c>
      <c r="M261" s="77">
        <f t="shared" si="43"/>
        <v>1</v>
      </c>
      <c r="N261" s="81">
        <f t="shared" si="44"/>
        <v>1</v>
      </c>
      <c r="O261" s="82" t="str">
        <f t="shared" si="45"/>
        <v>-</v>
      </c>
      <c r="P261" s="83">
        <v>1</v>
      </c>
      <c r="Q261" s="83">
        <v>0</v>
      </c>
      <c r="R261" s="83">
        <v>0</v>
      </c>
      <c r="S261" s="79">
        <f t="shared" si="46"/>
        <v>1</v>
      </c>
      <c r="T261" s="84">
        <v>1</v>
      </c>
      <c r="U261" s="84">
        <v>0</v>
      </c>
      <c r="V261" s="84">
        <v>0</v>
      </c>
      <c r="W261" s="85">
        <f t="shared" si="47"/>
        <v>1</v>
      </c>
      <c r="X261" s="86">
        <v>1</v>
      </c>
      <c r="Y261" s="86">
        <v>0</v>
      </c>
      <c r="Z261" s="86">
        <v>0</v>
      </c>
      <c r="AA261" s="88">
        <v>1</v>
      </c>
      <c r="AB261" s="89">
        <v>1</v>
      </c>
      <c r="AC261" s="89">
        <v>0</v>
      </c>
      <c r="AD261" s="89">
        <v>0</v>
      </c>
      <c r="AE261" s="90">
        <f t="shared" si="48"/>
        <v>1</v>
      </c>
      <c r="AF261" s="91">
        <v>1</v>
      </c>
      <c r="AG261" s="91">
        <v>0</v>
      </c>
      <c r="AH261" s="91">
        <v>0</v>
      </c>
      <c r="AI261" s="87">
        <f t="shared" si="49"/>
        <v>1</v>
      </c>
      <c r="AJ261" s="77" t="s">
        <v>163</v>
      </c>
      <c r="AK261" s="77" t="s">
        <v>182</v>
      </c>
      <c r="AL261" s="77"/>
      <c r="AM261" s="77"/>
    </row>
    <row r="262" spans="2:39" s="65" customFormat="1" ht="15.9" customHeight="1">
      <c r="B262" s="75">
        <f>SUBTOTAL(3,C$4:$C262)</f>
        <v>259</v>
      </c>
      <c r="C262" s="76" t="s">
        <v>180</v>
      </c>
      <c r="D262" s="77">
        <v>2010</v>
      </c>
      <c r="E262" s="77" t="s">
        <v>55</v>
      </c>
      <c r="F262" s="77">
        <v>1</v>
      </c>
      <c r="G262" s="77" t="s">
        <v>56</v>
      </c>
      <c r="H262" s="77" t="s">
        <v>56</v>
      </c>
      <c r="I262" s="79">
        <f t="shared" si="42"/>
        <v>1</v>
      </c>
      <c r="J262" s="77">
        <v>1</v>
      </c>
      <c r="K262" s="77" t="s">
        <v>56</v>
      </c>
      <c r="L262" s="77" t="s">
        <v>56</v>
      </c>
      <c r="M262" s="77">
        <f t="shared" si="43"/>
        <v>1</v>
      </c>
      <c r="N262" s="81">
        <f t="shared" si="44"/>
        <v>1</v>
      </c>
      <c r="O262" s="82" t="str">
        <f t="shared" si="45"/>
        <v>-</v>
      </c>
      <c r="P262" s="83">
        <v>1</v>
      </c>
      <c r="Q262" s="83">
        <v>0</v>
      </c>
      <c r="R262" s="83">
        <v>0</v>
      </c>
      <c r="S262" s="79">
        <f t="shared" si="46"/>
        <v>1</v>
      </c>
      <c r="T262" s="84">
        <v>1</v>
      </c>
      <c r="U262" s="84">
        <v>0</v>
      </c>
      <c r="V262" s="84">
        <v>0</v>
      </c>
      <c r="W262" s="85">
        <f t="shared" si="47"/>
        <v>1</v>
      </c>
      <c r="X262" s="86">
        <v>1</v>
      </c>
      <c r="Y262" s="86">
        <v>0</v>
      </c>
      <c r="Z262" s="86">
        <v>0</v>
      </c>
      <c r="AA262" s="88">
        <v>1</v>
      </c>
      <c r="AB262" s="89">
        <v>1</v>
      </c>
      <c r="AC262" s="89">
        <v>0</v>
      </c>
      <c r="AD262" s="89">
        <v>0</v>
      </c>
      <c r="AE262" s="90">
        <f t="shared" si="48"/>
        <v>1</v>
      </c>
      <c r="AF262" s="91">
        <v>1</v>
      </c>
      <c r="AG262" s="91">
        <v>0</v>
      </c>
      <c r="AH262" s="91">
        <v>0</v>
      </c>
      <c r="AI262" s="87">
        <f t="shared" si="49"/>
        <v>1</v>
      </c>
      <c r="AJ262" s="77" t="s">
        <v>163</v>
      </c>
      <c r="AK262" s="77" t="s">
        <v>182</v>
      </c>
      <c r="AL262" s="77"/>
      <c r="AM262" s="77"/>
    </row>
    <row r="263" spans="2:39" s="65" customFormat="1" ht="15.9" customHeight="1">
      <c r="B263" s="75">
        <f>SUBTOTAL(3,C$4:$C263)</f>
        <v>260</v>
      </c>
      <c r="C263" s="76" t="s">
        <v>74</v>
      </c>
      <c r="D263" s="77">
        <v>2018</v>
      </c>
      <c r="E263" s="77" t="s">
        <v>60</v>
      </c>
      <c r="F263" s="77">
        <v>1</v>
      </c>
      <c r="G263" s="77" t="s">
        <v>56</v>
      </c>
      <c r="H263" s="77" t="s">
        <v>56</v>
      </c>
      <c r="I263" s="79">
        <f t="shared" si="42"/>
        <v>1</v>
      </c>
      <c r="J263" s="77">
        <v>1</v>
      </c>
      <c r="K263" s="77" t="s">
        <v>56</v>
      </c>
      <c r="L263" s="77" t="s">
        <v>56</v>
      </c>
      <c r="M263" s="77">
        <f t="shared" si="43"/>
        <v>1</v>
      </c>
      <c r="N263" s="81">
        <f t="shared" si="44"/>
        <v>1</v>
      </c>
      <c r="O263" s="82" t="str">
        <f t="shared" si="45"/>
        <v>-</v>
      </c>
      <c r="P263" s="83">
        <v>1</v>
      </c>
      <c r="Q263" s="83">
        <v>0</v>
      </c>
      <c r="R263" s="83">
        <v>0</v>
      </c>
      <c r="S263" s="79">
        <f t="shared" si="46"/>
        <v>1</v>
      </c>
      <c r="T263" s="84">
        <v>1</v>
      </c>
      <c r="U263" s="84">
        <v>0</v>
      </c>
      <c r="V263" s="84">
        <v>0</v>
      </c>
      <c r="W263" s="85">
        <f t="shared" si="47"/>
        <v>1</v>
      </c>
      <c r="X263" s="86">
        <v>1</v>
      </c>
      <c r="Y263" s="86">
        <v>0</v>
      </c>
      <c r="Z263" s="86">
        <v>0</v>
      </c>
      <c r="AA263" s="88">
        <v>1</v>
      </c>
      <c r="AB263" s="89">
        <v>1</v>
      </c>
      <c r="AC263" s="89">
        <v>0</v>
      </c>
      <c r="AD263" s="89">
        <v>0</v>
      </c>
      <c r="AE263" s="90">
        <f t="shared" si="48"/>
        <v>1</v>
      </c>
      <c r="AF263" s="91">
        <v>1</v>
      </c>
      <c r="AG263" s="91">
        <v>0</v>
      </c>
      <c r="AH263" s="91">
        <v>0</v>
      </c>
      <c r="AI263" s="87">
        <f t="shared" si="49"/>
        <v>1</v>
      </c>
      <c r="AJ263" s="77" t="s">
        <v>163</v>
      </c>
      <c r="AK263" s="77" t="s">
        <v>182</v>
      </c>
      <c r="AL263" s="77"/>
      <c r="AM263" s="77"/>
    </row>
    <row r="264" spans="2:39" s="65" customFormat="1" ht="15.9" customHeight="1">
      <c r="B264" s="75">
        <f>SUBTOTAL(3,C$4:$C264)</f>
        <v>261</v>
      </c>
      <c r="C264" s="76" t="s">
        <v>181</v>
      </c>
      <c r="D264" s="77">
        <v>2010</v>
      </c>
      <c r="E264" s="77" t="s">
        <v>55</v>
      </c>
      <c r="F264" s="77">
        <v>1</v>
      </c>
      <c r="G264" s="77" t="s">
        <v>56</v>
      </c>
      <c r="H264" s="77" t="s">
        <v>56</v>
      </c>
      <c r="I264" s="79">
        <f t="shared" si="42"/>
        <v>1</v>
      </c>
      <c r="J264" s="77">
        <v>1</v>
      </c>
      <c r="K264" s="77" t="s">
        <v>56</v>
      </c>
      <c r="L264" s="77" t="s">
        <v>56</v>
      </c>
      <c r="M264" s="77">
        <f t="shared" si="43"/>
        <v>1</v>
      </c>
      <c r="N264" s="81">
        <f t="shared" si="44"/>
        <v>1</v>
      </c>
      <c r="O264" s="82" t="str">
        <f t="shared" si="45"/>
        <v>-</v>
      </c>
      <c r="P264" s="83">
        <v>1</v>
      </c>
      <c r="Q264" s="83">
        <v>0</v>
      </c>
      <c r="R264" s="83">
        <v>0</v>
      </c>
      <c r="S264" s="79">
        <f t="shared" si="46"/>
        <v>1</v>
      </c>
      <c r="T264" s="84">
        <v>1</v>
      </c>
      <c r="U264" s="84">
        <v>0</v>
      </c>
      <c r="V264" s="84">
        <v>0</v>
      </c>
      <c r="W264" s="85">
        <f t="shared" si="47"/>
        <v>1</v>
      </c>
      <c r="X264" s="86">
        <v>1</v>
      </c>
      <c r="Y264" s="86">
        <v>0</v>
      </c>
      <c r="Z264" s="86">
        <v>0</v>
      </c>
      <c r="AA264" s="88">
        <v>1</v>
      </c>
      <c r="AB264" s="89">
        <v>1</v>
      </c>
      <c r="AC264" s="89">
        <v>0</v>
      </c>
      <c r="AD264" s="89">
        <v>0</v>
      </c>
      <c r="AE264" s="90">
        <f t="shared" si="48"/>
        <v>1</v>
      </c>
      <c r="AF264" s="91">
        <v>1</v>
      </c>
      <c r="AG264" s="91">
        <v>0</v>
      </c>
      <c r="AH264" s="91">
        <v>0</v>
      </c>
      <c r="AI264" s="87">
        <f t="shared" si="49"/>
        <v>1</v>
      </c>
      <c r="AJ264" s="77" t="s">
        <v>163</v>
      </c>
      <c r="AK264" s="77" t="s">
        <v>182</v>
      </c>
      <c r="AL264" s="77"/>
      <c r="AM264" s="77"/>
    </row>
    <row r="265" spans="2:39" s="65" customFormat="1" ht="15.9" customHeight="1">
      <c r="B265" s="75">
        <f>SUBTOTAL(3,C$4:$C265)</f>
        <v>262</v>
      </c>
      <c r="C265" s="76" t="s">
        <v>73</v>
      </c>
      <c r="D265" s="77">
        <v>2010</v>
      </c>
      <c r="E265" s="77" t="s">
        <v>63</v>
      </c>
      <c r="F265" s="77">
        <v>1</v>
      </c>
      <c r="G265" s="77" t="s">
        <v>56</v>
      </c>
      <c r="H265" s="77" t="s">
        <v>56</v>
      </c>
      <c r="I265" s="79">
        <f t="shared" si="42"/>
        <v>1</v>
      </c>
      <c r="J265" s="77">
        <v>1</v>
      </c>
      <c r="K265" s="77" t="s">
        <v>56</v>
      </c>
      <c r="L265" s="77" t="s">
        <v>56</v>
      </c>
      <c r="M265" s="77">
        <f t="shared" si="43"/>
        <v>1</v>
      </c>
      <c r="N265" s="81">
        <f t="shared" si="44"/>
        <v>1</v>
      </c>
      <c r="O265" s="82" t="str">
        <f t="shared" si="45"/>
        <v>-</v>
      </c>
      <c r="P265" s="83">
        <v>1</v>
      </c>
      <c r="Q265" s="83">
        <v>0</v>
      </c>
      <c r="R265" s="83">
        <v>0</v>
      </c>
      <c r="S265" s="79">
        <f t="shared" si="46"/>
        <v>1</v>
      </c>
      <c r="T265" s="84">
        <v>1</v>
      </c>
      <c r="U265" s="84">
        <v>0</v>
      </c>
      <c r="V265" s="84">
        <v>0</v>
      </c>
      <c r="W265" s="85">
        <f t="shared" si="47"/>
        <v>1</v>
      </c>
      <c r="X265" s="86">
        <v>1</v>
      </c>
      <c r="Y265" s="86">
        <v>0</v>
      </c>
      <c r="Z265" s="86">
        <v>0</v>
      </c>
      <c r="AA265" s="88">
        <v>1</v>
      </c>
      <c r="AB265" s="89">
        <v>1</v>
      </c>
      <c r="AC265" s="89">
        <v>0</v>
      </c>
      <c r="AD265" s="89">
        <v>0</v>
      </c>
      <c r="AE265" s="90">
        <f t="shared" si="48"/>
        <v>1</v>
      </c>
      <c r="AF265" s="91">
        <v>1</v>
      </c>
      <c r="AG265" s="91">
        <v>0</v>
      </c>
      <c r="AH265" s="91">
        <v>0</v>
      </c>
      <c r="AI265" s="87">
        <f t="shared" si="49"/>
        <v>1</v>
      </c>
      <c r="AJ265" s="77" t="s">
        <v>163</v>
      </c>
      <c r="AK265" s="77" t="s">
        <v>182</v>
      </c>
      <c r="AL265" s="77"/>
      <c r="AM265" s="77"/>
    </row>
    <row r="266" spans="2:39" s="65" customFormat="1" ht="15.9" customHeight="1">
      <c r="B266" s="75">
        <f>SUBTOTAL(3,C$4:$C266)</f>
        <v>263</v>
      </c>
      <c r="C266" s="76" t="s">
        <v>72</v>
      </c>
      <c r="D266" s="77">
        <v>2010</v>
      </c>
      <c r="E266" s="77" t="s">
        <v>60</v>
      </c>
      <c r="F266" s="77">
        <v>1</v>
      </c>
      <c r="G266" s="77" t="s">
        <v>56</v>
      </c>
      <c r="H266" s="77" t="s">
        <v>56</v>
      </c>
      <c r="I266" s="79">
        <f t="shared" si="42"/>
        <v>1</v>
      </c>
      <c r="J266" s="77">
        <v>1</v>
      </c>
      <c r="K266" s="77" t="s">
        <v>56</v>
      </c>
      <c r="L266" s="77" t="s">
        <v>56</v>
      </c>
      <c r="M266" s="77">
        <f t="shared" si="43"/>
        <v>1</v>
      </c>
      <c r="N266" s="81">
        <f t="shared" si="44"/>
        <v>1</v>
      </c>
      <c r="O266" s="82" t="str">
        <f t="shared" si="45"/>
        <v>-</v>
      </c>
      <c r="P266" s="83">
        <v>1</v>
      </c>
      <c r="Q266" s="83">
        <v>0</v>
      </c>
      <c r="R266" s="83">
        <v>0</v>
      </c>
      <c r="S266" s="79">
        <f t="shared" si="46"/>
        <v>1</v>
      </c>
      <c r="T266" s="84">
        <v>1</v>
      </c>
      <c r="U266" s="84">
        <v>0</v>
      </c>
      <c r="V266" s="84">
        <v>0</v>
      </c>
      <c r="W266" s="85">
        <f t="shared" si="47"/>
        <v>1</v>
      </c>
      <c r="X266" s="86">
        <v>1</v>
      </c>
      <c r="Y266" s="86">
        <v>0</v>
      </c>
      <c r="Z266" s="86">
        <v>0</v>
      </c>
      <c r="AA266" s="88">
        <v>1</v>
      </c>
      <c r="AB266" s="89">
        <v>1</v>
      </c>
      <c r="AC266" s="89">
        <v>0</v>
      </c>
      <c r="AD266" s="89">
        <v>0</v>
      </c>
      <c r="AE266" s="90">
        <f t="shared" si="48"/>
        <v>1</v>
      </c>
      <c r="AF266" s="91">
        <v>1</v>
      </c>
      <c r="AG266" s="91">
        <v>0</v>
      </c>
      <c r="AH266" s="91">
        <v>0</v>
      </c>
      <c r="AI266" s="87">
        <f t="shared" si="49"/>
        <v>1</v>
      </c>
      <c r="AJ266" s="77" t="s">
        <v>163</v>
      </c>
      <c r="AK266" s="77" t="s">
        <v>182</v>
      </c>
      <c r="AL266" s="77"/>
      <c r="AM266" s="77"/>
    </row>
    <row r="267" spans="2:39" s="65" customFormat="1" ht="15.9" customHeight="1">
      <c r="B267" s="75">
        <f>SUBTOTAL(3,C$4:$C267)</f>
        <v>264</v>
      </c>
      <c r="C267" s="76" t="s">
        <v>172</v>
      </c>
      <c r="D267" s="77">
        <v>2010</v>
      </c>
      <c r="E267" s="77" t="s">
        <v>55</v>
      </c>
      <c r="F267" s="77">
        <v>1</v>
      </c>
      <c r="G267" s="77" t="s">
        <v>56</v>
      </c>
      <c r="H267" s="77" t="s">
        <v>56</v>
      </c>
      <c r="I267" s="79">
        <f t="shared" si="42"/>
        <v>1</v>
      </c>
      <c r="J267" s="77">
        <v>1</v>
      </c>
      <c r="K267" s="77" t="s">
        <v>56</v>
      </c>
      <c r="L267" s="77" t="s">
        <v>56</v>
      </c>
      <c r="M267" s="77">
        <f t="shared" si="43"/>
        <v>1</v>
      </c>
      <c r="N267" s="81">
        <f t="shared" si="44"/>
        <v>1</v>
      </c>
      <c r="O267" s="82" t="str">
        <f t="shared" si="45"/>
        <v>-</v>
      </c>
      <c r="P267" s="83">
        <v>1</v>
      </c>
      <c r="Q267" s="83">
        <v>0</v>
      </c>
      <c r="R267" s="83">
        <v>0</v>
      </c>
      <c r="S267" s="79">
        <f t="shared" si="46"/>
        <v>1</v>
      </c>
      <c r="T267" s="84">
        <v>1</v>
      </c>
      <c r="U267" s="84">
        <v>0</v>
      </c>
      <c r="V267" s="84">
        <v>0</v>
      </c>
      <c r="W267" s="85">
        <f t="shared" si="47"/>
        <v>1</v>
      </c>
      <c r="X267" s="86">
        <v>1</v>
      </c>
      <c r="Y267" s="86">
        <v>0</v>
      </c>
      <c r="Z267" s="86">
        <v>0</v>
      </c>
      <c r="AA267" s="88">
        <v>1</v>
      </c>
      <c r="AB267" s="89">
        <v>1</v>
      </c>
      <c r="AC267" s="89">
        <v>0</v>
      </c>
      <c r="AD267" s="89">
        <v>0</v>
      </c>
      <c r="AE267" s="90">
        <f t="shared" si="48"/>
        <v>1</v>
      </c>
      <c r="AF267" s="91">
        <v>1</v>
      </c>
      <c r="AG267" s="91">
        <v>0</v>
      </c>
      <c r="AH267" s="91">
        <v>0</v>
      </c>
      <c r="AI267" s="87">
        <f t="shared" si="49"/>
        <v>1</v>
      </c>
      <c r="AJ267" s="77" t="s">
        <v>163</v>
      </c>
      <c r="AK267" s="77" t="s">
        <v>182</v>
      </c>
      <c r="AL267" s="77"/>
      <c r="AM267" s="77"/>
    </row>
    <row r="268" spans="2:39" s="65" customFormat="1" ht="15.9" customHeight="1">
      <c r="B268" s="75">
        <f>SUBTOTAL(3,C$4:$C268)</f>
        <v>265</v>
      </c>
      <c r="C268" s="76" t="s">
        <v>70</v>
      </c>
      <c r="D268" s="77">
        <v>2010</v>
      </c>
      <c r="E268" s="77" t="s">
        <v>71</v>
      </c>
      <c r="F268" s="77">
        <v>1</v>
      </c>
      <c r="G268" s="77" t="s">
        <v>56</v>
      </c>
      <c r="H268" s="77" t="s">
        <v>56</v>
      </c>
      <c r="I268" s="79">
        <f t="shared" si="42"/>
        <v>1</v>
      </c>
      <c r="J268" s="77">
        <v>1</v>
      </c>
      <c r="K268" s="77" t="s">
        <v>56</v>
      </c>
      <c r="L268" s="77" t="s">
        <v>56</v>
      </c>
      <c r="M268" s="77">
        <f t="shared" si="43"/>
        <v>1</v>
      </c>
      <c r="N268" s="81">
        <f t="shared" si="44"/>
        <v>1</v>
      </c>
      <c r="O268" s="82" t="str">
        <f t="shared" si="45"/>
        <v>-</v>
      </c>
      <c r="P268" s="83">
        <v>1</v>
      </c>
      <c r="Q268" s="83">
        <v>0</v>
      </c>
      <c r="R268" s="83">
        <v>0</v>
      </c>
      <c r="S268" s="79">
        <f t="shared" si="46"/>
        <v>1</v>
      </c>
      <c r="T268" s="84">
        <v>1</v>
      </c>
      <c r="U268" s="84">
        <v>0</v>
      </c>
      <c r="V268" s="84">
        <v>0</v>
      </c>
      <c r="W268" s="85">
        <f t="shared" si="47"/>
        <v>1</v>
      </c>
      <c r="X268" s="86">
        <v>1</v>
      </c>
      <c r="Y268" s="86">
        <v>0</v>
      </c>
      <c r="Z268" s="86">
        <v>0</v>
      </c>
      <c r="AA268" s="88">
        <v>1</v>
      </c>
      <c r="AB268" s="89">
        <v>1</v>
      </c>
      <c r="AC268" s="89">
        <v>0</v>
      </c>
      <c r="AD268" s="89">
        <v>0</v>
      </c>
      <c r="AE268" s="90">
        <f t="shared" si="48"/>
        <v>1</v>
      </c>
      <c r="AF268" s="91">
        <v>1</v>
      </c>
      <c r="AG268" s="91">
        <v>0</v>
      </c>
      <c r="AH268" s="91">
        <v>0</v>
      </c>
      <c r="AI268" s="87">
        <f t="shared" si="49"/>
        <v>1</v>
      </c>
      <c r="AJ268" s="77" t="s">
        <v>163</v>
      </c>
      <c r="AK268" s="77" t="s">
        <v>182</v>
      </c>
      <c r="AL268" s="77"/>
      <c r="AM268" s="77"/>
    </row>
    <row r="269" spans="2:39" s="65" customFormat="1" ht="15.9" customHeight="1">
      <c r="B269" s="75">
        <f>SUBTOTAL(3,C$4:$C269)</f>
        <v>266</v>
      </c>
      <c r="C269" s="76" t="s">
        <v>173</v>
      </c>
      <c r="D269" s="77">
        <v>2010</v>
      </c>
      <c r="E269" s="77" t="s">
        <v>60</v>
      </c>
      <c r="F269" s="77">
        <v>1</v>
      </c>
      <c r="G269" s="77" t="s">
        <v>56</v>
      </c>
      <c r="H269" s="77" t="s">
        <v>56</v>
      </c>
      <c r="I269" s="79">
        <f t="shared" si="42"/>
        <v>1</v>
      </c>
      <c r="J269" s="77">
        <v>1</v>
      </c>
      <c r="K269" s="77" t="s">
        <v>56</v>
      </c>
      <c r="L269" s="77" t="s">
        <v>56</v>
      </c>
      <c r="M269" s="77">
        <f t="shared" si="43"/>
        <v>1</v>
      </c>
      <c r="N269" s="81">
        <f t="shared" si="44"/>
        <v>1</v>
      </c>
      <c r="O269" s="82" t="str">
        <f t="shared" si="45"/>
        <v>-</v>
      </c>
      <c r="P269" s="83">
        <v>1</v>
      </c>
      <c r="Q269" s="83">
        <v>0</v>
      </c>
      <c r="R269" s="83">
        <v>0</v>
      </c>
      <c r="S269" s="79">
        <f t="shared" si="46"/>
        <v>1</v>
      </c>
      <c r="T269" s="84">
        <v>1</v>
      </c>
      <c r="U269" s="84">
        <v>0</v>
      </c>
      <c r="V269" s="84">
        <v>0</v>
      </c>
      <c r="W269" s="85">
        <f t="shared" si="47"/>
        <v>1</v>
      </c>
      <c r="X269" s="86">
        <v>1</v>
      </c>
      <c r="Y269" s="86">
        <v>0</v>
      </c>
      <c r="Z269" s="86">
        <v>0</v>
      </c>
      <c r="AA269" s="88">
        <v>1</v>
      </c>
      <c r="AB269" s="89">
        <v>1</v>
      </c>
      <c r="AC269" s="89">
        <v>0</v>
      </c>
      <c r="AD269" s="89">
        <v>0</v>
      </c>
      <c r="AE269" s="90">
        <f t="shared" si="48"/>
        <v>1</v>
      </c>
      <c r="AF269" s="91">
        <v>1</v>
      </c>
      <c r="AG269" s="91">
        <v>0</v>
      </c>
      <c r="AH269" s="91">
        <v>0</v>
      </c>
      <c r="AI269" s="87">
        <f t="shared" si="49"/>
        <v>1</v>
      </c>
      <c r="AJ269" s="77" t="s">
        <v>163</v>
      </c>
      <c r="AK269" s="77" t="s">
        <v>182</v>
      </c>
      <c r="AL269" s="77"/>
      <c r="AM269" s="77"/>
    </row>
    <row r="270" spans="2:39" s="65" customFormat="1" ht="15.9" customHeight="1">
      <c r="B270" s="75">
        <f>SUBTOTAL(3,C$4:$C270)</f>
        <v>267</v>
      </c>
      <c r="C270" s="76" t="s">
        <v>75</v>
      </c>
      <c r="D270" s="77">
        <v>2010</v>
      </c>
      <c r="E270" s="77" t="s">
        <v>60</v>
      </c>
      <c r="F270" s="77">
        <v>1</v>
      </c>
      <c r="G270" s="77" t="s">
        <v>56</v>
      </c>
      <c r="H270" s="77" t="s">
        <v>56</v>
      </c>
      <c r="I270" s="79">
        <f t="shared" si="42"/>
        <v>1</v>
      </c>
      <c r="J270" s="77">
        <v>1</v>
      </c>
      <c r="K270" s="77" t="s">
        <v>56</v>
      </c>
      <c r="L270" s="77" t="s">
        <v>56</v>
      </c>
      <c r="M270" s="77">
        <f t="shared" si="43"/>
        <v>1</v>
      </c>
      <c r="N270" s="81">
        <f t="shared" si="44"/>
        <v>1</v>
      </c>
      <c r="O270" s="82" t="str">
        <f t="shared" si="45"/>
        <v>-</v>
      </c>
      <c r="P270" s="83">
        <v>1</v>
      </c>
      <c r="Q270" s="83">
        <v>0</v>
      </c>
      <c r="R270" s="83">
        <v>0</v>
      </c>
      <c r="S270" s="79">
        <f t="shared" si="46"/>
        <v>1</v>
      </c>
      <c r="T270" s="84">
        <v>1</v>
      </c>
      <c r="U270" s="84">
        <v>0</v>
      </c>
      <c r="V270" s="84">
        <v>0</v>
      </c>
      <c r="W270" s="85">
        <f t="shared" si="47"/>
        <v>1</v>
      </c>
      <c r="X270" s="86">
        <v>1</v>
      </c>
      <c r="Y270" s="86">
        <v>0</v>
      </c>
      <c r="Z270" s="86">
        <v>0</v>
      </c>
      <c r="AA270" s="88">
        <v>1</v>
      </c>
      <c r="AB270" s="89">
        <v>1</v>
      </c>
      <c r="AC270" s="89">
        <v>0</v>
      </c>
      <c r="AD270" s="89">
        <v>0</v>
      </c>
      <c r="AE270" s="90">
        <f t="shared" si="48"/>
        <v>1</v>
      </c>
      <c r="AF270" s="91">
        <v>1</v>
      </c>
      <c r="AG270" s="91">
        <v>0</v>
      </c>
      <c r="AH270" s="91">
        <v>0</v>
      </c>
      <c r="AI270" s="87">
        <f t="shared" si="49"/>
        <v>1</v>
      </c>
      <c r="AJ270" s="77" t="s">
        <v>163</v>
      </c>
      <c r="AK270" s="77" t="s">
        <v>182</v>
      </c>
      <c r="AL270" s="77"/>
      <c r="AM270" s="77"/>
    </row>
    <row r="271" spans="2:39" s="65" customFormat="1" ht="15.9" customHeight="1">
      <c r="B271" s="75">
        <f>SUBTOTAL(3,C$4:$C271)</f>
        <v>268</v>
      </c>
      <c r="C271" s="76" t="s">
        <v>76</v>
      </c>
      <c r="D271" s="77">
        <v>2010</v>
      </c>
      <c r="E271" s="77" t="s">
        <v>60</v>
      </c>
      <c r="F271" s="77">
        <v>1</v>
      </c>
      <c r="G271" s="77" t="s">
        <v>56</v>
      </c>
      <c r="H271" s="77" t="s">
        <v>56</v>
      </c>
      <c r="I271" s="79">
        <f t="shared" si="42"/>
        <v>1</v>
      </c>
      <c r="J271" s="77">
        <v>1</v>
      </c>
      <c r="K271" s="77" t="s">
        <v>56</v>
      </c>
      <c r="L271" s="77" t="s">
        <v>56</v>
      </c>
      <c r="M271" s="77">
        <f t="shared" si="43"/>
        <v>1</v>
      </c>
      <c r="N271" s="81">
        <f t="shared" si="44"/>
        <v>1</v>
      </c>
      <c r="O271" s="82" t="str">
        <f t="shared" si="45"/>
        <v>-</v>
      </c>
      <c r="P271" s="83">
        <v>1</v>
      </c>
      <c r="Q271" s="83">
        <v>0</v>
      </c>
      <c r="R271" s="83">
        <v>0</v>
      </c>
      <c r="S271" s="79">
        <f t="shared" si="46"/>
        <v>1</v>
      </c>
      <c r="T271" s="84">
        <v>1</v>
      </c>
      <c r="U271" s="84">
        <v>0</v>
      </c>
      <c r="V271" s="84">
        <v>0</v>
      </c>
      <c r="W271" s="85">
        <f t="shared" si="47"/>
        <v>1</v>
      </c>
      <c r="X271" s="86">
        <v>0</v>
      </c>
      <c r="Y271" s="86">
        <v>0</v>
      </c>
      <c r="Z271" s="86">
        <v>0</v>
      </c>
      <c r="AA271" s="88">
        <v>0</v>
      </c>
      <c r="AB271" s="89">
        <v>0</v>
      </c>
      <c r="AC271" s="89">
        <v>0</v>
      </c>
      <c r="AD271" s="89">
        <v>0</v>
      </c>
      <c r="AE271" s="90">
        <f t="shared" si="48"/>
        <v>0</v>
      </c>
      <c r="AF271" s="91">
        <v>0</v>
      </c>
      <c r="AG271" s="91">
        <v>0</v>
      </c>
      <c r="AH271" s="91">
        <v>0</v>
      </c>
      <c r="AI271" s="87">
        <f t="shared" si="49"/>
        <v>0</v>
      </c>
      <c r="AJ271" s="77" t="s">
        <v>163</v>
      </c>
      <c r="AK271" s="77" t="s">
        <v>182</v>
      </c>
      <c r="AL271" s="77"/>
      <c r="AM271" s="77"/>
    </row>
    <row r="272" spans="2:39" s="65" customFormat="1" ht="15.9" customHeight="1">
      <c r="B272" s="75">
        <f>SUBTOTAL(3,C$4:$C272)</f>
        <v>269</v>
      </c>
      <c r="C272" s="76" t="s">
        <v>186</v>
      </c>
      <c r="D272" s="77">
        <v>2010</v>
      </c>
      <c r="E272" s="77" t="s">
        <v>60</v>
      </c>
      <c r="F272" s="77">
        <v>1</v>
      </c>
      <c r="G272" s="77" t="s">
        <v>56</v>
      </c>
      <c r="H272" s="77" t="s">
        <v>56</v>
      </c>
      <c r="I272" s="79">
        <f t="shared" si="42"/>
        <v>1</v>
      </c>
      <c r="J272" s="77">
        <v>0</v>
      </c>
      <c r="K272" s="77" t="s">
        <v>56</v>
      </c>
      <c r="L272" s="77" t="s">
        <v>56</v>
      </c>
      <c r="M272" s="77">
        <f t="shared" si="43"/>
        <v>0</v>
      </c>
      <c r="N272" s="81">
        <f t="shared" si="44"/>
        <v>0</v>
      </c>
      <c r="O272" s="82" t="str">
        <f t="shared" si="45"/>
        <v>-</v>
      </c>
      <c r="P272" s="83">
        <v>0</v>
      </c>
      <c r="Q272" s="83">
        <v>0</v>
      </c>
      <c r="R272" s="83">
        <v>0</v>
      </c>
      <c r="S272" s="79">
        <f t="shared" si="46"/>
        <v>0</v>
      </c>
      <c r="T272" s="84">
        <v>0</v>
      </c>
      <c r="U272" s="84">
        <v>0</v>
      </c>
      <c r="V272" s="84">
        <v>0</v>
      </c>
      <c r="W272" s="85">
        <f t="shared" si="47"/>
        <v>0</v>
      </c>
      <c r="X272" s="86">
        <v>0</v>
      </c>
      <c r="Y272" s="86">
        <v>0</v>
      </c>
      <c r="Z272" s="86">
        <v>0</v>
      </c>
      <c r="AA272" s="88">
        <v>0</v>
      </c>
      <c r="AB272" s="89">
        <v>0</v>
      </c>
      <c r="AC272" s="89">
        <v>0</v>
      </c>
      <c r="AD272" s="89">
        <v>0</v>
      </c>
      <c r="AE272" s="90">
        <f t="shared" si="48"/>
        <v>0</v>
      </c>
      <c r="AF272" s="91">
        <v>0</v>
      </c>
      <c r="AG272" s="91">
        <v>0</v>
      </c>
      <c r="AH272" s="91">
        <v>0</v>
      </c>
      <c r="AI272" s="87">
        <f t="shared" si="49"/>
        <v>0</v>
      </c>
      <c r="AJ272" s="77" t="s">
        <v>163</v>
      </c>
      <c r="AK272" s="77" t="s">
        <v>182</v>
      </c>
      <c r="AL272" s="77"/>
      <c r="AM272" s="77"/>
    </row>
    <row r="273" spans="2:39" s="65" customFormat="1" ht="15.9" customHeight="1">
      <c r="B273" s="75">
        <f>SUBTOTAL(3,C$4:$C273)</f>
        <v>270</v>
      </c>
      <c r="C273" s="76" t="s">
        <v>187</v>
      </c>
      <c r="D273" s="77"/>
      <c r="E273" s="77" t="s">
        <v>55</v>
      </c>
      <c r="F273" s="77">
        <v>1</v>
      </c>
      <c r="G273" s="77" t="s">
        <v>56</v>
      </c>
      <c r="H273" s="77" t="s">
        <v>56</v>
      </c>
      <c r="I273" s="79">
        <f t="shared" si="42"/>
        <v>1</v>
      </c>
      <c r="J273" s="77">
        <v>1</v>
      </c>
      <c r="K273" s="77" t="s">
        <v>56</v>
      </c>
      <c r="L273" s="77" t="s">
        <v>56</v>
      </c>
      <c r="M273" s="77">
        <f t="shared" si="43"/>
        <v>1</v>
      </c>
      <c r="N273" s="81">
        <f t="shared" si="44"/>
        <v>1</v>
      </c>
      <c r="O273" s="82" t="str">
        <f t="shared" si="45"/>
        <v>-</v>
      </c>
      <c r="P273" s="83">
        <v>1</v>
      </c>
      <c r="Q273" s="83">
        <v>0</v>
      </c>
      <c r="R273" s="83">
        <v>0</v>
      </c>
      <c r="S273" s="79">
        <f t="shared" si="46"/>
        <v>1</v>
      </c>
      <c r="T273" s="84">
        <v>1</v>
      </c>
      <c r="U273" s="84">
        <v>0</v>
      </c>
      <c r="V273" s="84">
        <v>0</v>
      </c>
      <c r="W273" s="85">
        <f t="shared" si="47"/>
        <v>1</v>
      </c>
      <c r="X273" s="86">
        <v>1</v>
      </c>
      <c r="Y273" s="86">
        <v>0</v>
      </c>
      <c r="Z273" s="86">
        <v>0</v>
      </c>
      <c r="AA273" s="88">
        <v>1</v>
      </c>
      <c r="AB273" s="89">
        <v>1</v>
      </c>
      <c r="AC273" s="89">
        <v>0</v>
      </c>
      <c r="AD273" s="89">
        <v>0</v>
      </c>
      <c r="AE273" s="90">
        <f t="shared" si="48"/>
        <v>1</v>
      </c>
      <c r="AF273" s="91">
        <v>1</v>
      </c>
      <c r="AG273" s="91">
        <v>0</v>
      </c>
      <c r="AH273" s="91">
        <v>0</v>
      </c>
      <c r="AI273" s="87">
        <f t="shared" si="49"/>
        <v>1</v>
      </c>
      <c r="AJ273" s="77" t="s">
        <v>163</v>
      </c>
      <c r="AK273" s="77" t="s">
        <v>182</v>
      </c>
      <c r="AL273" s="77"/>
      <c r="AM273" s="77"/>
    </row>
    <row r="274" spans="2:39" s="65" customFormat="1" ht="15.9" customHeight="1">
      <c r="B274" s="75">
        <f>SUBTOTAL(3,C$4:$C274)</f>
        <v>271</v>
      </c>
      <c r="C274" s="76" t="s">
        <v>501</v>
      </c>
      <c r="D274" s="77"/>
      <c r="E274" s="77"/>
      <c r="F274" s="77" t="s">
        <v>56</v>
      </c>
      <c r="G274" s="77" t="s">
        <v>56</v>
      </c>
      <c r="H274" s="77" t="s">
        <v>56</v>
      </c>
      <c r="I274" s="79" t="str">
        <f t="shared" si="42"/>
        <v>-</v>
      </c>
      <c r="J274" s="77">
        <v>2</v>
      </c>
      <c r="K274" s="77" t="s">
        <v>56</v>
      </c>
      <c r="L274" s="77" t="s">
        <v>56</v>
      </c>
      <c r="M274" s="77">
        <f t="shared" si="43"/>
        <v>2</v>
      </c>
      <c r="N274" s="81">
        <f t="shared" si="44"/>
        <v>2</v>
      </c>
      <c r="O274" s="82" t="str">
        <f t="shared" si="45"/>
        <v>-</v>
      </c>
      <c r="P274" s="83">
        <v>1</v>
      </c>
      <c r="Q274" s="83">
        <v>0</v>
      </c>
      <c r="R274" s="83">
        <v>0</v>
      </c>
      <c r="S274" s="79">
        <f t="shared" si="46"/>
        <v>1</v>
      </c>
      <c r="T274" s="84">
        <v>1</v>
      </c>
      <c r="U274" s="84">
        <v>0</v>
      </c>
      <c r="V274" s="84">
        <v>0</v>
      </c>
      <c r="W274" s="85">
        <f t="shared" si="47"/>
        <v>1</v>
      </c>
      <c r="X274" s="86">
        <v>1</v>
      </c>
      <c r="Y274" s="86">
        <v>0</v>
      </c>
      <c r="Z274" s="86">
        <v>0</v>
      </c>
      <c r="AA274" s="88">
        <v>1</v>
      </c>
      <c r="AB274" s="89">
        <v>1</v>
      </c>
      <c r="AC274" s="89">
        <v>0</v>
      </c>
      <c r="AD274" s="89">
        <v>0</v>
      </c>
      <c r="AE274" s="90">
        <f t="shared" si="48"/>
        <v>1</v>
      </c>
      <c r="AF274" s="91">
        <v>1</v>
      </c>
      <c r="AG274" s="91">
        <v>0</v>
      </c>
      <c r="AH274" s="91">
        <v>0</v>
      </c>
      <c r="AI274" s="87">
        <f t="shared" si="49"/>
        <v>1</v>
      </c>
      <c r="AJ274" s="77" t="s">
        <v>163</v>
      </c>
      <c r="AK274" s="77" t="s">
        <v>182</v>
      </c>
      <c r="AL274" s="77"/>
      <c r="AM274" s="95"/>
    </row>
    <row r="275" spans="2:39" s="65" customFormat="1" ht="15.9" customHeight="1">
      <c r="B275" s="75">
        <f>SUBTOTAL(3,C$4:$C275)</f>
        <v>272</v>
      </c>
      <c r="C275" s="76" t="s">
        <v>188</v>
      </c>
      <c r="D275" s="77">
        <v>2024</v>
      </c>
      <c r="E275" s="77" t="s">
        <v>55</v>
      </c>
      <c r="F275" s="77">
        <v>1</v>
      </c>
      <c r="G275" s="77" t="s">
        <v>56</v>
      </c>
      <c r="H275" s="77" t="s">
        <v>56</v>
      </c>
      <c r="I275" s="79">
        <f t="shared" si="42"/>
        <v>1</v>
      </c>
      <c r="J275" s="77">
        <v>1</v>
      </c>
      <c r="K275" s="77" t="s">
        <v>56</v>
      </c>
      <c r="L275" s="77" t="s">
        <v>56</v>
      </c>
      <c r="M275" s="77">
        <f t="shared" si="43"/>
        <v>1</v>
      </c>
      <c r="N275" s="81">
        <f t="shared" si="44"/>
        <v>1</v>
      </c>
      <c r="O275" s="82" t="str">
        <f t="shared" si="45"/>
        <v>-</v>
      </c>
      <c r="P275" s="83">
        <v>1</v>
      </c>
      <c r="Q275" s="83">
        <v>0</v>
      </c>
      <c r="R275" s="83">
        <v>0</v>
      </c>
      <c r="S275" s="79">
        <f t="shared" si="46"/>
        <v>1</v>
      </c>
      <c r="T275" s="84">
        <v>1</v>
      </c>
      <c r="U275" s="84">
        <v>0</v>
      </c>
      <c r="V275" s="84">
        <v>0</v>
      </c>
      <c r="W275" s="85">
        <f t="shared" si="47"/>
        <v>1</v>
      </c>
      <c r="X275" s="86">
        <v>1</v>
      </c>
      <c r="Y275" s="86">
        <v>0</v>
      </c>
      <c r="Z275" s="86">
        <v>0</v>
      </c>
      <c r="AA275" s="88">
        <v>1</v>
      </c>
      <c r="AB275" s="89">
        <v>1</v>
      </c>
      <c r="AC275" s="89">
        <v>0</v>
      </c>
      <c r="AD275" s="89">
        <v>0</v>
      </c>
      <c r="AE275" s="90">
        <f t="shared" si="48"/>
        <v>1</v>
      </c>
      <c r="AF275" s="91">
        <v>1</v>
      </c>
      <c r="AG275" s="91">
        <v>0</v>
      </c>
      <c r="AH275" s="91">
        <v>0</v>
      </c>
      <c r="AI275" s="87">
        <f t="shared" si="49"/>
        <v>1</v>
      </c>
      <c r="AJ275" s="77" t="s">
        <v>163</v>
      </c>
      <c r="AK275" s="77" t="s">
        <v>189</v>
      </c>
      <c r="AL275" s="108" t="s">
        <v>599</v>
      </c>
      <c r="AM275" s="77"/>
    </row>
    <row r="276" spans="2:39" s="65" customFormat="1" ht="15.9" customHeight="1">
      <c r="B276" s="75">
        <f>SUBTOTAL(3,C$4:$C276)</f>
        <v>273</v>
      </c>
      <c r="C276" s="76" t="s">
        <v>176</v>
      </c>
      <c r="D276" s="77">
        <v>2010</v>
      </c>
      <c r="E276" s="77" t="s">
        <v>55</v>
      </c>
      <c r="F276" s="77">
        <v>1</v>
      </c>
      <c r="G276" s="77" t="s">
        <v>56</v>
      </c>
      <c r="H276" s="77" t="s">
        <v>56</v>
      </c>
      <c r="I276" s="79">
        <f t="shared" si="42"/>
        <v>1</v>
      </c>
      <c r="J276" s="77">
        <v>1</v>
      </c>
      <c r="K276" s="77" t="s">
        <v>56</v>
      </c>
      <c r="L276" s="77" t="s">
        <v>56</v>
      </c>
      <c r="M276" s="77">
        <f t="shared" si="43"/>
        <v>1</v>
      </c>
      <c r="N276" s="81">
        <f t="shared" si="44"/>
        <v>1</v>
      </c>
      <c r="O276" s="82" t="str">
        <f t="shared" si="45"/>
        <v>-</v>
      </c>
      <c r="P276" s="83">
        <v>1</v>
      </c>
      <c r="Q276" s="83">
        <v>0</v>
      </c>
      <c r="R276" s="83">
        <v>0</v>
      </c>
      <c r="S276" s="79">
        <f t="shared" si="46"/>
        <v>1</v>
      </c>
      <c r="T276" s="84">
        <v>1</v>
      </c>
      <c r="U276" s="84">
        <v>0</v>
      </c>
      <c r="V276" s="84">
        <v>0</v>
      </c>
      <c r="W276" s="85">
        <f t="shared" si="47"/>
        <v>1</v>
      </c>
      <c r="X276" s="86">
        <v>1</v>
      </c>
      <c r="Y276" s="86">
        <v>0</v>
      </c>
      <c r="Z276" s="86">
        <v>0</v>
      </c>
      <c r="AA276" s="88">
        <v>1</v>
      </c>
      <c r="AB276" s="89">
        <v>1</v>
      </c>
      <c r="AC276" s="89">
        <v>0</v>
      </c>
      <c r="AD276" s="89">
        <v>0</v>
      </c>
      <c r="AE276" s="90">
        <f t="shared" si="48"/>
        <v>1</v>
      </c>
      <c r="AF276" s="91">
        <v>1</v>
      </c>
      <c r="AG276" s="91">
        <v>0</v>
      </c>
      <c r="AH276" s="91">
        <v>0</v>
      </c>
      <c r="AI276" s="87">
        <f t="shared" si="49"/>
        <v>1</v>
      </c>
      <c r="AJ276" s="77" t="s">
        <v>163</v>
      </c>
      <c r="AK276" s="77" t="s">
        <v>190</v>
      </c>
      <c r="AL276" s="77"/>
      <c r="AM276" s="77"/>
    </row>
    <row r="277" spans="2:39" s="65" customFormat="1" ht="15.9" customHeight="1">
      <c r="B277" s="75">
        <f>SUBTOTAL(3,C$4:$C277)</f>
        <v>274</v>
      </c>
      <c r="C277" s="76" t="s">
        <v>183</v>
      </c>
      <c r="D277" s="77">
        <v>2010</v>
      </c>
      <c r="E277" s="77" t="s">
        <v>55</v>
      </c>
      <c r="F277" s="77">
        <v>1</v>
      </c>
      <c r="G277" s="77" t="s">
        <v>56</v>
      </c>
      <c r="H277" s="77" t="s">
        <v>56</v>
      </c>
      <c r="I277" s="79">
        <f t="shared" si="42"/>
        <v>1</v>
      </c>
      <c r="J277" s="77">
        <v>1</v>
      </c>
      <c r="K277" s="77" t="s">
        <v>56</v>
      </c>
      <c r="L277" s="77" t="s">
        <v>56</v>
      </c>
      <c r="M277" s="77">
        <f t="shared" si="43"/>
        <v>1</v>
      </c>
      <c r="N277" s="81">
        <f t="shared" si="44"/>
        <v>1</v>
      </c>
      <c r="O277" s="82" t="str">
        <f t="shared" si="45"/>
        <v>-</v>
      </c>
      <c r="P277" s="83">
        <v>1</v>
      </c>
      <c r="Q277" s="83">
        <v>0</v>
      </c>
      <c r="R277" s="83">
        <v>0</v>
      </c>
      <c r="S277" s="79">
        <f t="shared" si="46"/>
        <v>1</v>
      </c>
      <c r="T277" s="84">
        <v>1</v>
      </c>
      <c r="U277" s="84">
        <v>0</v>
      </c>
      <c r="V277" s="84">
        <v>0</v>
      </c>
      <c r="W277" s="85">
        <f t="shared" si="47"/>
        <v>1</v>
      </c>
      <c r="X277" s="86">
        <v>1</v>
      </c>
      <c r="Y277" s="86">
        <v>0</v>
      </c>
      <c r="Z277" s="86">
        <v>0</v>
      </c>
      <c r="AA277" s="88">
        <v>1</v>
      </c>
      <c r="AB277" s="89">
        <v>1</v>
      </c>
      <c r="AC277" s="89">
        <v>0</v>
      </c>
      <c r="AD277" s="89">
        <v>0</v>
      </c>
      <c r="AE277" s="90">
        <f t="shared" si="48"/>
        <v>1</v>
      </c>
      <c r="AF277" s="91">
        <v>1</v>
      </c>
      <c r="AG277" s="91">
        <v>0</v>
      </c>
      <c r="AH277" s="91">
        <v>0</v>
      </c>
      <c r="AI277" s="87">
        <f t="shared" si="49"/>
        <v>1</v>
      </c>
      <c r="AJ277" s="77" t="s">
        <v>163</v>
      </c>
      <c r="AK277" s="77" t="s">
        <v>190</v>
      </c>
      <c r="AL277" s="77"/>
      <c r="AM277" s="77"/>
    </row>
    <row r="278" spans="2:39" s="65" customFormat="1" ht="15.9" customHeight="1">
      <c r="B278" s="75">
        <f>SUBTOTAL(3,C$4:$C278)</f>
        <v>275</v>
      </c>
      <c r="C278" s="76" t="s">
        <v>61</v>
      </c>
      <c r="D278" s="77">
        <v>2016</v>
      </c>
      <c r="E278" s="77" t="s">
        <v>63</v>
      </c>
      <c r="F278" s="77">
        <v>1</v>
      </c>
      <c r="G278" s="77" t="s">
        <v>56</v>
      </c>
      <c r="H278" s="77" t="s">
        <v>56</v>
      </c>
      <c r="I278" s="79">
        <f t="shared" si="42"/>
        <v>1</v>
      </c>
      <c r="J278" s="77">
        <v>0</v>
      </c>
      <c r="K278" s="77" t="s">
        <v>56</v>
      </c>
      <c r="L278" s="77">
        <v>1</v>
      </c>
      <c r="M278" s="77">
        <f t="shared" si="43"/>
        <v>1</v>
      </c>
      <c r="N278" s="81">
        <f t="shared" si="44"/>
        <v>0</v>
      </c>
      <c r="O278" s="82">
        <f t="shared" si="45"/>
        <v>1</v>
      </c>
      <c r="P278" s="83">
        <v>0</v>
      </c>
      <c r="Q278" s="83">
        <v>1</v>
      </c>
      <c r="R278" s="83">
        <v>0</v>
      </c>
      <c r="S278" s="79">
        <f t="shared" si="46"/>
        <v>1</v>
      </c>
      <c r="T278" s="84">
        <v>0</v>
      </c>
      <c r="U278" s="84">
        <v>1</v>
      </c>
      <c r="V278" s="84">
        <v>0</v>
      </c>
      <c r="W278" s="85">
        <f t="shared" si="47"/>
        <v>1</v>
      </c>
      <c r="X278" s="86">
        <v>0</v>
      </c>
      <c r="Y278" s="86">
        <v>1</v>
      </c>
      <c r="Z278" s="86">
        <v>0</v>
      </c>
      <c r="AA278" s="88">
        <v>1</v>
      </c>
      <c r="AB278" s="89">
        <v>0</v>
      </c>
      <c r="AC278" s="89">
        <v>1</v>
      </c>
      <c r="AD278" s="89">
        <v>0</v>
      </c>
      <c r="AE278" s="90">
        <f t="shared" si="48"/>
        <v>1</v>
      </c>
      <c r="AF278" s="91">
        <v>0</v>
      </c>
      <c r="AG278" s="91">
        <v>0</v>
      </c>
      <c r="AH278" s="91">
        <v>0</v>
      </c>
      <c r="AI278" s="87">
        <f t="shared" si="49"/>
        <v>0</v>
      </c>
      <c r="AJ278" s="77" t="s">
        <v>163</v>
      </c>
      <c r="AK278" s="77" t="s">
        <v>190</v>
      </c>
      <c r="AL278" s="77" t="s">
        <v>191</v>
      </c>
      <c r="AM278" s="77"/>
    </row>
    <row r="279" spans="2:39" s="65" customFormat="1" ht="15.9" customHeight="1">
      <c r="B279" s="75">
        <f>SUBTOTAL(3,C$4:$C279)</f>
        <v>276</v>
      </c>
      <c r="C279" s="76" t="s">
        <v>184</v>
      </c>
      <c r="D279" s="77">
        <v>2010</v>
      </c>
      <c r="E279" s="77" t="s">
        <v>60</v>
      </c>
      <c r="F279" s="77">
        <v>3</v>
      </c>
      <c r="G279" s="77" t="s">
        <v>56</v>
      </c>
      <c r="H279" s="77" t="s">
        <v>56</v>
      </c>
      <c r="I279" s="79">
        <f t="shared" si="42"/>
        <v>3</v>
      </c>
      <c r="J279" s="77">
        <v>3</v>
      </c>
      <c r="K279" s="77" t="s">
        <v>56</v>
      </c>
      <c r="L279" s="77" t="s">
        <v>56</v>
      </c>
      <c r="M279" s="77">
        <f t="shared" si="43"/>
        <v>3</v>
      </c>
      <c r="N279" s="81">
        <f t="shared" si="44"/>
        <v>3</v>
      </c>
      <c r="O279" s="82" t="str">
        <f t="shared" si="45"/>
        <v>-</v>
      </c>
      <c r="P279" s="83">
        <v>3</v>
      </c>
      <c r="Q279" s="83">
        <v>0</v>
      </c>
      <c r="R279" s="83">
        <v>0</v>
      </c>
      <c r="S279" s="79">
        <f t="shared" si="46"/>
        <v>3</v>
      </c>
      <c r="T279" s="84">
        <v>3</v>
      </c>
      <c r="U279" s="84">
        <v>0</v>
      </c>
      <c r="V279" s="84">
        <v>0</v>
      </c>
      <c r="W279" s="85">
        <f t="shared" si="47"/>
        <v>3</v>
      </c>
      <c r="X279" s="86">
        <v>3</v>
      </c>
      <c r="Y279" s="86">
        <v>0</v>
      </c>
      <c r="Z279" s="86">
        <v>0</v>
      </c>
      <c r="AA279" s="88">
        <v>3</v>
      </c>
      <c r="AB279" s="89">
        <v>3</v>
      </c>
      <c r="AC279" s="89">
        <v>0</v>
      </c>
      <c r="AD279" s="89">
        <v>0</v>
      </c>
      <c r="AE279" s="90">
        <f t="shared" si="48"/>
        <v>3</v>
      </c>
      <c r="AF279" s="91">
        <v>3</v>
      </c>
      <c r="AG279" s="91">
        <v>0</v>
      </c>
      <c r="AH279" s="91">
        <v>0</v>
      </c>
      <c r="AI279" s="87">
        <f t="shared" si="49"/>
        <v>3</v>
      </c>
      <c r="AJ279" s="77" t="s">
        <v>163</v>
      </c>
      <c r="AK279" s="77" t="s">
        <v>190</v>
      </c>
      <c r="AL279" s="77"/>
      <c r="AM279" s="77"/>
    </row>
    <row r="280" spans="2:39" s="65" customFormat="1" ht="15.9" customHeight="1">
      <c r="B280" s="75">
        <f>SUBTOTAL(3,C$4:$C280)</f>
        <v>277</v>
      </c>
      <c r="C280" s="76" t="s">
        <v>185</v>
      </c>
      <c r="D280" s="77">
        <v>2010</v>
      </c>
      <c r="E280" s="77" t="s">
        <v>63</v>
      </c>
      <c r="F280" s="77">
        <v>1</v>
      </c>
      <c r="G280" s="77" t="s">
        <v>56</v>
      </c>
      <c r="H280" s="77" t="s">
        <v>56</v>
      </c>
      <c r="I280" s="79">
        <f t="shared" si="42"/>
        <v>1</v>
      </c>
      <c r="J280" s="77">
        <v>0</v>
      </c>
      <c r="K280" s="77" t="s">
        <v>56</v>
      </c>
      <c r="L280" s="77">
        <v>1</v>
      </c>
      <c r="M280" s="77">
        <f t="shared" si="43"/>
        <v>1</v>
      </c>
      <c r="N280" s="81">
        <f t="shared" si="44"/>
        <v>0</v>
      </c>
      <c r="O280" s="82">
        <f t="shared" si="45"/>
        <v>1</v>
      </c>
      <c r="P280" s="83">
        <v>0</v>
      </c>
      <c r="Q280" s="83">
        <v>1</v>
      </c>
      <c r="R280" s="83">
        <v>0</v>
      </c>
      <c r="S280" s="79">
        <f t="shared" si="46"/>
        <v>1</v>
      </c>
      <c r="T280" s="84">
        <v>0</v>
      </c>
      <c r="U280" s="84">
        <v>1</v>
      </c>
      <c r="V280" s="84">
        <v>0</v>
      </c>
      <c r="W280" s="85">
        <f t="shared" si="47"/>
        <v>1</v>
      </c>
      <c r="X280" s="86">
        <v>0</v>
      </c>
      <c r="Y280" s="86">
        <v>1</v>
      </c>
      <c r="Z280" s="86">
        <v>0</v>
      </c>
      <c r="AA280" s="88">
        <v>1</v>
      </c>
      <c r="AB280" s="89">
        <v>0</v>
      </c>
      <c r="AC280" s="89">
        <v>1</v>
      </c>
      <c r="AD280" s="89">
        <v>0</v>
      </c>
      <c r="AE280" s="90">
        <f t="shared" si="48"/>
        <v>1</v>
      </c>
      <c r="AF280" s="91">
        <v>0</v>
      </c>
      <c r="AG280" s="91">
        <v>0</v>
      </c>
      <c r="AH280" s="91">
        <v>0</v>
      </c>
      <c r="AI280" s="87">
        <f t="shared" si="49"/>
        <v>0</v>
      </c>
      <c r="AJ280" s="77" t="s">
        <v>163</v>
      </c>
      <c r="AK280" s="77" t="s">
        <v>190</v>
      </c>
      <c r="AL280" s="77" t="s">
        <v>191</v>
      </c>
      <c r="AM280" s="77"/>
    </row>
    <row r="281" spans="2:39" s="65" customFormat="1" ht="15.9" customHeight="1">
      <c r="B281" s="75">
        <f>SUBTOTAL(3,C$4:$C281)</f>
        <v>278</v>
      </c>
      <c r="C281" s="76" t="s">
        <v>179</v>
      </c>
      <c r="D281" s="77">
        <v>2010</v>
      </c>
      <c r="E281" s="77" t="s">
        <v>55</v>
      </c>
      <c r="F281" s="77">
        <v>1</v>
      </c>
      <c r="G281" s="77" t="s">
        <v>56</v>
      </c>
      <c r="H281" s="77" t="s">
        <v>56</v>
      </c>
      <c r="I281" s="79">
        <f t="shared" si="42"/>
        <v>1</v>
      </c>
      <c r="J281" s="77">
        <v>1</v>
      </c>
      <c r="K281" s="77" t="s">
        <v>56</v>
      </c>
      <c r="L281" s="77" t="s">
        <v>56</v>
      </c>
      <c r="M281" s="77">
        <f t="shared" si="43"/>
        <v>1</v>
      </c>
      <c r="N281" s="81">
        <f t="shared" si="44"/>
        <v>1</v>
      </c>
      <c r="O281" s="82" t="str">
        <f t="shared" si="45"/>
        <v>-</v>
      </c>
      <c r="P281" s="83">
        <v>1</v>
      </c>
      <c r="Q281" s="83">
        <v>0</v>
      </c>
      <c r="R281" s="83">
        <v>0</v>
      </c>
      <c r="S281" s="79">
        <f t="shared" si="46"/>
        <v>1</v>
      </c>
      <c r="T281" s="84">
        <v>1</v>
      </c>
      <c r="U281" s="84">
        <v>0</v>
      </c>
      <c r="V281" s="84">
        <v>0</v>
      </c>
      <c r="W281" s="85">
        <f t="shared" si="47"/>
        <v>1</v>
      </c>
      <c r="X281" s="86">
        <v>1</v>
      </c>
      <c r="Y281" s="86">
        <v>0</v>
      </c>
      <c r="Z281" s="86">
        <v>0</v>
      </c>
      <c r="AA281" s="88">
        <v>1</v>
      </c>
      <c r="AB281" s="89">
        <v>1</v>
      </c>
      <c r="AC281" s="89">
        <v>0</v>
      </c>
      <c r="AD281" s="89">
        <v>0</v>
      </c>
      <c r="AE281" s="90">
        <f t="shared" si="48"/>
        <v>1</v>
      </c>
      <c r="AF281" s="91">
        <v>1</v>
      </c>
      <c r="AG281" s="91">
        <v>0</v>
      </c>
      <c r="AH281" s="91">
        <v>0</v>
      </c>
      <c r="AI281" s="87">
        <f t="shared" si="49"/>
        <v>1</v>
      </c>
      <c r="AJ281" s="77" t="s">
        <v>163</v>
      </c>
      <c r="AK281" s="77" t="s">
        <v>190</v>
      </c>
      <c r="AL281" s="77"/>
      <c r="AM281" s="77"/>
    </row>
    <row r="282" spans="2:39" s="65" customFormat="1" ht="15.9" customHeight="1">
      <c r="B282" s="75">
        <f>SUBTOTAL(3,C$4:$C282)</f>
        <v>279</v>
      </c>
      <c r="C282" s="76" t="s">
        <v>180</v>
      </c>
      <c r="D282" s="77">
        <v>2010</v>
      </c>
      <c r="E282" s="77" t="s">
        <v>55</v>
      </c>
      <c r="F282" s="77">
        <v>1</v>
      </c>
      <c r="G282" s="77" t="s">
        <v>56</v>
      </c>
      <c r="H282" s="77" t="s">
        <v>56</v>
      </c>
      <c r="I282" s="79">
        <f t="shared" si="42"/>
        <v>1</v>
      </c>
      <c r="J282" s="77">
        <v>1</v>
      </c>
      <c r="K282" s="77" t="s">
        <v>56</v>
      </c>
      <c r="L282" s="77" t="s">
        <v>56</v>
      </c>
      <c r="M282" s="77">
        <f t="shared" si="43"/>
        <v>1</v>
      </c>
      <c r="N282" s="81">
        <f t="shared" si="44"/>
        <v>1</v>
      </c>
      <c r="O282" s="82" t="str">
        <f t="shared" si="45"/>
        <v>-</v>
      </c>
      <c r="P282" s="83">
        <v>1</v>
      </c>
      <c r="Q282" s="83">
        <v>0</v>
      </c>
      <c r="R282" s="83">
        <v>0</v>
      </c>
      <c r="S282" s="79">
        <f t="shared" si="46"/>
        <v>1</v>
      </c>
      <c r="T282" s="84">
        <v>1</v>
      </c>
      <c r="U282" s="84">
        <v>0</v>
      </c>
      <c r="V282" s="84">
        <v>0</v>
      </c>
      <c r="W282" s="85">
        <f t="shared" si="47"/>
        <v>1</v>
      </c>
      <c r="X282" s="86">
        <v>1</v>
      </c>
      <c r="Y282" s="86">
        <v>0</v>
      </c>
      <c r="Z282" s="86">
        <v>0</v>
      </c>
      <c r="AA282" s="88">
        <v>1</v>
      </c>
      <c r="AB282" s="89">
        <v>1</v>
      </c>
      <c r="AC282" s="89">
        <v>0</v>
      </c>
      <c r="AD282" s="89">
        <v>0</v>
      </c>
      <c r="AE282" s="90">
        <f t="shared" si="48"/>
        <v>1</v>
      </c>
      <c r="AF282" s="91">
        <v>1</v>
      </c>
      <c r="AG282" s="91">
        <v>0</v>
      </c>
      <c r="AH282" s="91">
        <v>0</v>
      </c>
      <c r="AI282" s="87">
        <f t="shared" si="49"/>
        <v>1</v>
      </c>
      <c r="AJ282" s="77" t="s">
        <v>163</v>
      </c>
      <c r="AK282" s="77" t="s">
        <v>190</v>
      </c>
      <c r="AL282" s="77"/>
      <c r="AM282" s="77"/>
    </row>
    <row r="283" spans="2:39" s="65" customFormat="1" ht="15.9" customHeight="1">
      <c r="B283" s="75">
        <f>SUBTOTAL(3,C$4:$C283)</f>
        <v>280</v>
      </c>
      <c r="C283" s="76" t="s">
        <v>74</v>
      </c>
      <c r="D283" s="77">
        <v>2018</v>
      </c>
      <c r="E283" s="77" t="s">
        <v>60</v>
      </c>
      <c r="F283" s="77">
        <v>1</v>
      </c>
      <c r="G283" s="77" t="s">
        <v>56</v>
      </c>
      <c r="H283" s="77" t="s">
        <v>56</v>
      </c>
      <c r="I283" s="79">
        <f t="shared" si="42"/>
        <v>1</v>
      </c>
      <c r="J283" s="77">
        <v>1</v>
      </c>
      <c r="K283" s="77" t="s">
        <v>56</v>
      </c>
      <c r="L283" s="77" t="s">
        <v>56</v>
      </c>
      <c r="M283" s="77">
        <f t="shared" si="43"/>
        <v>1</v>
      </c>
      <c r="N283" s="81">
        <f t="shared" si="44"/>
        <v>1</v>
      </c>
      <c r="O283" s="82" t="str">
        <f t="shared" si="45"/>
        <v>-</v>
      </c>
      <c r="P283" s="83">
        <v>1</v>
      </c>
      <c r="Q283" s="83">
        <v>0</v>
      </c>
      <c r="R283" s="83">
        <v>0</v>
      </c>
      <c r="S283" s="79">
        <f t="shared" si="46"/>
        <v>1</v>
      </c>
      <c r="T283" s="84">
        <v>1</v>
      </c>
      <c r="U283" s="84">
        <v>0</v>
      </c>
      <c r="V283" s="84">
        <v>0</v>
      </c>
      <c r="W283" s="85">
        <f t="shared" si="47"/>
        <v>1</v>
      </c>
      <c r="X283" s="86">
        <v>1</v>
      </c>
      <c r="Y283" s="86">
        <v>0</v>
      </c>
      <c r="Z283" s="86">
        <v>0</v>
      </c>
      <c r="AA283" s="88">
        <v>1</v>
      </c>
      <c r="AB283" s="89">
        <v>1</v>
      </c>
      <c r="AC283" s="89">
        <v>0</v>
      </c>
      <c r="AD283" s="89">
        <v>0</v>
      </c>
      <c r="AE283" s="90">
        <f t="shared" si="48"/>
        <v>1</v>
      </c>
      <c r="AF283" s="91">
        <v>1</v>
      </c>
      <c r="AG283" s="91">
        <v>0</v>
      </c>
      <c r="AH283" s="91">
        <v>0</v>
      </c>
      <c r="AI283" s="87">
        <f t="shared" si="49"/>
        <v>1</v>
      </c>
      <c r="AJ283" s="77" t="s">
        <v>163</v>
      </c>
      <c r="AK283" s="77" t="s">
        <v>190</v>
      </c>
      <c r="AL283" s="77"/>
      <c r="AM283" s="77"/>
    </row>
    <row r="284" spans="2:39" s="65" customFormat="1" ht="15.9" customHeight="1">
      <c r="B284" s="75">
        <f>SUBTOTAL(3,C$4:$C284)</f>
        <v>281</v>
      </c>
      <c r="C284" s="76" t="s">
        <v>181</v>
      </c>
      <c r="D284" s="77">
        <v>2010</v>
      </c>
      <c r="E284" s="77" t="s">
        <v>55</v>
      </c>
      <c r="F284" s="77">
        <v>1</v>
      </c>
      <c r="G284" s="77" t="s">
        <v>56</v>
      </c>
      <c r="H284" s="77" t="s">
        <v>56</v>
      </c>
      <c r="I284" s="79">
        <f t="shared" si="42"/>
        <v>1</v>
      </c>
      <c r="J284" s="77">
        <v>1</v>
      </c>
      <c r="K284" s="77" t="s">
        <v>56</v>
      </c>
      <c r="L284" s="77" t="s">
        <v>56</v>
      </c>
      <c r="M284" s="77">
        <f t="shared" si="43"/>
        <v>1</v>
      </c>
      <c r="N284" s="81">
        <f t="shared" si="44"/>
        <v>1</v>
      </c>
      <c r="O284" s="82" t="str">
        <f t="shared" si="45"/>
        <v>-</v>
      </c>
      <c r="P284" s="83">
        <v>1</v>
      </c>
      <c r="Q284" s="83">
        <v>0</v>
      </c>
      <c r="R284" s="83">
        <v>0</v>
      </c>
      <c r="S284" s="79">
        <f t="shared" si="46"/>
        <v>1</v>
      </c>
      <c r="T284" s="84">
        <v>1</v>
      </c>
      <c r="U284" s="84">
        <v>0</v>
      </c>
      <c r="V284" s="84">
        <v>0</v>
      </c>
      <c r="W284" s="85">
        <f t="shared" si="47"/>
        <v>1</v>
      </c>
      <c r="X284" s="86">
        <v>1</v>
      </c>
      <c r="Y284" s="86">
        <v>0</v>
      </c>
      <c r="Z284" s="86">
        <v>0</v>
      </c>
      <c r="AA284" s="88">
        <v>1</v>
      </c>
      <c r="AB284" s="89">
        <v>1</v>
      </c>
      <c r="AC284" s="89">
        <v>0</v>
      </c>
      <c r="AD284" s="89">
        <v>0</v>
      </c>
      <c r="AE284" s="90">
        <f t="shared" si="48"/>
        <v>1</v>
      </c>
      <c r="AF284" s="91">
        <v>1</v>
      </c>
      <c r="AG284" s="91">
        <v>0</v>
      </c>
      <c r="AH284" s="91">
        <v>0</v>
      </c>
      <c r="AI284" s="87">
        <f t="shared" si="49"/>
        <v>1</v>
      </c>
      <c r="AJ284" s="77" t="s">
        <v>163</v>
      </c>
      <c r="AK284" s="77" t="s">
        <v>190</v>
      </c>
      <c r="AL284" s="77"/>
      <c r="AM284" s="77"/>
    </row>
    <row r="285" spans="2:39" s="65" customFormat="1" ht="15.9" customHeight="1">
      <c r="B285" s="75">
        <f>SUBTOTAL(3,C$4:$C285)</f>
        <v>282</v>
      </c>
      <c r="C285" s="76" t="s">
        <v>73</v>
      </c>
      <c r="D285" s="77">
        <v>2010</v>
      </c>
      <c r="E285" s="77" t="s">
        <v>63</v>
      </c>
      <c r="F285" s="77">
        <v>1</v>
      </c>
      <c r="G285" s="77" t="s">
        <v>56</v>
      </c>
      <c r="H285" s="77" t="s">
        <v>56</v>
      </c>
      <c r="I285" s="79">
        <f t="shared" si="42"/>
        <v>1</v>
      </c>
      <c r="J285" s="77">
        <v>1</v>
      </c>
      <c r="K285" s="77" t="s">
        <v>56</v>
      </c>
      <c r="L285" s="77" t="s">
        <v>56</v>
      </c>
      <c r="M285" s="77">
        <f t="shared" si="43"/>
        <v>1</v>
      </c>
      <c r="N285" s="81">
        <f t="shared" si="44"/>
        <v>1</v>
      </c>
      <c r="O285" s="82" t="str">
        <f t="shared" si="45"/>
        <v>-</v>
      </c>
      <c r="P285" s="83">
        <v>1</v>
      </c>
      <c r="Q285" s="83">
        <v>0</v>
      </c>
      <c r="R285" s="83">
        <v>0</v>
      </c>
      <c r="S285" s="79">
        <f t="shared" si="46"/>
        <v>1</v>
      </c>
      <c r="T285" s="84">
        <v>1</v>
      </c>
      <c r="U285" s="84">
        <v>0</v>
      </c>
      <c r="V285" s="84">
        <v>0</v>
      </c>
      <c r="W285" s="85">
        <f t="shared" si="47"/>
        <v>1</v>
      </c>
      <c r="X285" s="86">
        <v>1</v>
      </c>
      <c r="Y285" s="86">
        <v>0</v>
      </c>
      <c r="Z285" s="86">
        <v>0</v>
      </c>
      <c r="AA285" s="88">
        <v>1</v>
      </c>
      <c r="AB285" s="89">
        <v>1</v>
      </c>
      <c r="AC285" s="89">
        <v>0</v>
      </c>
      <c r="AD285" s="89">
        <v>0</v>
      </c>
      <c r="AE285" s="90">
        <f t="shared" si="48"/>
        <v>1</v>
      </c>
      <c r="AF285" s="91">
        <v>1</v>
      </c>
      <c r="AG285" s="91">
        <v>0</v>
      </c>
      <c r="AH285" s="91">
        <v>0</v>
      </c>
      <c r="AI285" s="87">
        <f t="shared" si="49"/>
        <v>1</v>
      </c>
      <c r="AJ285" s="77" t="s">
        <v>163</v>
      </c>
      <c r="AK285" s="77" t="s">
        <v>190</v>
      </c>
      <c r="AL285" s="77"/>
      <c r="AM285" s="77"/>
    </row>
    <row r="286" spans="2:39" s="65" customFormat="1" ht="15.9" customHeight="1">
      <c r="B286" s="75">
        <f>SUBTOTAL(3,C$4:$C286)</f>
        <v>283</v>
      </c>
      <c r="C286" s="76" t="s">
        <v>72</v>
      </c>
      <c r="D286" s="77">
        <v>2010</v>
      </c>
      <c r="E286" s="77" t="s">
        <v>60</v>
      </c>
      <c r="F286" s="77">
        <v>1</v>
      </c>
      <c r="G286" s="77" t="s">
        <v>56</v>
      </c>
      <c r="H286" s="77" t="s">
        <v>56</v>
      </c>
      <c r="I286" s="79">
        <f t="shared" ref="I286:I295" si="50">SUM(F286:H286)</f>
        <v>1</v>
      </c>
      <c r="J286" s="77">
        <v>1</v>
      </c>
      <c r="K286" s="77" t="s">
        <v>56</v>
      </c>
      <c r="L286" s="77" t="s">
        <v>56</v>
      </c>
      <c r="M286" s="77">
        <f t="shared" si="43"/>
        <v>1</v>
      </c>
      <c r="N286" s="81">
        <f t="shared" si="44"/>
        <v>1</v>
      </c>
      <c r="O286" s="82" t="str">
        <f t="shared" si="45"/>
        <v>-</v>
      </c>
      <c r="P286" s="83">
        <v>1</v>
      </c>
      <c r="Q286" s="83">
        <v>0</v>
      </c>
      <c r="R286" s="83">
        <v>0</v>
      </c>
      <c r="S286" s="79">
        <f t="shared" si="46"/>
        <v>1</v>
      </c>
      <c r="T286" s="84">
        <v>1</v>
      </c>
      <c r="U286" s="84">
        <v>0</v>
      </c>
      <c r="V286" s="84">
        <v>0</v>
      </c>
      <c r="W286" s="85">
        <f t="shared" si="47"/>
        <v>1</v>
      </c>
      <c r="X286" s="86">
        <v>1</v>
      </c>
      <c r="Y286" s="86">
        <v>0</v>
      </c>
      <c r="Z286" s="86">
        <v>0</v>
      </c>
      <c r="AA286" s="88">
        <v>1</v>
      </c>
      <c r="AB286" s="89">
        <v>1</v>
      </c>
      <c r="AC286" s="89">
        <v>0</v>
      </c>
      <c r="AD286" s="89">
        <v>0</v>
      </c>
      <c r="AE286" s="90">
        <f t="shared" si="48"/>
        <v>1</v>
      </c>
      <c r="AF286" s="91">
        <v>1</v>
      </c>
      <c r="AG286" s="91">
        <v>0</v>
      </c>
      <c r="AH286" s="91">
        <v>0</v>
      </c>
      <c r="AI286" s="87">
        <f t="shared" si="49"/>
        <v>1</v>
      </c>
      <c r="AJ286" s="77" t="s">
        <v>163</v>
      </c>
      <c r="AK286" s="77" t="s">
        <v>190</v>
      </c>
      <c r="AL286" s="77"/>
      <c r="AM286" s="77"/>
    </row>
    <row r="287" spans="2:39" s="65" customFormat="1" ht="15.9" customHeight="1">
      <c r="B287" s="75">
        <f>SUBTOTAL(3,C$4:$C287)</f>
        <v>284</v>
      </c>
      <c r="C287" s="76" t="s">
        <v>172</v>
      </c>
      <c r="D287" s="77">
        <v>2010</v>
      </c>
      <c r="E287" s="77" t="s">
        <v>55</v>
      </c>
      <c r="F287" s="77">
        <v>1</v>
      </c>
      <c r="G287" s="77" t="s">
        <v>56</v>
      </c>
      <c r="H287" s="77" t="s">
        <v>56</v>
      </c>
      <c r="I287" s="79">
        <f t="shared" si="50"/>
        <v>1</v>
      </c>
      <c r="J287" s="77">
        <v>1</v>
      </c>
      <c r="K287" s="77" t="s">
        <v>56</v>
      </c>
      <c r="L287" s="77" t="s">
        <v>56</v>
      </c>
      <c r="M287" s="77">
        <f t="shared" si="43"/>
        <v>1</v>
      </c>
      <c r="N287" s="81">
        <f t="shared" si="44"/>
        <v>1</v>
      </c>
      <c r="O287" s="82" t="str">
        <f t="shared" si="45"/>
        <v>-</v>
      </c>
      <c r="P287" s="83">
        <v>1</v>
      </c>
      <c r="Q287" s="83">
        <v>0</v>
      </c>
      <c r="R287" s="83">
        <v>0</v>
      </c>
      <c r="S287" s="79">
        <f t="shared" si="46"/>
        <v>1</v>
      </c>
      <c r="T287" s="84">
        <v>1</v>
      </c>
      <c r="U287" s="84">
        <v>0</v>
      </c>
      <c r="V287" s="84">
        <v>0</v>
      </c>
      <c r="W287" s="85">
        <f t="shared" si="47"/>
        <v>1</v>
      </c>
      <c r="X287" s="86">
        <v>1</v>
      </c>
      <c r="Y287" s="86">
        <v>0</v>
      </c>
      <c r="Z287" s="86">
        <v>0</v>
      </c>
      <c r="AA287" s="88">
        <v>1</v>
      </c>
      <c r="AB287" s="89">
        <v>1</v>
      </c>
      <c r="AC287" s="89">
        <v>0</v>
      </c>
      <c r="AD287" s="89">
        <v>0</v>
      </c>
      <c r="AE287" s="90">
        <f t="shared" si="48"/>
        <v>1</v>
      </c>
      <c r="AF287" s="91">
        <v>1</v>
      </c>
      <c r="AG287" s="91">
        <v>0</v>
      </c>
      <c r="AH287" s="91">
        <v>0</v>
      </c>
      <c r="AI287" s="87">
        <f t="shared" si="49"/>
        <v>1</v>
      </c>
      <c r="AJ287" s="77" t="s">
        <v>163</v>
      </c>
      <c r="AK287" s="77" t="s">
        <v>190</v>
      </c>
      <c r="AL287" s="77"/>
      <c r="AM287" s="77"/>
    </row>
    <row r="288" spans="2:39" s="65" customFormat="1" ht="15.9" customHeight="1">
      <c r="B288" s="75">
        <f>SUBTOTAL(3,C$4:$C288)</f>
        <v>285</v>
      </c>
      <c r="C288" s="76" t="s">
        <v>70</v>
      </c>
      <c r="D288" s="77">
        <v>2010</v>
      </c>
      <c r="E288" s="77" t="s">
        <v>71</v>
      </c>
      <c r="F288" s="77">
        <v>1</v>
      </c>
      <c r="G288" s="77" t="s">
        <v>56</v>
      </c>
      <c r="H288" s="77" t="s">
        <v>56</v>
      </c>
      <c r="I288" s="79">
        <f t="shared" si="50"/>
        <v>1</v>
      </c>
      <c r="J288" s="77">
        <v>1</v>
      </c>
      <c r="K288" s="77" t="s">
        <v>56</v>
      </c>
      <c r="L288" s="77" t="s">
        <v>56</v>
      </c>
      <c r="M288" s="77">
        <f t="shared" si="43"/>
        <v>1</v>
      </c>
      <c r="N288" s="81">
        <f t="shared" si="44"/>
        <v>1</v>
      </c>
      <c r="O288" s="82" t="str">
        <f t="shared" si="45"/>
        <v>-</v>
      </c>
      <c r="P288" s="83">
        <v>1</v>
      </c>
      <c r="Q288" s="83">
        <v>0</v>
      </c>
      <c r="R288" s="83">
        <v>0</v>
      </c>
      <c r="S288" s="79">
        <f t="shared" si="46"/>
        <v>1</v>
      </c>
      <c r="T288" s="84">
        <v>1</v>
      </c>
      <c r="U288" s="84">
        <v>0</v>
      </c>
      <c r="V288" s="84">
        <v>0</v>
      </c>
      <c r="W288" s="85">
        <f t="shared" si="47"/>
        <v>1</v>
      </c>
      <c r="X288" s="86">
        <v>1</v>
      </c>
      <c r="Y288" s="86">
        <v>0</v>
      </c>
      <c r="Z288" s="86">
        <v>0</v>
      </c>
      <c r="AA288" s="88">
        <v>1</v>
      </c>
      <c r="AB288" s="89">
        <v>1</v>
      </c>
      <c r="AC288" s="89">
        <v>0</v>
      </c>
      <c r="AD288" s="89">
        <v>0</v>
      </c>
      <c r="AE288" s="90">
        <f t="shared" si="48"/>
        <v>1</v>
      </c>
      <c r="AF288" s="91">
        <v>1</v>
      </c>
      <c r="AG288" s="91">
        <v>0</v>
      </c>
      <c r="AH288" s="91">
        <v>0</v>
      </c>
      <c r="AI288" s="87">
        <f t="shared" si="49"/>
        <v>1</v>
      </c>
      <c r="AJ288" s="77" t="s">
        <v>163</v>
      </c>
      <c r="AK288" s="77" t="s">
        <v>190</v>
      </c>
      <c r="AL288" s="77"/>
      <c r="AM288" s="77"/>
    </row>
    <row r="289" spans="2:39" s="65" customFormat="1" ht="15.9" customHeight="1">
      <c r="B289" s="75">
        <f>SUBTOTAL(3,C$4:$C289)</f>
        <v>286</v>
      </c>
      <c r="C289" s="76" t="s">
        <v>173</v>
      </c>
      <c r="D289" s="77">
        <v>2010</v>
      </c>
      <c r="E289" s="77" t="s">
        <v>60</v>
      </c>
      <c r="F289" s="77">
        <v>1</v>
      </c>
      <c r="G289" s="77" t="s">
        <v>56</v>
      </c>
      <c r="H289" s="77" t="s">
        <v>56</v>
      </c>
      <c r="I289" s="79">
        <f t="shared" si="50"/>
        <v>1</v>
      </c>
      <c r="J289" s="77">
        <v>0</v>
      </c>
      <c r="K289" s="77" t="s">
        <v>56</v>
      </c>
      <c r="L289" s="77" t="s">
        <v>56</v>
      </c>
      <c r="M289" s="77">
        <f t="shared" si="43"/>
        <v>0</v>
      </c>
      <c r="N289" s="81">
        <f t="shared" si="44"/>
        <v>0</v>
      </c>
      <c r="O289" s="82" t="str">
        <f t="shared" si="45"/>
        <v>-</v>
      </c>
      <c r="P289" s="83">
        <v>0</v>
      </c>
      <c r="Q289" s="83">
        <v>0</v>
      </c>
      <c r="R289" s="83">
        <v>0</v>
      </c>
      <c r="S289" s="79">
        <f t="shared" si="46"/>
        <v>0</v>
      </c>
      <c r="T289" s="84">
        <v>0</v>
      </c>
      <c r="U289" s="84">
        <v>0</v>
      </c>
      <c r="V289" s="84">
        <v>0</v>
      </c>
      <c r="W289" s="85">
        <f t="shared" si="47"/>
        <v>0</v>
      </c>
      <c r="X289" s="86">
        <v>0</v>
      </c>
      <c r="Y289" s="86">
        <v>0</v>
      </c>
      <c r="Z289" s="86">
        <v>0</v>
      </c>
      <c r="AA289" s="88">
        <v>0</v>
      </c>
      <c r="AB289" s="89">
        <v>0</v>
      </c>
      <c r="AC289" s="89">
        <v>0</v>
      </c>
      <c r="AD289" s="89">
        <v>0</v>
      </c>
      <c r="AE289" s="90">
        <f t="shared" si="48"/>
        <v>0</v>
      </c>
      <c r="AF289" s="91">
        <v>0</v>
      </c>
      <c r="AG289" s="91">
        <v>0</v>
      </c>
      <c r="AH289" s="91">
        <v>0</v>
      </c>
      <c r="AI289" s="87">
        <f t="shared" si="49"/>
        <v>0</v>
      </c>
      <c r="AJ289" s="77" t="s">
        <v>163</v>
      </c>
      <c r="AK289" s="77" t="s">
        <v>190</v>
      </c>
      <c r="AL289" s="77" t="s">
        <v>192</v>
      </c>
      <c r="AM289" s="77"/>
    </row>
    <row r="290" spans="2:39" s="65" customFormat="1" ht="15.9" customHeight="1">
      <c r="B290" s="75">
        <f>SUBTOTAL(3,C$4:$C290)</f>
        <v>287</v>
      </c>
      <c r="C290" s="76" t="s">
        <v>75</v>
      </c>
      <c r="D290" s="77">
        <v>2010</v>
      </c>
      <c r="E290" s="77" t="s">
        <v>60</v>
      </c>
      <c r="F290" s="77">
        <v>1</v>
      </c>
      <c r="G290" s="77" t="s">
        <v>56</v>
      </c>
      <c r="H290" s="77" t="s">
        <v>56</v>
      </c>
      <c r="I290" s="79">
        <f t="shared" si="50"/>
        <v>1</v>
      </c>
      <c r="J290" s="77">
        <v>1</v>
      </c>
      <c r="K290" s="77" t="s">
        <v>56</v>
      </c>
      <c r="L290" s="77" t="s">
        <v>56</v>
      </c>
      <c r="M290" s="77">
        <f t="shared" si="43"/>
        <v>1</v>
      </c>
      <c r="N290" s="81">
        <f t="shared" si="44"/>
        <v>1</v>
      </c>
      <c r="O290" s="82" t="str">
        <f t="shared" si="45"/>
        <v>-</v>
      </c>
      <c r="P290" s="83">
        <v>1</v>
      </c>
      <c r="Q290" s="83">
        <v>0</v>
      </c>
      <c r="R290" s="83">
        <v>0</v>
      </c>
      <c r="S290" s="79">
        <f t="shared" si="46"/>
        <v>1</v>
      </c>
      <c r="T290" s="84">
        <v>1</v>
      </c>
      <c r="U290" s="84">
        <v>0</v>
      </c>
      <c r="V290" s="84">
        <v>0</v>
      </c>
      <c r="W290" s="85">
        <f t="shared" si="47"/>
        <v>1</v>
      </c>
      <c r="X290" s="86">
        <v>1</v>
      </c>
      <c r="Y290" s="86">
        <v>0</v>
      </c>
      <c r="Z290" s="86">
        <v>0</v>
      </c>
      <c r="AA290" s="88">
        <v>1</v>
      </c>
      <c r="AB290" s="89">
        <v>1</v>
      </c>
      <c r="AC290" s="89">
        <v>0</v>
      </c>
      <c r="AD290" s="89">
        <v>0</v>
      </c>
      <c r="AE290" s="90">
        <f t="shared" si="48"/>
        <v>1</v>
      </c>
      <c r="AF290" s="91">
        <v>1</v>
      </c>
      <c r="AG290" s="91">
        <v>0</v>
      </c>
      <c r="AH290" s="91">
        <v>0</v>
      </c>
      <c r="AI290" s="87">
        <f t="shared" si="49"/>
        <v>1</v>
      </c>
      <c r="AJ290" s="77" t="s">
        <v>163</v>
      </c>
      <c r="AK290" s="77" t="s">
        <v>190</v>
      </c>
      <c r="AL290" s="77"/>
      <c r="AM290" s="77"/>
    </row>
    <row r="291" spans="2:39" s="65" customFormat="1" ht="15.9" customHeight="1">
      <c r="B291" s="75">
        <f>SUBTOTAL(3,C$4:$C291)</f>
        <v>288</v>
      </c>
      <c r="C291" s="76" t="s">
        <v>76</v>
      </c>
      <c r="D291" s="77">
        <v>2010</v>
      </c>
      <c r="E291" s="77" t="s">
        <v>60</v>
      </c>
      <c r="F291" s="77">
        <v>1</v>
      </c>
      <c r="G291" s="77" t="s">
        <v>56</v>
      </c>
      <c r="H291" s="77" t="s">
        <v>56</v>
      </c>
      <c r="I291" s="79">
        <f t="shared" si="50"/>
        <v>1</v>
      </c>
      <c r="J291" s="77">
        <v>1</v>
      </c>
      <c r="K291" s="77" t="s">
        <v>56</v>
      </c>
      <c r="L291" s="77" t="s">
        <v>56</v>
      </c>
      <c r="M291" s="77">
        <f t="shared" si="43"/>
        <v>1</v>
      </c>
      <c r="N291" s="81">
        <f t="shared" si="44"/>
        <v>1</v>
      </c>
      <c r="O291" s="82" t="str">
        <f t="shared" si="45"/>
        <v>-</v>
      </c>
      <c r="P291" s="83">
        <v>1</v>
      </c>
      <c r="Q291" s="83">
        <v>0</v>
      </c>
      <c r="R291" s="83">
        <v>0</v>
      </c>
      <c r="S291" s="79">
        <f t="shared" si="46"/>
        <v>1</v>
      </c>
      <c r="T291" s="84">
        <v>1</v>
      </c>
      <c r="U291" s="84">
        <v>0</v>
      </c>
      <c r="V291" s="84">
        <v>0</v>
      </c>
      <c r="W291" s="85">
        <f t="shared" si="47"/>
        <v>1</v>
      </c>
      <c r="X291" s="86">
        <v>1</v>
      </c>
      <c r="Y291" s="86">
        <v>0</v>
      </c>
      <c r="Z291" s="86">
        <v>0</v>
      </c>
      <c r="AA291" s="88">
        <v>1</v>
      </c>
      <c r="AB291" s="89">
        <v>1</v>
      </c>
      <c r="AC291" s="89">
        <v>0</v>
      </c>
      <c r="AD291" s="89">
        <v>0</v>
      </c>
      <c r="AE291" s="90">
        <f t="shared" si="48"/>
        <v>1</v>
      </c>
      <c r="AF291" s="91">
        <v>1</v>
      </c>
      <c r="AG291" s="91">
        <v>0</v>
      </c>
      <c r="AH291" s="91">
        <v>0</v>
      </c>
      <c r="AI291" s="87">
        <f t="shared" si="49"/>
        <v>1</v>
      </c>
      <c r="AJ291" s="77" t="s">
        <v>163</v>
      </c>
      <c r="AK291" s="77" t="s">
        <v>190</v>
      </c>
      <c r="AL291" s="77"/>
      <c r="AM291" s="77"/>
    </row>
    <row r="292" spans="2:39" s="65" customFormat="1" ht="15.9" customHeight="1">
      <c r="B292" s="75">
        <f>SUBTOTAL(3,C$4:$C292)</f>
        <v>289</v>
      </c>
      <c r="C292" s="76" t="s">
        <v>193</v>
      </c>
      <c r="D292" s="77">
        <v>2010</v>
      </c>
      <c r="E292" s="77" t="s">
        <v>60</v>
      </c>
      <c r="F292" s="77">
        <v>1</v>
      </c>
      <c r="G292" s="77" t="s">
        <v>56</v>
      </c>
      <c r="H292" s="77" t="s">
        <v>56</v>
      </c>
      <c r="I292" s="79">
        <f t="shared" si="50"/>
        <v>1</v>
      </c>
      <c r="J292" s="77">
        <v>1</v>
      </c>
      <c r="K292" s="77" t="s">
        <v>56</v>
      </c>
      <c r="L292" s="77" t="s">
        <v>56</v>
      </c>
      <c r="M292" s="77">
        <f t="shared" si="43"/>
        <v>1</v>
      </c>
      <c r="N292" s="81">
        <f t="shared" si="44"/>
        <v>1</v>
      </c>
      <c r="O292" s="82" t="str">
        <f t="shared" si="45"/>
        <v>-</v>
      </c>
      <c r="P292" s="83">
        <v>1</v>
      </c>
      <c r="Q292" s="83">
        <v>0</v>
      </c>
      <c r="R292" s="83">
        <v>0</v>
      </c>
      <c r="S292" s="79">
        <f t="shared" si="46"/>
        <v>1</v>
      </c>
      <c r="T292" s="84">
        <v>1</v>
      </c>
      <c r="U292" s="84">
        <v>0</v>
      </c>
      <c r="V292" s="84">
        <v>0</v>
      </c>
      <c r="W292" s="85">
        <f t="shared" si="47"/>
        <v>1</v>
      </c>
      <c r="X292" s="86">
        <v>1</v>
      </c>
      <c r="Y292" s="86">
        <v>0</v>
      </c>
      <c r="Z292" s="86">
        <v>0</v>
      </c>
      <c r="AA292" s="88">
        <v>1</v>
      </c>
      <c r="AB292" s="89">
        <v>1</v>
      </c>
      <c r="AC292" s="89">
        <v>0</v>
      </c>
      <c r="AD292" s="89">
        <v>0</v>
      </c>
      <c r="AE292" s="90">
        <f t="shared" si="48"/>
        <v>1</v>
      </c>
      <c r="AF292" s="91">
        <v>1</v>
      </c>
      <c r="AG292" s="91">
        <v>0</v>
      </c>
      <c r="AH292" s="91">
        <v>0</v>
      </c>
      <c r="AI292" s="87">
        <f t="shared" si="49"/>
        <v>1</v>
      </c>
      <c r="AJ292" s="77" t="s">
        <v>163</v>
      </c>
      <c r="AK292" s="77" t="s">
        <v>190</v>
      </c>
      <c r="AL292" s="77"/>
      <c r="AM292" s="77"/>
    </row>
    <row r="293" spans="2:39" s="65" customFormat="1" ht="15.9" customHeight="1">
      <c r="B293" s="75">
        <f>SUBTOTAL(3,C$4:$C293)</f>
        <v>290</v>
      </c>
      <c r="C293" s="76" t="s">
        <v>194</v>
      </c>
      <c r="D293" s="77">
        <v>2010</v>
      </c>
      <c r="E293" s="77" t="s">
        <v>60</v>
      </c>
      <c r="F293" s="77">
        <v>1</v>
      </c>
      <c r="G293" s="77" t="s">
        <v>56</v>
      </c>
      <c r="H293" s="77" t="s">
        <v>56</v>
      </c>
      <c r="I293" s="79">
        <f t="shared" si="50"/>
        <v>1</v>
      </c>
      <c r="J293" s="77">
        <v>1</v>
      </c>
      <c r="K293" s="77" t="s">
        <v>56</v>
      </c>
      <c r="L293" s="77" t="s">
        <v>56</v>
      </c>
      <c r="M293" s="77">
        <f t="shared" si="43"/>
        <v>1</v>
      </c>
      <c r="N293" s="81">
        <f t="shared" si="44"/>
        <v>1</v>
      </c>
      <c r="O293" s="82" t="str">
        <f t="shared" si="45"/>
        <v>-</v>
      </c>
      <c r="P293" s="83">
        <v>1</v>
      </c>
      <c r="Q293" s="83">
        <v>0</v>
      </c>
      <c r="R293" s="83">
        <v>0</v>
      </c>
      <c r="S293" s="79">
        <f t="shared" si="46"/>
        <v>1</v>
      </c>
      <c r="T293" s="84">
        <v>1</v>
      </c>
      <c r="U293" s="84">
        <v>0</v>
      </c>
      <c r="V293" s="84">
        <v>0</v>
      </c>
      <c r="W293" s="85">
        <f t="shared" si="47"/>
        <v>1</v>
      </c>
      <c r="X293" s="86">
        <v>1</v>
      </c>
      <c r="Y293" s="86">
        <v>0</v>
      </c>
      <c r="Z293" s="86">
        <v>0</v>
      </c>
      <c r="AA293" s="88">
        <v>1</v>
      </c>
      <c r="AB293" s="89">
        <v>1</v>
      </c>
      <c r="AC293" s="89">
        <v>0</v>
      </c>
      <c r="AD293" s="89">
        <v>0</v>
      </c>
      <c r="AE293" s="90">
        <f t="shared" si="48"/>
        <v>1</v>
      </c>
      <c r="AF293" s="91">
        <v>1</v>
      </c>
      <c r="AG293" s="91">
        <v>0</v>
      </c>
      <c r="AH293" s="91">
        <v>0</v>
      </c>
      <c r="AI293" s="87">
        <f t="shared" si="49"/>
        <v>1</v>
      </c>
      <c r="AJ293" s="77" t="s">
        <v>163</v>
      </c>
      <c r="AK293" s="77" t="s">
        <v>190</v>
      </c>
      <c r="AL293" s="77"/>
      <c r="AM293" s="77"/>
    </row>
    <row r="294" spans="2:39" s="65" customFormat="1" ht="15.9" customHeight="1">
      <c r="B294" s="75">
        <f>SUBTOTAL(3,C$4:$C294)</f>
        <v>291</v>
      </c>
      <c r="C294" s="76" t="s">
        <v>187</v>
      </c>
      <c r="D294" s="77"/>
      <c r="E294" s="77" t="s">
        <v>55</v>
      </c>
      <c r="F294" s="77">
        <v>1</v>
      </c>
      <c r="G294" s="77" t="s">
        <v>56</v>
      </c>
      <c r="H294" s="77" t="s">
        <v>56</v>
      </c>
      <c r="I294" s="79">
        <f t="shared" si="50"/>
        <v>1</v>
      </c>
      <c r="J294" s="77">
        <v>1</v>
      </c>
      <c r="K294" s="77" t="s">
        <v>56</v>
      </c>
      <c r="L294" s="77" t="s">
        <v>56</v>
      </c>
      <c r="M294" s="77">
        <f t="shared" si="43"/>
        <v>1</v>
      </c>
      <c r="N294" s="81">
        <f t="shared" si="44"/>
        <v>1</v>
      </c>
      <c r="O294" s="82" t="str">
        <f t="shared" si="45"/>
        <v>-</v>
      </c>
      <c r="P294" s="83">
        <v>1</v>
      </c>
      <c r="Q294" s="83">
        <v>0</v>
      </c>
      <c r="R294" s="83">
        <v>0</v>
      </c>
      <c r="S294" s="79">
        <f t="shared" si="46"/>
        <v>1</v>
      </c>
      <c r="T294" s="84">
        <v>1</v>
      </c>
      <c r="U294" s="84">
        <v>0</v>
      </c>
      <c r="V294" s="84">
        <v>0</v>
      </c>
      <c r="W294" s="85">
        <f t="shared" si="47"/>
        <v>1</v>
      </c>
      <c r="X294" s="86">
        <v>1</v>
      </c>
      <c r="Y294" s="86">
        <v>0</v>
      </c>
      <c r="Z294" s="86">
        <v>0</v>
      </c>
      <c r="AA294" s="88">
        <v>1</v>
      </c>
      <c r="AB294" s="89">
        <v>1</v>
      </c>
      <c r="AC294" s="89">
        <v>0</v>
      </c>
      <c r="AD294" s="89">
        <v>0</v>
      </c>
      <c r="AE294" s="90">
        <f t="shared" si="48"/>
        <v>1</v>
      </c>
      <c r="AF294" s="91">
        <v>1</v>
      </c>
      <c r="AG294" s="91">
        <v>0</v>
      </c>
      <c r="AH294" s="91">
        <v>0</v>
      </c>
      <c r="AI294" s="87">
        <f t="shared" si="49"/>
        <v>1</v>
      </c>
      <c r="AJ294" s="77" t="s">
        <v>163</v>
      </c>
      <c r="AK294" s="77" t="s">
        <v>190</v>
      </c>
      <c r="AL294" s="77"/>
      <c r="AM294" s="77"/>
    </row>
    <row r="295" spans="2:39" s="65" customFormat="1" ht="15.9" customHeight="1">
      <c r="B295" s="75">
        <f>SUBTOTAL(3,C$4:$C295)</f>
        <v>292</v>
      </c>
      <c r="C295" s="76" t="s">
        <v>195</v>
      </c>
      <c r="D295" s="77"/>
      <c r="E295" s="77" t="s">
        <v>60</v>
      </c>
      <c r="F295" s="77">
        <v>1</v>
      </c>
      <c r="G295" s="77" t="s">
        <v>56</v>
      </c>
      <c r="H295" s="77" t="s">
        <v>56</v>
      </c>
      <c r="I295" s="79">
        <f t="shared" si="50"/>
        <v>1</v>
      </c>
      <c r="J295" s="77">
        <v>0</v>
      </c>
      <c r="K295" s="77" t="s">
        <v>56</v>
      </c>
      <c r="L295" s="77" t="s">
        <v>56</v>
      </c>
      <c r="M295" s="77">
        <f t="shared" si="43"/>
        <v>0</v>
      </c>
      <c r="N295" s="81">
        <f t="shared" si="44"/>
        <v>0</v>
      </c>
      <c r="O295" s="82" t="str">
        <f t="shared" si="45"/>
        <v>-</v>
      </c>
      <c r="P295" s="83">
        <v>0</v>
      </c>
      <c r="Q295" s="83">
        <v>0</v>
      </c>
      <c r="R295" s="83">
        <v>0</v>
      </c>
      <c r="S295" s="79">
        <f t="shared" si="46"/>
        <v>0</v>
      </c>
      <c r="T295" s="84">
        <v>0</v>
      </c>
      <c r="U295" s="84">
        <v>0</v>
      </c>
      <c r="V295" s="84">
        <v>0</v>
      </c>
      <c r="W295" s="85">
        <f t="shared" si="47"/>
        <v>0</v>
      </c>
      <c r="X295" s="86">
        <v>0</v>
      </c>
      <c r="Y295" s="86">
        <v>0</v>
      </c>
      <c r="Z295" s="86">
        <v>0</v>
      </c>
      <c r="AA295" s="88">
        <v>0</v>
      </c>
      <c r="AB295" s="89">
        <v>0</v>
      </c>
      <c r="AC295" s="89">
        <v>0</v>
      </c>
      <c r="AD295" s="89">
        <v>0</v>
      </c>
      <c r="AE295" s="90">
        <f t="shared" si="48"/>
        <v>0</v>
      </c>
      <c r="AF295" s="91">
        <v>0</v>
      </c>
      <c r="AG295" s="91">
        <v>0</v>
      </c>
      <c r="AH295" s="91">
        <v>0</v>
      </c>
      <c r="AI295" s="87">
        <f t="shared" si="49"/>
        <v>0</v>
      </c>
      <c r="AJ295" s="77" t="s">
        <v>163</v>
      </c>
      <c r="AK295" s="77" t="s">
        <v>190</v>
      </c>
      <c r="AL295" s="77"/>
      <c r="AM295" s="77"/>
    </row>
    <row r="296" spans="2:39" s="65" customFormat="1" ht="15.9" customHeight="1">
      <c r="B296" s="75">
        <f>SUBTOTAL(3,C$4:$C296)</f>
        <v>293</v>
      </c>
      <c r="C296" s="76" t="s">
        <v>501</v>
      </c>
      <c r="D296" s="77"/>
      <c r="E296" s="77"/>
      <c r="F296" s="77" t="s">
        <v>56</v>
      </c>
      <c r="G296" s="77" t="s">
        <v>56</v>
      </c>
      <c r="H296" s="77" t="s">
        <v>56</v>
      </c>
      <c r="I296" s="79" t="str">
        <f>F296</f>
        <v>-</v>
      </c>
      <c r="J296" s="77">
        <v>2</v>
      </c>
      <c r="K296" s="77" t="s">
        <v>56</v>
      </c>
      <c r="L296" s="77" t="s">
        <v>56</v>
      </c>
      <c r="M296" s="77">
        <f t="shared" si="43"/>
        <v>2</v>
      </c>
      <c r="N296" s="81">
        <f t="shared" si="44"/>
        <v>2</v>
      </c>
      <c r="O296" s="82" t="str">
        <f t="shared" si="45"/>
        <v>-</v>
      </c>
      <c r="P296" s="83">
        <v>1</v>
      </c>
      <c r="Q296" s="83">
        <v>0</v>
      </c>
      <c r="R296" s="83">
        <v>0</v>
      </c>
      <c r="S296" s="79">
        <f t="shared" si="46"/>
        <v>1</v>
      </c>
      <c r="T296" s="84">
        <v>1</v>
      </c>
      <c r="U296" s="84">
        <v>0</v>
      </c>
      <c r="V296" s="84">
        <v>0</v>
      </c>
      <c r="W296" s="85">
        <f t="shared" si="47"/>
        <v>1</v>
      </c>
      <c r="X296" s="86">
        <v>1</v>
      </c>
      <c r="Y296" s="86">
        <v>0</v>
      </c>
      <c r="Z296" s="86">
        <v>0</v>
      </c>
      <c r="AA296" s="88">
        <v>1</v>
      </c>
      <c r="AB296" s="89">
        <v>1</v>
      </c>
      <c r="AC296" s="89">
        <v>0</v>
      </c>
      <c r="AD296" s="89">
        <v>0</v>
      </c>
      <c r="AE296" s="90">
        <f t="shared" si="48"/>
        <v>1</v>
      </c>
      <c r="AF296" s="91">
        <v>1</v>
      </c>
      <c r="AG296" s="91">
        <v>0</v>
      </c>
      <c r="AH296" s="91">
        <v>0</v>
      </c>
      <c r="AI296" s="87">
        <f t="shared" si="49"/>
        <v>1</v>
      </c>
      <c r="AJ296" s="77" t="s">
        <v>163</v>
      </c>
      <c r="AK296" s="77" t="s">
        <v>190</v>
      </c>
      <c r="AL296" s="77"/>
      <c r="AM296" s="95"/>
    </row>
    <row r="297" spans="2:39" s="65" customFormat="1" ht="15.9" customHeight="1">
      <c r="B297" s="75">
        <f>SUBTOTAL(3,C$4:$C297)</f>
        <v>294</v>
      </c>
      <c r="C297" s="76" t="s">
        <v>196</v>
      </c>
      <c r="D297" s="77"/>
      <c r="E297" s="77" t="s">
        <v>55</v>
      </c>
      <c r="F297" s="77">
        <v>6</v>
      </c>
      <c r="G297" s="77" t="s">
        <v>56</v>
      </c>
      <c r="H297" s="77" t="s">
        <v>56</v>
      </c>
      <c r="I297" s="79">
        <f t="shared" ref="I297:I317" si="51">SUM(F297:H297)</f>
        <v>6</v>
      </c>
      <c r="J297" s="77">
        <v>6</v>
      </c>
      <c r="K297" s="77" t="s">
        <v>56</v>
      </c>
      <c r="L297" s="77" t="s">
        <v>56</v>
      </c>
      <c r="M297" s="77">
        <f t="shared" si="43"/>
        <v>6</v>
      </c>
      <c r="N297" s="97">
        <f t="shared" si="44"/>
        <v>6</v>
      </c>
      <c r="O297" s="82" t="str">
        <f t="shared" si="45"/>
        <v>-</v>
      </c>
      <c r="P297" s="83">
        <v>5</v>
      </c>
      <c r="Q297" s="83">
        <v>1</v>
      </c>
      <c r="R297" s="83">
        <v>0</v>
      </c>
      <c r="S297" s="79">
        <f t="shared" si="46"/>
        <v>6</v>
      </c>
      <c r="T297" s="84">
        <v>5</v>
      </c>
      <c r="U297" s="84">
        <v>1</v>
      </c>
      <c r="V297" s="84">
        <v>0</v>
      </c>
      <c r="W297" s="85">
        <f t="shared" si="47"/>
        <v>6</v>
      </c>
      <c r="X297" s="86">
        <v>5</v>
      </c>
      <c r="Y297" s="86">
        <v>1</v>
      </c>
      <c r="Z297" s="86">
        <v>0</v>
      </c>
      <c r="AA297" s="88">
        <v>6</v>
      </c>
      <c r="AB297" s="89">
        <v>5</v>
      </c>
      <c r="AC297" s="89">
        <v>1</v>
      </c>
      <c r="AD297" s="89">
        <v>0</v>
      </c>
      <c r="AE297" s="90">
        <f t="shared" si="48"/>
        <v>6</v>
      </c>
      <c r="AF297" s="87">
        <v>5</v>
      </c>
      <c r="AG297" s="91">
        <v>0</v>
      </c>
      <c r="AH297" s="87">
        <v>0</v>
      </c>
      <c r="AI297" s="87">
        <f t="shared" si="49"/>
        <v>5</v>
      </c>
      <c r="AJ297" s="77" t="s">
        <v>197</v>
      </c>
      <c r="AK297" s="77" t="s">
        <v>197</v>
      </c>
      <c r="AL297" s="77" t="s">
        <v>116</v>
      </c>
      <c r="AM297" s="77"/>
    </row>
    <row r="298" spans="2:39" s="65" customFormat="1" ht="15.9" customHeight="1">
      <c r="B298" s="75">
        <f>SUBTOTAL(3,C$4:$C298)</f>
        <v>295</v>
      </c>
      <c r="C298" s="76" t="s">
        <v>198</v>
      </c>
      <c r="D298" s="77"/>
      <c r="E298" s="77" t="s">
        <v>60</v>
      </c>
      <c r="F298" s="77">
        <v>10</v>
      </c>
      <c r="G298" s="77" t="s">
        <v>56</v>
      </c>
      <c r="H298" s="77" t="s">
        <v>56</v>
      </c>
      <c r="I298" s="79">
        <f t="shared" si="51"/>
        <v>10</v>
      </c>
      <c r="J298" s="77">
        <v>9</v>
      </c>
      <c r="K298" s="77" t="s">
        <v>56</v>
      </c>
      <c r="L298" s="77">
        <v>1</v>
      </c>
      <c r="M298" s="77">
        <f t="shared" si="43"/>
        <v>10</v>
      </c>
      <c r="N298" s="97">
        <f t="shared" si="44"/>
        <v>9</v>
      </c>
      <c r="O298" s="82">
        <f t="shared" si="45"/>
        <v>1</v>
      </c>
      <c r="P298" s="83">
        <v>9</v>
      </c>
      <c r="Q298" s="83">
        <v>0</v>
      </c>
      <c r="R298" s="83">
        <v>0</v>
      </c>
      <c r="S298" s="79">
        <f t="shared" si="46"/>
        <v>9</v>
      </c>
      <c r="T298" s="84">
        <v>9</v>
      </c>
      <c r="U298" s="84">
        <v>0</v>
      </c>
      <c r="V298" s="84">
        <v>0</v>
      </c>
      <c r="W298" s="85">
        <f t="shared" si="47"/>
        <v>9</v>
      </c>
      <c r="X298" s="86">
        <v>9</v>
      </c>
      <c r="Y298" s="86">
        <v>0</v>
      </c>
      <c r="Z298" s="86">
        <v>0</v>
      </c>
      <c r="AA298" s="88">
        <v>9</v>
      </c>
      <c r="AB298" s="89">
        <v>9</v>
      </c>
      <c r="AC298" s="89">
        <v>0</v>
      </c>
      <c r="AD298" s="89">
        <v>0</v>
      </c>
      <c r="AE298" s="90">
        <f t="shared" si="48"/>
        <v>9</v>
      </c>
      <c r="AF298" s="87">
        <v>9</v>
      </c>
      <c r="AG298" s="87">
        <v>0</v>
      </c>
      <c r="AH298" s="87">
        <v>0</v>
      </c>
      <c r="AI298" s="87">
        <f t="shared" si="49"/>
        <v>9</v>
      </c>
      <c r="AJ298" s="77" t="s">
        <v>197</v>
      </c>
      <c r="AK298" s="77" t="s">
        <v>197</v>
      </c>
      <c r="AL298" s="77" t="s">
        <v>116</v>
      </c>
      <c r="AM298" s="77"/>
    </row>
    <row r="299" spans="2:39" s="65" customFormat="1" ht="15.9" customHeight="1">
      <c r="B299" s="75">
        <f>SUBTOTAL(3,C$4:$C299)</f>
        <v>296</v>
      </c>
      <c r="C299" s="76" t="s">
        <v>199</v>
      </c>
      <c r="D299" s="77">
        <v>2025</v>
      </c>
      <c r="E299" s="77" t="s">
        <v>60</v>
      </c>
      <c r="F299" s="77" t="s">
        <v>56</v>
      </c>
      <c r="G299" s="77" t="s">
        <v>56</v>
      </c>
      <c r="H299" s="77" t="s">
        <v>56</v>
      </c>
      <c r="I299" s="79">
        <f t="shared" si="51"/>
        <v>0</v>
      </c>
      <c r="J299" s="77">
        <v>30</v>
      </c>
      <c r="K299" s="77" t="s">
        <v>56</v>
      </c>
      <c r="L299" s="77" t="s">
        <v>56</v>
      </c>
      <c r="M299" s="77">
        <f t="shared" si="43"/>
        <v>30</v>
      </c>
      <c r="N299" s="97">
        <f t="shared" si="44"/>
        <v>30</v>
      </c>
      <c r="O299" s="82" t="str">
        <f t="shared" si="45"/>
        <v>-</v>
      </c>
      <c r="P299" s="83">
        <v>30</v>
      </c>
      <c r="Q299" s="83">
        <v>0</v>
      </c>
      <c r="R299" s="83">
        <v>0</v>
      </c>
      <c r="S299" s="79">
        <f t="shared" si="46"/>
        <v>30</v>
      </c>
      <c r="T299" s="84">
        <v>30</v>
      </c>
      <c r="U299" s="84">
        <v>0</v>
      </c>
      <c r="V299" s="84">
        <v>0</v>
      </c>
      <c r="W299" s="85">
        <f t="shared" si="47"/>
        <v>30</v>
      </c>
      <c r="X299" s="86">
        <v>30</v>
      </c>
      <c r="Y299" s="86">
        <v>0</v>
      </c>
      <c r="Z299" s="86">
        <v>0</v>
      </c>
      <c r="AA299" s="88">
        <v>30</v>
      </c>
      <c r="AB299" s="89">
        <v>30</v>
      </c>
      <c r="AC299" s="89">
        <v>0</v>
      </c>
      <c r="AD299" s="89">
        <v>0</v>
      </c>
      <c r="AE299" s="90">
        <f t="shared" si="48"/>
        <v>30</v>
      </c>
      <c r="AF299" s="87">
        <v>30</v>
      </c>
      <c r="AG299" s="87">
        <v>0</v>
      </c>
      <c r="AH299" s="87">
        <v>0</v>
      </c>
      <c r="AI299" s="87">
        <f t="shared" si="49"/>
        <v>30</v>
      </c>
      <c r="AJ299" s="77" t="s">
        <v>197</v>
      </c>
      <c r="AK299" s="77" t="s">
        <v>197</v>
      </c>
      <c r="AL299" s="77"/>
      <c r="AM299" s="95">
        <v>45786</v>
      </c>
    </row>
    <row r="300" spans="2:39" s="65" customFormat="1" ht="15.9" customHeight="1">
      <c r="B300" s="75">
        <f>SUBTOTAL(3,C$4:$C300)</f>
        <v>297</v>
      </c>
      <c r="C300" s="76" t="s">
        <v>200</v>
      </c>
      <c r="D300" s="77"/>
      <c r="E300" s="77" t="s">
        <v>60</v>
      </c>
      <c r="F300" s="77">
        <v>2</v>
      </c>
      <c r="G300" s="77" t="s">
        <v>56</v>
      </c>
      <c r="H300" s="77" t="s">
        <v>56</v>
      </c>
      <c r="I300" s="79">
        <f t="shared" si="51"/>
        <v>2</v>
      </c>
      <c r="J300" s="77">
        <v>1</v>
      </c>
      <c r="K300" s="77">
        <v>1</v>
      </c>
      <c r="L300" s="77" t="s">
        <v>56</v>
      </c>
      <c r="M300" s="77">
        <f t="shared" si="43"/>
        <v>2</v>
      </c>
      <c r="N300" s="97">
        <f t="shared" si="44"/>
        <v>1</v>
      </c>
      <c r="O300" s="82" t="str">
        <f t="shared" si="45"/>
        <v>-</v>
      </c>
      <c r="P300" s="83">
        <v>0</v>
      </c>
      <c r="Q300" s="83">
        <v>2</v>
      </c>
      <c r="R300" s="83">
        <v>0</v>
      </c>
      <c r="S300" s="79">
        <f t="shared" si="46"/>
        <v>2</v>
      </c>
      <c r="T300" s="84">
        <v>0</v>
      </c>
      <c r="U300" s="84">
        <v>2</v>
      </c>
      <c r="V300" s="84">
        <v>0</v>
      </c>
      <c r="W300" s="85">
        <f t="shared" si="47"/>
        <v>2</v>
      </c>
      <c r="X300" s="86">
        <v>0</v>
      </c>
      <c r="Y300" s="86">
        <v>2</v>
      </c>
      <c r="Z300" s="86">
        <v>0</v>
      </c>
      <c r="AA300" s="88">
        <v>2</v>
      </c>
      <c r="AB300" s="89">
        <v>0</v>
      </c>
      <c r="AC300" s="89">
        <v>2</v>
      </c>
      <c r="AD300" s="89">
        <v>0</v>
      </c>
      <c r="AE300" s="90">
        <f t="shared" si="48"/>
        <v>2</v>
      </c>
      <c r="AF300" s="87">
        <v>0</v>
      </c>
      <c r="AG300" s="87">
        <v>0</v>
      </c>
      <c r="AH300" s="87">
        <v>0</v>
      </c>
      <c r="AI300" s="87">
        <f t="shared" si="49"/>
        <v>0</v>
      </c>
      <c r="AJ300" s="77" t="s">
        <v>197</v>
      </c>
      <c r="AK300" s="77" t="s">
        <v>197</v>
      </c>
      <c r="AL300" s="77" t="s">
        <v>201</v>
      </c>
      <c r="AM300" s="77"/>
    </row>
    <row r="301" spans="2:39" s="65" customFormat="1" ht="15.9" customHeight="1">
      <c r="B301" s="75">
        <f>SUBTOTAL(3,C$4:$C301)</f>
        <v>298</v>
      </c>
      <c r="C301" s="76" t="s">
        <v>202</v>
      </c>
      <c r="D301" s="77"/>
      <c r="E301" s="77" t="s">
        <v>71</v>
      </c>
      <c r="F301" s="77">
        <v>2</v>
      </c>
      <c r="G301" s="77" t="s">
        <v>56</v>
      </c>
      <c r="H301" s="77" t="s">
        <v>56</v>
      </c>
      <c r="I301" s="79">
        <f t="shared" si="51"/>
        <v>2</v>
      </c>
      <c r="J301" s="100">
        <v>2</v>
      </c>
      <c r="K301" s="77" t="s">
        <v>56</v>
      </c>
      <c r="L301" s="77" t="s">
        <v>56</v>
      </c>
      <c r="M301" s="100">
        <f t="shared" si="43"/>
        <v>2</v>
      </c>
      <c r="N301" s="97">
        <f t="shared" si="44"/>
        <v>2</v>
      </c>
      <c r="O301" s="82" t="str">
        <f t="shared" si="45"/>
        <v>-</v>
      </c>
      <c r="P301" s="83">
        <v>2</v>
      </c>
      <c r="Q301" s="83">
        <v>0</v>
      </c>
      <c r="R301" s="83">
        <v>0</v>
      </c>
      <c r="S301" s="79">
        <f t="shared" si="46"/>
        <v>2</v>
      </c>
      <c r="T301" s="84">
        <v>2</v>
      </c>
      <c r="U301" s="84">
        <v>0</v>
      </c>
      <c r="V301" s="84">
        <v>0</v>
      </c>
      <c r="W301" s="85">
        <f t="shared" si="47"/>
        <v>2</v>
      </c>
      <c r="X301" s="86">
        <v>2</v>
      </c>
      <c r="Y301" s="86">
        <v>0</v>
      </c>
      <c r="Z301" s="86">
        <v>0</v>
      </c>
      <c r="AA301" s="88">
        <v>2</v>
      </c>
      <c r="AB301" s="89">
        <v>2</v>
      </c>
      <c r="AC301" s="89">
        <v>0</v>
      </c>
      <c r="AD301" s="89">
        <v>0</v>
      </c>
      <c r="AE301" s="90">
        <f t="shared" si="48"/>
        <v>2</v>
      </c>
      <c r="AF301" s="87">
        <v>2</v>
      </c>
      <c r="AG301" s="87">
        <v>0</v>
      </c>
      <c r="AH301" s="87">
        <v>0</v>
      </c>
      <c r="AI301" s="87">
        <f t="shared" si="49"/>
        <v>2</v>
      </c>
      <c r="AJ301" s="77" t="s">
        <v>197</v>
      </c>
      <c r="AK301" s="77" t="s">
        <v>197</v>
      </c>
      <c r="AL301" s="77"/>
      <c r="AM301" s="77"/>
    </row>
    <row r="302" spans="2:39" s="65" customFormat="1" ht="15.9" customHeight="1">
      <c r="B302" s="75">
        <f>SUBTOTAL(3,C$4:$C302)</f>
        <v>299</v>
      </c>
      <c r="C302" s="76" t="s">
        <v>110</v>
      </c>
      <c r="D302" s="77">
        <v>2016</v>
      </c>
      <c r="E302" s="77" t="s">
        <v>60</v>
      </c>
      <c r="F302" s="77">
        <v>20</v>
      </c>
      <c r="G302" s="77" t="s">
        <v>56</v>
      </c>
      <c r="H302" s="77" t="s">
        <v>56</v>
      </c>
      <c r="I302" s="79">
        <f t="shared" si="51"/>
        <v>20</v>
      </c>
      <c r="J302" s="100">
        <v>20</v>
      </c>
      <c r="K302" s="77" t="s">
        <v>56</v>
      </c>
      <c r="L302" s="77" t="s">
        <v>56</v>
      </c>
      <c r="M302" s="100">
        <f t="shared" si="43"/>
        <v>20</v>
      </c>
      <c r="N302" s="97">
        <f t="shared" si="44"/>
        <v>20</v>
      </c>
      <c r="O302" s="82" t="str">
        <f t="shared" si="45"/>
        <v>-</v>
      </c>
      <c r="P302" s="83">
        <v>20</v>
      </c>
      <c r="Q302" s="83">
        <v>0</v>
      </c>
      <c r="R302" s="83">
        <v>0</v>
      </c>
      <c r="S302" s="79">
        <f t="shared" si="46"/>
        <v>20</v>
      </c>
      <c r="T302" s="84">
        <v>20</v>
      </c>
      <c r="U302" s="84">
        <v>0</v>
      </c>
      <c r="V302" s="84">
        <v>0</v>
      </c>
      <c r="W302" s="85">
        <f t="shared" si="47"/>
        <v>20</v>
      </c>
      <c r="X302" s="86">
        <v>20</v>
      </c>
      <c r="Y302" s="86">
        <v>0</v>
      </c>
      <c r="Z302" s="86">
        <v>0</v>
      </c>
      <c r="AA302" s="88">
        <v>20</v>
      </c>
      <c r="AB302" s="89">
        <v>20</v>
      </c>
      <c r="AC302" s="89">
        <v>0</v>
      </c>
      <c r="AD302" s="89">
        <v>0</v>
      </c>
      <c r="AE302" s="90">
        <f t="shared" si="48"/>
        <v>20</v>
      </c>
      <c r="AF302" s="87">
        <v>20</v>
      </c>
      <c r="AG302" s="87">
        <v>0</v>
      </c>
      <c r="AH302" s="87">
        <v>0</v>
      </c>
      <c r="AI302" s="87">
        <f t="shared" si="49"/>
        <v>20</v>
      </c>
      <c r="AJ302" s="77" t="s">
        <v>197</v>
      </c>
      <c r="AK302" s="77" t="s">
        <v>197</v>
      </c>
      <c r="AL302" s="77"/>
      <c r="AM302" s="77"/>
    </row>
    <row r="303" spans="2:39" s="65" customFormat="1" ht="15.9" customHeight="1">
      <c r="B303" s="75">
        <f>SUBTOTAL(3,C$4:$C303)</f>
        <v>300</v>
      </c>
      <c r="C303" s="76" t="s">
        <v>203</v>
      </c>
      <c r="D303" s="77">
        <v>2018</v>
      </c>
      <c r="E303" s="77" t="s">
        <v>60</v>
      </c>
      <c r="F303" s="77">
        <v>23</v>
      </c>
      <c r="G303" s="77" t="s">
        <v>56</v>
      </c>
      <c r="H303" s="77" t="s">
        <v>56</v>
      </c>
      <c r="I303" s="79">
        <f t="shared" si="51"/>
        <v>23</v>
      </c>
      <c r="J303" s="77">
        <v>23</v>
      </c>
      <c r="K303" s="77" t="s">
        <v>56</v>
      </c>
      <c r="L303" s="77" t="s">
        <v>56</v>
      </c>
      <c r="M303" s="77">
        <f t="shared" si="43"/>
        <v>23</v>
      </c>
      <c r="N303" s="97">
        <f t="shared" si="44"/>
        <v>23</v>
      </c>
      <c r="O303" s="82" t="str">
        <f t="shared" si="45"/>
        <v>-</v>
      </c>
      <c r="P303" s="83">
        <v>23</v>
      </c>
      <c r="Q303" s="83">
        <v>0</v>
      </c>
      <c r="R303" s="83">
        <v>0</v>
      </c>
      <c r="S303" s="79">
        <f t="shared" si="46"/>
        <v>23</v>
      </c>
      <c r="T303" s="84">
        <v>23</v>
      </c>
      <c r="U303" s="84">
        <v>0</v>
      </c>
      <c r="V303" s="84">
        <v>0</v>
      </c>
      <c r="W303" s="85">
        <f t="shared" si="47"/>
        <v>23</v>
      </c>
      <c r="X303" s="86">
        <v>23</v>
      </c>
      <c r="Y303" s="86">
        <v>0</v>
      </c>
      <c r="Z303" s="86">
        <v>0</v>
      </c>
      <c r="AA303" s="88">
        <v>23</v>
      </c>
      <c r="AB303" s="89">
        <v>23</v>
      </c>
      <c r="AC303" s="89">
        <v>0</v>
      </c>
      <c r="AD303" s="89">
        <v>0</v>
      </c>
      <c r="AE303" s="90">
        <f t="shared" si="48"/>
        <v>23</v>
      </c>
      <c r="AF303" s="87">
        <v>23</v>
      </c>
      <c r="AG303" s="87">
        <v>0</v>
      </c>
      <c r="AH303" s="87">
        <v>0</v>
      </c>
      <c r="AI303" s="87">
        <f t="shared" si="49"/>
        <v>23</v>
      </c>
      <c r="AJ303" s="77" t="s">
        <v>197</v>
      </c>
      <c r="AK303" s="77" t="s">
        <v>197</v>
      </c>
      <c r="AL303" s="77"/>
      <c r="AM303" s="77"/>
    </row>
    <row r="304" spans="2:39" s="65" customFormat="1" ht="15.9" customHeight="1">
      <c r="B304" s="75">
        <f>SUBTOTAL(3,C$4:$C304)</f>
        <v>301</v>
      </c>
      <c r="C304" s="76" t="s">
        <v>204</v>
      </c>
      <c r="D304" s="77">
        <v>2010</v>
      </c>
      <c r="E304" s="77" t="s">
        <v>60</v>
      </c>
      <c r="F304" s="77">
        <v>12</v>
      </c>
      <c r="G304" s="77" t="s">
        <v>56</v>
      </c>
      <c r="H304" s="77" t="s">
        <v>56</v>
      </c>
      <c r="I304" s="79">
        <f t="shared" si="51"/>
        <v>12</v>
      </c>
      <c r="J304" s="100">
        <v>12</v>
      </c>
      <c r="K304" s="77" t="s">
        <v>56</v>
      </c>
      <c r="L304" s="77" t="s">
        <v>56</v>
      </c>
      <c r="M304" s="100">
        <f t="shared" si="43"/>
        <v>12</v>
      </c>
      <c r="N304" s="97">
        <f t="shared" si="44"/>
        <v>12</v>
      </c>
      <c r="O304" s="82" t="str">
        <f t="shared" si="45"/>
        <v>-</v>
      </c>
      <c r="P304" s="83">
        <v>4</v>
      </c>
      <c r="Q304" s="83">
        <v>8</v>
      </c>
      <c r="R304" s="83">
        <v>0</v>
      </c>
      <c r="S304" s="79">
        <f t="shared" si="46"/>
        <v>12</v>
      </c>
      <c r="T304" s="84">
        <v>4</v>
      </c>
      <c r="U304" s="84">
        <v>8</v>
      </c>
      <c r="V304" s="84">
        <v>0</v>
      </c>
      <c r="W304" s="85">
        <f t="shared" si="47"/>
        <v>12</v>
      </c>
      <c r="X304" s="86">
        <v>4</v>
      </c>
      <c r="Y304" s="86">
        <v>8</v>
      </c>
      <c r="Z304" s="86">
        <v>0</v>
      </c>
      <c r="AA304" s="88">
        <v>12</v>
      </c>
      <c r="AB304" s="89">
        <v>4</v>
      </c>
      <c r="AC304" s="89">
        <v>8</v>
      </c>
      <c r="AD304" s="89">
        <v>0</v>
      </c>
      <c r="AE304" s="90">
        <f t="shared" si="48"/>
        <v>12</v>
      </c>
      <c r="AF304" s="87">
        <v>6</v>
      </c>
      <c r="AG304" s="87">
        <v>6</v>
      </c>
      <c r="AH304" s="87">
        <v>0</v>
      </c>
      <c r="AI304" s="87">
        <f t="shared" si="49"/>
        <v>12</v>
      </c>
      <c r="AJ304" s="77" t="s">
        <v>197</v>
      </c>
      <c r="AK304" s="77" t="s">
        <v>197</v>
      </c>
      <c r="AL304" s="77" t="s">
        <v>116</v>
      </c>
      <c r="AM304" s="77"/>
    </row>
    <row r="305" spans="2:39" s="65" customFormat="1" ht="15.9" customHeight="1">
      <c r="B305" s="75">
        <f>SUBTOTAL(3,C$4:$C305)</f>
        <v>302</v>
      </c>
      <c r="C305" s="76" t="s">
        <v>205</v>
      </c>
      <c r="D305" s="77"/>
      <c r="E305" s="77" t="s">
        <v>55</v>
      </c>
      <c r="F305" s="77">
        <v>1</v>
      </c>
      <c r="G305" s="77" t="s">
        <v>56</v>
      </c>
      <c r="H305" s="77" t="s">
        <v>56</v>
      </c>
      <c r="I305" s="79">
        <f t="shared" si="51"/>
        <v>1</v>
      </c>
      <c r="J305" s="100">
        <v>1</v>
      </c>
      <c r="K305" s="77" t="s">
        <v>56</v>
      </c>
      <c r="L305" s="77" t="s">
        <v>56</v>
      </c>
      <c r="M305" s="100">
        <f t="shared" si="43"/>
        <v>1</v>
      </c>
      <c r="N305" s="97">
        <f t="shared" si="44"/>
        <v>1</v>
      </c>
      <c r="O305" s="82" t="str">
        <f t="shared" si="45"/>
        <v>-</v>
      </c>
      <c r="P305" s="83">
        <v>1</v>
      </c>
      <c r="Q305" s="83">
        <v>0</v>
      </c>
      <c r="R305" s="83">
        <v>0</v>
      </c>
      <c r="S305" s="79">
        <f t="shared" si="46"/>
        <v>1</v>
      </c>
      <c r="T305" s="84">
        <v>1</v>
      </c>
      <c r="U305" s="84">
        <v>0</v>
      </c>
      <c r="V305" s="84">
        <v>0</v>
      </c>
      <c r="W305" s="85">
        <f t="shared" si="47"/>
        <v>1</v>
      </c>
      <c r="X305" s="86">
        <v>1</v>
      </c>
      <c r="Y305" s="86">
        <v>0</v>
      </c>
      <c r="Z305" s="86">
        <v>0</v>
      </c>
      <c r="AA305" s="88">
        <v>1</v>
      </c>
      <c r="AB305" s="89">
        <v>1</v>
      </c>
      <c r="AC305" s="89">
        <v>0</v>
      </c>
      <c r="AD305" s="89">
        <v>0</v>
      </c>
      <c r="AE305" s="90">
        <f t="shared" si="48"/>
        <v>1</v>
      </c>
      <c r="AF305" s="87">
        <v>1</v>
      </c>
      <c r="AG305" s="87">
        <v>0</v>
      </c>
      <c r="AH305" s="87">
        <v>0</v>
      </c>
      <c r="AI305" s="87">
        <f t="shared" si="49"/>
        <v>1</v>
      </c>
      <c r="AJ305" s="77" t="s">
        <v>197</v>
      </c>
      <c r="AK305" s="77" t="s">
        <v>197</v>
      </c>
      <c r="AL305" s="77"/>
      <c r="AM305" s="77"/>
    </row>
    <row r="306" spans="2:39" s="65" customFormat="1" ht="15.9" customHeight="1">
      <c r="B306" s="75">
        <f>SUBTOTAL(3,C$4:$C306)</f>
        <v>303</v>
      </c>
      <c r="C306" s="76" t="s">
        <v>206</v>
      </c>
      <c r="D306" s="77">
        <v>2024</v>
      </c>
      <c r="E306" s="77" t="s">
        <v>55</v>
      </c>
      <c r="F306" s="77">
        <v>1</v>
      </c>
      <c r="G306" s="77" t="s">
        <v>56</v>
      </c>
      <c r="H306" s="77" t="s">
        <v>56</v>
      </c>
      <c r="I306" s="79">
        <f t="shared" si="51"/>
        <v>1</v>
      </c>
      <c r="J306" s="100">
        <v>1</v>
      </c>
      <c r="K306" s="77" t="s">
        <v>56</v>
      </c>
      <c r="L306" s="77" t="s">
        <v>56</v>
      </c>
      <c r="M306" s="100">
        <f t="shared" si="43"/>
        <v>1</v>
      </c>
      <c r="N306" s="97">
        <f t="shared" si="44"/>
        <v>1</v>
      </c>
      <c r="O306" s="82" t="str">
        <f t="shared" si="45"/>
        <v>-</v>
      </c>
      <c r="P306" s="83">
        <v>1</v>
      </c>
      <c r="Q306" s="83">
        <v>0</v>
      </c>
      <c r="R306" s="83">
        <v>0</v>
      </c>
      <c r="S306" s="79">
        <f t="shared" si="46"/>
        <v>1</v>
      </c>
      <c r="T306" s="84">
        <v>1</v>
      </c>
      <c r="U306" s="84">
        <v>0</v>
      </c>
      <c r="V306" s="84">
        <v>0</v>
      </c>
      <c r="W306" s="85">
        <f t="shared" si="47"/>
        <v>1</v>
      </c>
      <c r="X306" s="86">
        <v>1</v>
      </c>
      <c r="Y306" s="86">
        <v>0</v>
      </c>
      <c r="Z306" s="86">
        <v>0</v>
      </c>
      <c r="AA306" s="88">
        <v>1</v>
      </c>
      <c r="AB306" s="89">
        <v>1</v>
      </c>
      <c r="AC306" s="89">
        <v>0</v>
      </c>
      <c r="AD306" s="89">
        <v>0</v>
      </c>
      <c r="AE306" s="90">
        <f t="shared" si="48"/>
        <v>1</v>
      </c>
      <c r="AF306" s="87">
        <v>1</v>
      </c>
      <c r="AG306" s="87">
        <v>0</v>
      </c>
      <c r="AH306" s="87">
        <v>0</v>
      </c>
      <c r="AI306" s="87">
        <f t="shared" si="49"/>
        <v>1</v>
      </c>
      <c r="AJ306" s="77" t="s">
        <v>197</v>
      </c>
      <c r="AK306" s="77" t="s">
        <v>197</v>
      </c>
      <c r="AL306" s="77"/>
      <c r="AM306" s="77"/>
    </row>
    <row r="307" spans="2:39" s="65" customFormat="1" ht="15.9" customHeight="1">
      <c r="B307" s="75">
        <f>SUBTOTAL(3,C$4:$C307)</f>
        <v>304</v>
      </c>
      <c r="C307" s="76" t="s">
        <v>207</v>
      </c>
      <c r="D307" s="77">
        <v>2018</v>
      </c>
      <c r="E307" s="77" t="s">
        <v>60</v>
      </c>
      <c r="F307" s="77">
        <v>12</v>
      </c>
      <c r="G307" s="77" t="s">
        <v>56</v>
      </c>
      <c r="H307" s="77">
        <v>1</v>
      </c>
      <c r="I307" s="79">
        <f t="shared" si="51"/>
        <v>13</v>
      </c>
      <c r="J307" s="100">
        <v>9</v>
      </c>
      <c r="K307" s="77" t="s">
        <v>56</v>
      </c>
      <c r="L307" s="77" t="s">
        <v>56</v>
      </c>
      <c r="M307" s="100">
        <f t="shared" si="43"/>
        <v>9</v>
      </c>
      <c r="N307" s="97">
        <f t="shared" si="44"/>
        <v>9</v>
      </c>
      <c r="O307" s="82" t="str">
        <f t="shared" si="45"/>
        <v>-</v>
      </c>
      <c r="P307" s="83">
        <v>9</v>
      </c>
      <c r="Q307" s="83">
        <v>0</v>
      </c>
      <c r="R307" s="83">
        <v>0</v>
      </c>
      <c r="S307" s="79">
        <f t="shared" si="46"/>
        <v>9</v>
      </c>
      <c r="T307" s="84">
        <v>9</v>
      </c>
      <c r="U307" s="84">
        <v>0</v>
      </c>
      <c r="V307" s="84">
        <v>0</v>
      </c>
      <c r="W307" s="85">
        <f t="shared" si="47"/>
        <v>9</v>
      </c>
      <c r="X307" s="86">
        <v>8</v>
      </c>
      <c r="Y307" s="86">
        <v>1</v>
      </c>
      <c r="Z307" s="86">
        <v>0</v>
      </c>
      <c r="AA307" s="88">
        <v>9</v>
      </c>
      <c r="AB307" s="89">
        <v>8</v>
      </c>
      <c r="AC307" s="89">
        <v>1</v>
      </c>
      <c r="AD307" s="89">
        <v>0</v>
      </c>
      <c r="AE307" s="90">
        <f t="shared" si="48"/>
        <v>9</v>
      </c>
      <c r="AF307" s="87">
        <v>8</v>
      </c>
      <c r="AG307" s="87">
        <v>0</v>
      </c>
      <c r="AH307" s="87">
        <v>0</v>
      </c>
      <c r="AI307" s="87">
        <f t="shared" si="49"/>
        <v>8</v>
      </c>
      <c r="AJ307" s="77" t="s">
        <v>197</v>
      </c>
      <c r="AK307" s="77" t="s">
        <v>197</v>
      </c>
      <c r="AL307" s="77"/>
      <c r="AM307" s="77"/>
    </row>
    <row r="308" spans="2:39" s="65" customFormat="1" ht="15.9" customHeight="1">
      <c r="B308" s="75">
        <f>SUBTOTAL(3,C$4:$C308)</f>
        <v>305</v>
      </c>
      <c r="C308" s="76" t="s">
        <v>208</v>
      </c>
      <c r="D308" s="77"/>
      <c r="E308" s="77" t="s">
        <v>60</v>
      </c>
      <c r="F308" s="77" t="s">
        <v>56</v>
      </c>
      <c r="G308" s="77" t="s">
        <v>56</v>
      </c>
      <c r="H308" s="77" t="s">
        <v>56</v>
      </c>
      <c r="I308" s="79">
        <f t="shared" si="51"/>
        <v>0</v>
      </c>
      <c r="J308" s="100">
        <v>36</v>
      </c>
      <c r="K308" s="77" t="s">
        <v>56</v>
      </c>
      <c r="L308" s="77" t="s">
        <v>56</v>
      </c>
      <c r="M308" s="100">
        <f t="shared" si="43"/>
        <v>36</v>
      </c>
      <c r="N308" s="97">
        <f t="shared" si="44"/>
        <v>36</v>
      </c>
      <c r="O308" s="82" t="str">
        <f t="shared" si="45"/>
        <v>-</v>
      </c>
      <c r="P308" s="83">
        <v>36</v>
      </c>
      <c r="Q308" s="83">
        <v>0</v>
      </c>
      <c r="R308" s="83">
        <v>0</v>
      </c>
      <c r="S308" s="79">
        <f t="shared" si="46"/>
        <v>36</v>
      </c>
      <c r="T308" s="84">
        <v>36</v>
      </c>
      <c r="U308" s="84">
        <v>0</v>
      </c>
      <c r="V308" s="84">
        <v>0</v>
      </c>
      <c r="W308" s="85">
        <f t="shared" si="47"/>
        <v>36</v>
      </c>
      <c r="X308" s="86">
        <v>35</v>
      </c>
      <c r="Y308" s="86">
        <v>0</v>
      </c>
      <c r="Z308" s="86">
        <v>1</v>
      </c>
      <c r="AA308" s="88">
        <v>36</v>
      </c>
      <c r="AB308" s="89">
        <v>35</v>
      </c>
      <c r="AC308" s="89">
        <v>0</v>
      </c>
      <c r="AD308" s="89">
        <v>1</v>
      </c>
      <c r="AE308" s="90">
        <f t="shared" si="48"/>
        <v>36</v>
      </c>
      <c r="AF308" s="87">
        <v>34</v>
      </c>
      <c r="AG308" s="87">
        <v>0</v>
      </c>
      <c r="AH308" s="87">
        <f>1+1</f>
        <v>2</v>
      </c>
      <c r="AI308" s="87">
        <f t="shared" si="49"/>
        <v>36</v>
      </c>
      <c r="AJ308" s="77" t="s">
        <v>197</v>
      </c>
      <c r="AK308" s="77" t="s">
        <v>197</v>
      </c>
      <c r="AL308" s="77"/>
      <c r="AM308" s="77"/>
    </row>
    <row r="309" spans="2:39" s="65" customFormat="1" ht="15.9" customHeight="1">
      <c r="B309" s="75">
        <f>SUBTOTAL(3,C$4:$C309)</f>
        <v>306</v>
      </c>
      <c r="C309" s="76" t="s">
        <v>600</v>
      </c>
      <c r="D309" s="77">
        <v>2024</v>
      </c>
      <c r="E309" s="77" t="s">
        <v>60</v>
      </c>
      <c r="F309" s="77" t="s">
        <v>56</v>
      </c>
      <c r="G309" s="77" t="s">
        <v>56</v>
      </c>
      <c r="H309" s="77" t="s">
        <v>56</v>
      </c>
      <c r="I309" s="79">
        <f t="shared" si="51"/>
        <v>0</v>
      </c>
      <c r="J309" s="100">
        <v>49</v>
      </c>
      <c r="K309" s="77" t="s">
        <v>56</v>
      </c>
      <c r="L309" s="77" t="s">
        <v>56</v>
      </c>
      <c r="M309" s="100">
        <f t="shared" si="43"/>
        <v>49</v>
      </c>
      <c r="N309" s="97">
        <f t="shared" si="44"/>
        <v>49</v>
      </c>
      <c r="O309" s="82" t="str">
        <f t="shared" si="45"/>
        <v>-</v>
      </c>
      <c r="P309" s="83">
        <v>49</v>
      </c>
      <c r="Q309" s="83">
        <v>0</v>
      </c>
      <c r="R309" s="83">
        <v>0</v>
      </c>
      <c r="S309" s="79">
        <f t="shared" si="46"/>
        <v>49</v>
      </c>
      <c r="T309" s="84">
        <v>49</v>
      </c>
      <c r="U309" s="84">
        <v>0</v>
      </c>
      <c r="V309" s="84">
        <v>0</v>
      </c>
      <c r="W309" s="85">
        <f t="shared" si="47"/>
        <v>49</v>
      </c>
      <c r="X309" s="86">
        <v>48</v>
      </c>
      <c r="Y309" s="86">
        <v>0</v>
      </c>
      <c r="Z309" s="86">
        <v>1</v>
      </c>
      <c r="AA309" s="88">
        <v>49</v>
      </c>
      <c r="AB309" s="89">
        <v>48</v>
      </c>
      <c r="AC309" s="89">
        <v>0</v>
      </c>
      <c r="AD309" s="89">
        <v>1</v>
      </c>
      <c r="AE309" s="90">
        <f t="shared" si="48"/>
        <v>49</v>
      </c>
      <c r="AF309" s="87">
        <v>48</v>
      </c>
      <c r="AG309" s="87">
        <v>0</v>
      </c>
      <c r="AH309" s="87">
        <v>0</v>
      </c>
      <c r="AI309" s="87">
        <f t="shared" si="49"/>
        <v>48</v>
      </c>
      <c r="AJ309" s="77" t="s">
        <v>197</v>
      </c>
      <c r="AK309" s="77" t="s">
        <v>197</v>
      </c>
      <c r="AL309" s="77"/>
      <c r="AM309" s="77"/>
    </row>
    <row r="310" spans="2:39" s="65" customFormat="1" ht="15.9" customHeight="1">
      <c r="B310" s="75">
        <f>SUBTOTAL(3,C$4:$C310)</f>
        <v>307</v>
      </c>
      <c r="C310" s="76" t="s">
        <v>210</v>
      </c>
      <c r="D310" s="77">
        <v>2017</v>
      </c>
      <c r="E310" s="77" t="s">
        <v>60</v>
      </c>
      <c r="F310" s="77">
        <v>11</v>
      </c>
      <c r="G310" s="77" t="s">
        <v>56</v>
      </c>
      <c r="H310" s="77" t="s">
        <v>56</v>
      </c>
      <c r="I310" s="79">
        <f t="shared" si="51"/>
        <v>11</v>
      </c>
      <c r="J310" s="100">
        <v>11</v>
      </c>
      <c r="K310" s="77" t="s">
        <v>56</v>
      </c>
      <c r="L310" s="77" t="s">
        <v>56</v>
      </c>
      <c r="M310" s="100">
        <f t="shared" si="43"/>
        <v>11</v>
      </c>
      <c r="N310" s="97">
        <f t="shared" si="44"/>
        <v>11</v>
      </c>
      <c r="O310" s="82" t="str">
        <f t="shared" si="45"/>
        <v>-</v>
      </c>
      <c r="P310" s="83">
        <v>11</v>
      </c>
      <c r="Q310" s="83">
        <v>0</v>
      </c>
      <c r="R310" s="83">
        <v>0</v>
      </c>
      <c r="S310" s="79">
        <f t="shared" si="46"/>
        <v>11</v>
      </c>
      <c r="T310" s="84">
        <v>11</v>
      </c>
      <c r="U310" s="84">
        <v>0</v>
      </c>
      <c r="V310" s="84">
        <v>0</v>
      </c>
      <c r="W310" s="85">
        <f t="shared" si="47"/>
        <v>11</v>
      </c>
      <c r="X310" s="86">
        <v>10</v>
      </c>
      <c r="Y310" s="86">
        <v>0</v>
      </c>
      <c r="Z310" s="86">
        <v>1</v>
      </c>
      <c r="AA310" s="88">
        <v>11</v>
      </c>
      <c r="AB310" s="89">
        <v>10</v>
      </c>
      <c r="AC310" s="89">
        <v>0</v>
      </c>
      <c r="AD310" s="89">
        <v>1</v>
      </c>
      <c r="AE310" s="90">
        <f t="shared" si="48"/>
        <v>11</v>
      </c>
      <c r="AF310" s="87">
        <v>10</v>
      </c>
      <c r="AG310" s="87">
        <v>0</v>
      </c>
      <c r="AH310" s="87">
        <v>0</v>
      </c>
      <c r="AI310" s="87">
        <f t="shared" si="49"/>
        <v>10</v>
      </c>
      <c r="AJ310" s="77" t="s">
        <v>197</v>
      </c>
      <c r="AK310" s="77" t="s">
        <v>197</v>
      </c>
      <c r="AL310" s="77"/>
      <c r="AM310" s="77"/>
    </row>
    <row r="311" spans="2:39" s="65" customFormat="1" ht="15.9" customHeight="1">
      <c r="B311" s="75">
        <f>SUBTOTAL(3,C$4:$C311)</f>
        <v>308</v>
      </c>
      <c r="C311" s="76" t="s">
        <v>107</v>
      </c>
      <c r="D311" s="77">
        <v>2023</v>
      </c>
      <c r="E311" s="77" t="s">
        <v>55</v>
      </c>
      <c r="F311" s="77">
        <v>20</v>
      </c>
      <c r="G311" s="77" t="s">
        <v>56</v>
      </c>
      <c r="H311" s="77" t="s">
        <v>56</v>
      </c>
      <c r="I311" s="79">
        <f t="shared" si="51"/>
        <v>20</v>
      </c>
      <c r="J311" s="100">
        <v>33</v>
      </c>
      <c r="K311" s="77" t="s">
        <v>56</v>
      </c>
      <c r="L311" s="77" t="s">
        <v>56</v>
      </c>
      <c r="M311" s="100">
        <f t="shared" si="43"/>
        <v>33</v>
      </c>
      <c r="N311" s="97">
        <f t="shared" si="44"/>
        <v>33</v>
      </c>
      <c r="O311" s="82" t="str">
        <f t="shared" si="45"/>
        <v>-</v>
      </c>
      <c r="P311" s="83">
        <v>33</v>
      </c>
      <c r="Q311" s="83">
        <v>0</v>
      </c>
      <c r="R311" s="83">
        <v>0</v>
      </c>
      <c r="S311" s="79">
        <f t="shared" si="46"/>
        <v>33</v>
      </c>
      <c r="T311" s="84">
        <v>33</v>
      </c>
      <c r="U311" s="84">
        <v>0</v>
      </c>
      <c r="V311" s="84">
        <v>0</v>
      </c>
      <c r="W311" s="85">
        <f t="shared" si="47"/>
        <v>33</v>
      </c>
      <c r="X311" s="86">
        <v>33</v>
      </c>
      <c r="Y311" s="86">
        <v>0</v>
      </c>
      <c r="Z311" s="86">
        <v>0</v>
      </c>
      <c r="AA311" s="88">
        <v>33</v>
      </c>
      <c r="AB311" s="89">
        <v>33</v>
      </c>
      <c r="AC311" s="89">
        <v>0</v>
      </c>
      <c r="AD311" s="89">
        <v>0</v>
      </c>
      <c r="AE311" s="90">
        <f t="shared" si="48"/>
        <v>33</v>
      </c>
      <c r="AF311" s="87">
        <v>33</v>
      </c>
      <c r="AG311" s="87">
        <v>0</v>
      </c>
      <c r="AH311" s="87">
        <v>0</v>
      </c>
      <c r="AI311" s="87">
        <f t="shared" si="49"/>
        <v>33</v>
      </c>
      <c r="AJ311" s="77" t="s">
        <v>197</v>
      </c>
      <c r="AK311" s="77" t="s">
        <v>197</v>
      </c>
      <c r="AL311" s="77"/>
      <c r="AM311" s="77"/>
    </row>
    <row r="312" spans="2:39" s="65" customFormat="1" ht="15.9" customHeight="1">
      <c r="B312" s="75">
        <f>SUBTOTAL(3,C$4:$C312)</f>
        <v>309</v>
      </c>
      <c r="C312" s="76" t="s">
        <v>211</v>
      </c>
      <c r="D312" s="77">
        <v>2010</v>
      </c>
      <c r="E312" s="77" t="s">
        <v>60</v>
      </c>
      <c r="F312" s="77">
        <v>20</v>
      </c>
      <c r="G312" s="77" t="s">
        <v>56</v>
      </c>
      <c r="H312" s="77" t="s">
        <v>56</v>
      </c>
      <c r="I312" s="79">
        <f t="shared" si="51"/>
        <v>20</v>
      </c>
      <c r="J312" s="100">
        <v>20</v>
      </c>
      <c r="K312" s="77" t="s">
        <v>56</v>
      </c>
      <c r="L312" s="77" t="s">
        <v>56</v>
      </c>
      <c r="M312" s="100">
        <f t="shared" si="43"/>
        <v>20</v>
      </c>
      <c r="N312" s="97">
        <f t="shared" si="44"/>
        <v>20</v>
      </c>
      <c r="O312" s="82" t="str">
        <f t="shared" si="45"/>
        <v>-</v>
      </c>
      <c r="P312" s="83">
        <v>14</v>
      </c>
      <c r="Q312" s="83">
        <v>0</v>
      </c>
      <c r="R312" s="83">
        <v>6</v>
      </c>
      <c r="S312" s="79">
        <f t="shared" si="46"/>
        <v>20</v>
      </c>
      <c r="T312" s="84">
        <v>13</v>
      </c>
      <c r="U312" s="84">
        <v>0</v>
      </c>
      <c r="V312" s="84">
        <f>6+1</f>
        <v>7</v>
      </c>
      <c r="W312" s="85">
        <f t="shared" si="47"/>
        <v>20</v>
      </c>
      <c r="X312" s="86">
        <v>13</v>
      </c>
      <c r="Y312" s="86">
        <v>0</v>
      </c>
      <c r="Z312" s="86">
        <v>0</v>
      </c>
      <c r="AA312" s="88">
        <v>13</v>
      </c>
      <c r="AB312" s="89">
        <v>13</v>
      </c>
      <c r="AC312" s="89">
        <v>0</v>
      </c>
      <c r="AD312" s="89">
        <v>0</v>
      </c>
      <c r="AE312" s="90">
        <f t="shared" si="48"/>
        <v>13</v>
      </c>
      <c r="AF312" s="87">
        <v>12</v>
      </c>
      <c r="AG312" s="87">
        <v>0</v>
      </c>
      <c r="AH312" s="87">
        <v>1</v>
      </c>
      <c r="AI312" s="87">
        <f t="shared" si="49"/>
        <v>13</v>
      </c>
      <c r="AJ312" s="77" t="s">
        <v>197</v>
      </c>
      <c r="AK312" s="77" t="s">
        <v>197</v>
      </c>
      <c r="AL312" s="77" t="s">
        <v>114</v>
      </c>
      <c r="AM312" s="77"/>
    </row>
    <row r="313" spans="2:39" s="65" customFormat="1" ht="15.9" customHeight="1">
      <c r="B313" s="75">
        <f>SUBTOTAL(3,C$4:$C313)</f>
        <v>310</v>
      </c>
      <c r="C313" s="76" t="s">
        <v>173</v>
      </c>
      <c r="D313" s="77">
        <v>2010</v>
      </c>
      <c r="E313" s="77" t="s">
        <v>60</v>
      </c>
      <c r="F313" s="77">
        <v>1</v>
      </c>
      <c r="G313" s="77" t="s">
        <v>56</v>
      </c>
      <c r="H313" s="77" t="s">
        <v>56</v>
      </c>
      <c r="I313" s="79">
        <f t="shared" si="51"/>
        <v>1</v>
      </c>
      <c r="J313" s="100">
        <v>1</v>
      </c>
      <c r="K313" s="77" t="s">
        <v>56</v>
      </c>
      <c r="L313" s="77" t="s">
        <v>56</v>
      </c>
      <c r="M313" s="100">
        <f t="shared" si="43"/>
        <v>1</v>
      </c>
      <c r="N313" s="97">
        <f t="shared" si="44"/>
        <v>1</v>
      </c>
      <c r="O313" s="82" t="str">
        <f t="shared" si="45"/>
        <v>-</v>
      </c>
      <c r="P313" s="83">
        <v>1</v>
      </c>
      <c r="Q313" s="83">
        <v>0</v>
      </c>
      <c r="R313" s="83">
        <v>0</v>
      </c>
      <c r="S313" s="79">
        <f t="shared" si="46"/>
        <v>1</v>
      </c>
      <c r="T313" s="84">
        <v>1</v>
      </c>
      <c r="U313" s="84">
        <v>0</v>
      </c>
      <c r="V313" s="84">
        <v>0</v>
      </c>
      <c r="W313" s="85">
        <f t="shared" si="47"/>
        <v>1</v>
      </c>
      <c r="X313" s="86">
        <v>1</v>
      </c>
      <c r="Y313" s="86">
        <v>0</v>
      </c>
      <c r="Z313" s="86">
        <v>0</v>
      </c>
      <c r="AA313" s="88">
        <v>1</v>
      </c>
      <c r="AB313" s="89">
        <v>1</v>
      </c>
      <c r="AC313" s="89">
        <v>0</v>
      </c>
      <c r="AD313" s="89">
        <v>0</v>
      </c>
      <c r="AE313" s="90">
        <f t="shared" si="48"/>
        <v>1</v>
      </c>
      <c r="AF313" s="87">
        <v>1</v>
      </c>
      <c r="AG313" s="87">
        <v>0</v>
      </c>
      <c r="AH313" s="87">
        <v>0</v>
      </c>
      <c r="AI313" s="87">
        <f t="shared" si="49"/>
        <v>1</v>
      </c>
      <c r="AJ313" s="77" t="s">
        <v>197</v>
      </c>
      <c r="AK313" s="77" t="s">
        <v>197</v>
      </c>
      <c r="AL313" s="77"/>
      <c r="AM313" s="77"/>
    </row>
    <row r="314" spans="2:39" s="65" customFormat="1" ht="15.9" customHeight="1">
      <c r="B314" s="75">
        <f>SUBTOTAL(3,C$4:$C314)</f>
        <v>311</v>
      </c>
      <c r="C314" s="76" t="s">
        <v>212</v>
      </c>
      <c r="D314" s="77">
        <v>2010</v>
      </c>
      <c r="E314" s="77" t="s">
        <v>60</v>
      </c>
      <c r="F314" s="77">
        <v>2</v>
      </c>
      <c r="G314" s="77" t="s">
        <v>56</v>
      </c>
      <c r="H314" s="77" t="s">
        <v>56</v>
      </c>
      <c r="I314" s="79">
        <f t="shared" si="51"/>
        <v>2</v>
      </c>
      <c r="J314" s="100">
        <v>2</v>
      </c>
      <c r="K314" s="77" t="s">
        <v>56</v>
      </c>
      <c r="L314" s="77" t="s">
        <v>56</v>
      </c>
      <c r="M314" s="100">
        <f t="shared" ref="M314:M318" si="52">SUM(J314:L314)</f>
        <v>2</v>
      </c>
      <c r="N314" s="97">
        <f t="shared" ref="N314:N318" si="53">J314</f>
        <v>2</v>
      </c>
      <c r="O314" s="82" t="str">
        <f t="shared" ref="O314:O318" si="54">L314</f>
        <v>-</v>
      </c>
      <c r="P314" s="83">
        <v>2</v>
      </c>
      <c r="Q314" s="83">
        <v>0</v>
      </c>
      <c r="R314" s="83">
        <v>0</v>
      </c>
      <c r="S314" s="79">
        <f t="shared" ref="S314:S318" si="55">SUM(P314:R314)</f>
        <v>2</v>
      </c>
      <c r="T314" s="84">
        <v>2</v>
      </c>
      <c r="U314" s="84">
        <v>0</v>
      </c>
      <c r="V314" s="84">
        <v>0</v>
      </c>
      <c r="W314" s="85">
        <f t="shared" ref="W314:W318" si="56">SUM(T314:V314)</f>
        <v>2</v>
      </c>
      <c r="X314" s="86">
        <v>2</v>
      </c>
      <c r="Y314" s="86">
        <v>0</v>
      </c>
      <c r="Z314" s="86">
        <v>0</v>
      </c>
      <c r="AA314" s="88">
        <v>2</v>
      </c>
      <c r="AB314" s="89">
        <v>2</v>
      </c>
      <c r="AC314" s="89">
        <v>0</v>
      </c>
      <c r="AD314" s="89">
        <v>0</v>
      </c>
      <c r="AE314" s="90">
        <f t="shared" si="48"/>
        <v>2</v>
      </c>
      <c r="AF314" s="87">
        <v>2</v>
      </c>
      <c r="AG314" s="87">
        <v>0</v>
      </c>
      <c r="AH314" s="87">
        <v>0</v>
      </c>
      <c r="AI314" s="87">
        <f t="shared" si="49"/>
        <v>2</v>
      </c>
      <c r="AJ314" s="77" t="s">
        <v>197</v>
      </c>
      <c r="AK314" s="77" t="s">
        <v>197</v>
      </c>
      <c r="AL314" s="77"/>
      <c r="AM314" s="77"/>
    </row>
    <row r="315" spans="2:39" s="65" customFormat="1" ht="15.9" customHeight="1">
      <c r="B315" s="75">
        <f>SUBTOTAL(3,C$4:$C315)</f>
        <v>312</v>
      </c>
      <c r="C315" s="76" t="s">
        <v>213</v>
      </c>
      <c r="D315" s="77"/>
      <c r="E315" s="77" t="s">
        <v>60</v>
      </c>
      <c r="F315" s="77">
        <v>1</v>
      </c>
      <c r="G315" s="77" t="s">
        <v>56</v>
      </c>
      <c r="H315" s="77" t="s">
        <v>56</v>
      </c>
      <c r="I315" s="79">
        <f t="shared" si="51"/>
        <v>1</v>
      </c>
      <c r="J315" s="100">
        <v>1</v>
      </c>
      <c r="K315" s="77" t="s">
        <v>56</v>
      </c>
      <c r="L315" s="77" t="s">
        <v>56</v>
      </c>
      <c r="M315" s="100">
        <f t="shared" si="52"/>
        <v>1</v>
      </c>
      <c r="N315" s="97">
        <f t="shared" si="53"/>
        <v>1</v>
      </c>
      <c r="O315" s="82" t="str">
        <f t="shared" si="54"/>
        <v>-</v>
      </c>
      <c r="P315" s="83">
        <v>1</v>
      </c>
      <c r="Q315" s="83">
        <v>0</v>
      </c>
      <c r="R315" s="83">
        <v>0</v>
      </c>
      <c r="S315" s="79">
        <f t="shared" si="55"/>
        <v>1</v>
      </c>
      <c r="T315" s="84">
        <v>1</v>
      </c>
      <c r="U315" s="84">
        <v>0</v>
      </c>
      <c r="V315" s="84">
        <v>0</v>
      </c>
      <c r="W315" s="85">
        <f t="shared" si="56"/>
        <v>1</v>
      </c>
      <c r="X315" s="86">
        <v>1</v>
      </c>
      <c r="Y315" s="86">
        <v>0</v>
      </c>
      <c r="Z315" s="86">
        <v>0</v>
      </c>
      <c r="AA315" s="88">
        <v>1</v>
      </c>
      <c r="AB315" s="89">
        <v>1</v>
      </c>
      <c r="AC315" s="89">
        <v>0</v>
      </c>
      <c r="AD315" s="89">
        <v>0</v>
      </c>
      <c r="AE315" s="90">
        <f t="shared" si="48"/>
        <v>1</v>
      </c>
      <c r="AF315" s="87">
        <v>1</v>
      </c>
      <c r="AG315" s="87">
        <v>0</v>
      </c>
      <c r="AH315" s="87">
        <v>0</v>
      </c>
      <c r="AI315" s="87">
        <f t="shared" si="49"/>
        <v>1</v>
      </c>
      <c r="AJ315" s="77" t="s">
        <v>197</v>
      </c>
      <c r="AK315" s="77" t="s">
        <v>197</v>
      </c>
      <c r="AL315" s="77"/>
      <c r="AM315" s="77"/>
    </row>
    <row r="316" spans="2:39" s="66" customFormat="1" ht="15.9" customHeight="1">
      <c r="B316" s="75">
        <f>SUBTOTAL(3,C$4:$C316)</f>
        <v>313</v>
      </c>
      <c r="C316" s="76" t="s">
        <v>214</v>
      </c>
      <c r="D316" s="77">
        <v>2025</v>
      </c>
      <c r="E316" s="77" t="s">
        <v>60</v>
      </c>
      <c r="F316" s="77" t="s">
        <v>56</v>
      </c>
      <c r="G316" s="77" t="s">
        <v>56</v>
      </c>
      <c r="H316" s="77" t="s">
        <v>56</v>
      </c>
      <c r="I316" s="79">
        <f t="shared" si="51"/>
        <v>0</v>
      </c>
      <c r="J316" s="77">
        <v>3</v>
      </c>
      <c r="K316" s="77" t="s">
        <v>56</v>
      </c>
      <c r="L316" s="77" t="s">
        <v>56</v>
      </c>
      <c r="M316" s="77">
        <f t="shared" si="52"/>
        <v>3</v>
      </c>
      <c r="N316" s="97">
        <f t="shared" si="53"/>
        <v>3</v>
      </c>
      <c r="O316" s="82" t="str">
        <f t="shared" si="54"/>
        <v>-</v>
      </c>
      <c r="P316" s="83">
        <v>3</v>
      </c>
      <c r="Q316" s="83">
        <v>0</v>
      </c>
      <c r="R316" s="83">
        <v>0</v>
      </c>
      <c r="S316" s="79">
        <f t="shared" si="55"/>
        <v>3</v>
      </c>
      <c r="T316" s="84">
        <v>3</v>
      </c>
      <c r="U316" s="84">
        <v>0</v>
      </c>
      <c r="V316" s="84">
        <v>0</v>
      </c>
      <c r="W316" s="85">
        <f t="shared" si="56"/>
        <v>3</v>
      </c>
      <c r="X316" s="86">
        <v>3</v>
      </c>
      <c r="Y316" s="86">
        <v>0</v>
      </c>
      <c r="Z316" s="86">
        <v>0</v>
      </c>
      <c r="AA316" s="88">
        <v>3</v>
      </c>
      <c r="AB316" s="89">
        <v>3</v>
      </c>
      <c r="AC316" s="89">
        <v>0</v>
      </c>
      <c r="AD316" s="89">
        <v>0</v>
      </c>
      <c r="AE316" s="90">
        <f t="shared" si="48"/>
        <v>3</v>
      </c>
      <c r="AF316" s="87">
        <v>3</v>
      </c>
      <c r="AG316" s="87">
        <v>0</v>
      </c>
      <c r="AH316" s="87">
        <v>0</v>
      </c>
      <c r="AI316" s="87">
        <f t="shared" si="49"/>
        <v>3</v>
      </c>
      <c r="AJ316" s="77" t="s">
        <v>197</v>
      </c>
      <c r="AK316" s="77" t="s">
        <v>197</v>
      </c>
      <c r="AL316" s="77"/>
      <c r="AM316" s="95">
        <v>45772</v>
      </c>
    </row>
    <row r="317" spans="2:39" s="65" customFormat="1" ht="15.9" customHeight="1">
      <c r="B317" s="75">
        <f>SUBTOTAL(3,C$4:$C317)</f>
        <v>314</v>
      </c>
      <c r="C317" s="76" t="s">
        <v>149</v>
      </c>
      <c r="D317" s="77">
        <v>2025</v>
      </c>
      <c r="E317" s="77" t="s">
        <v>60</v>
      </c>
      <c r="F317" s="77" t="s">
        <v>56</v>
      </c>
      <c r="G317" s="77" t="s">
        <v>56</v>
      </c>
      <c r="H317" s="77" t="s">
        <v>56</v>
      </c>
      <c r="I317" s="79">
        <f t="shared" si="51"/>
        <v>0</v>
      </c>
      <c r="J317" s="100">
        <v>2</v>
      </c>
      <c r="K317" s="77" t="s">
        <v>56</v>
      </c>
      <c r="L317" s="77" t="s">
        <v>56</v>
      </c>
      <c r="M317" s="100">
        <f t="shared" si="52"/>
        <v>2</v>
      </c>
      <c r="N317" s="97">
        <f t="shared" si="53"/>
        <v>2</v>
      </c>
      <c r="O317" s="82" t="str">
        <f t="shared" si="54"/>
        <v>-</v>
      </c>
      <c r="P317" s="83">
        <v>2</v>
      </c>
      <c r="Q317" s="83">
        <v>0</v>
      </c>
      <c r="R317" s="83">
        <v>0</v>
      </c>
      <c r="S317" s="79">
        <f t="shared" si="55"/>
        <v>2</v>
      </c>
      <c r="T317" s="84">
        <v>2</v>
      </c>
      <c r="U317" s="84">
        <v>0</v>
      </c>
      <c r="V317" s="84">
        <v>0</v>
      </c>
      <c r="W317" s="85">
        <f t="shared" si="56"/>
        <v>2</v>
      </c>
      <c r="X317" s="86">
        <v>2</v>
      </c>
      <c r="Y317" s="86">
        <v>0</v>
      </c>
      <c r="Z317" s="86">
        <v>0</v>
      </c>
      <c r="AA317" s="88">
        <v>2</v>
      </c>
      <c r="AB317" s="89">
        <v>2</v>
      </c>
      <c r="AC317" s="89">
        <v>0</v>
      </c>
      <c r="AD317" s="89">
        <v>0</v>
      </c>
      <c r="AE317" s="90">
        <f t="shared" si="48"/>
        <v>2</v>
      </c>
      <c r="AF317" s="87">
        <v>2</v>
      </c>
      <c r="AG317" s="87">
        <v>0</v>
      </c>
      <c r="AH317" s="87">
        <v>0</v>
      </c>
      <c r="AI317" s="87">
        <f t="shared" si="49"/>
        <v>2</v>
      </c>
      <c r="AJ317" s="77" t="s">
        <v>197</v>
      </c>
      <c r="AK317" s="77" t="s">
        <v>197</v>
      </c>
      <c r="AL317" s="77"/>
      <c r="AM317" s="95">
        <v>45791</v>
      </c>
    </row>
    <row r="318" spans="2:39" s="65" customFormat="1" ht="15.9" customHeight="1">
      <c r="B318" s="75">
        <f>SUBTOTAL(3,C$4:$C318)</f>
        <v>315</v>
      </c>
      <c r="C318" s="76" t="s">
        <v>215</v>
      </c>
      <c r="D318" s="77">
        <v>2025</v>
      </c>
      <c r="E318" s="77" t="s">
        <v>60</v>
      </c>
      <c r="F318" s="77" t="s">
        <v>56</v>
      </c>
      <c r="G318" s="77" t="s">
        <v>56</v>
      </c>
      <c r="H318" s="77" t="s">
        <v>56</v>
      </c>
      <c r="I318" s="79">
        <v>0</v>
      </c>
      <c r="J318" s="100">
        <v>12</v>
      </c>
      <c r="K318" s="77" t="s">
        <v>56</v>
      </c>
      <c r="L318" s="77" t="s">
        <v>56</v>
      </c>
      <c r="M318" s="100">
        <f t="shared" si="52"/>
        <v>12</v>
      </c>
      <c r="N318" s="97">
        <f t="shared" si="53"/>
        <v>12</v>
      </c>
      <c r="O318" s="82" t="str">
        <f t="shared" si="54"/>
        <v>-</v>
      </c>
      <c r="P318" s="83">
        <v>12</v>
      </c>
      <c r="Q318" s="83">
        <v>0</v>
      </c>
      <c r="R318" s="83">
        <v>0</v>
      </c>
      <c r="S318" s="79">
        <f t="shared" si="55"/>
        <v>12</v>
      </c>
      <c r="T318" s="84">
        <v>12</v>
      </c>
      <c r="U318" s="84">
        <v>0</v>
      </c>
      <c r="V318" s="84">
        <v>0</v>
      </c>
      <c r="W318" s="85">
        <f t="shared" si="56"/>
        <v>12</v>
      </c>
      <c r="X318" s="86">
        <v>12</v>
      </c>
      <c r="Y318" s="86">
        <v>0</v>
      </c>
      <c r="Z318" s="86">
        <v>0</v>
      </c>
      <c r="AA318" s="88">
        <v>12</v>
      </c>
      <c r="AB318" s="89">
        <v>12</v>
      </c>
      <c r="AC318" s="89">
        <v>0</v>
      </c>
      <c r="AD318" s="89">
        <v>0</v>
      </c>
      <c r="AE318" s="90">
        <f t="shared" si="48"/>
        <v>12</v>
      </c>
      <c r="AF318" s="87">
        <v>12</v>
      </c>
      <c r="AG318" s="87">
        <v>0</v>
      </c>
      <c r="AH318" s="87">
        <v>0</v>
      </c>
      <c r="AI318" s="87">
        <f t="shared" si="49"/>
        <v>12</v>
      </c>
      <c r="AJ318" s="77" t="s">
        <v>197</v>
      </c>
      <c r="AK318" s="77" t="s">
        <v>197</v>
      </c>
      <c r="AL318" s="77"/>
      <c r="AM318" s="95">
        <v>45887</v>
      </c>
    </row>
    <row r="319" spans="2:39">
      <c r="AF319" s="67"/>
      <c r="AG319" s="67"/>
      <c r="AH319" s="68"/>
      <c r="AI319" s="67"/>
      <c r="AJ319"/>
      <c r="AK319"/>
      <c r="AL319"/>
      <c r="AM319"/>
    </row>
  </sheetData>
  <autoFilter ref="B3:AM318" xr:uid="{00000000-0009-0000-0000-00000C000000}"/>
  <mergeCells count="7">
    <mergeCell ref="B1:AL1"/>
    <mergeCell ref="J2:O2"/>
    <mergeCell ref="P2:S2"/>
    <mergeCell ref="T2:W2"/>
    <mergeCell ref="X2:AA2"/>
    <mergeCell ref="AB2:AE2"/>
    <mergeCell ref="AF2:AI2"/>
  </mergeCells>
  <printOptions horizontalCentered="1"/>
  <pageMargins left="0" right="0" top="0.5" bottom="0.5" header="0.3" footer="0.3"/>
  <pageSetup paperSize="9" scale="56" orientation="portrait" blackAndWhite="1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3:G137"/>
  <sheetViews>
    <sheetView showGridLines="0" workbookViewId="0">
      <selection activeCell="E63" sqref="E63"/>
    </sheetView>
  </sheetViews>
  <sheetFormatPr defaultColWidth="9" defaultRowHeight="14.4"/>
  <cols>
    <col min="3" max="3" width="10.33203125" customWidth="1"/>
    <col min="4" max="4" width="34.5546875" customWidth="1"/>
    <col min="5" max="6" width="9.33203125" style="26" customWidth="1"/>
    <col min="7" max="7" width="15" style="26" customWidth="1"/>
  </cols>
  <sheetData>
    <row r="3" spans="3:7" s="55" customFormat="1" ht="50.25" customHeight="1">
      <c r="C3" s="56" t="s">
        <v>225</v>
      </c>
      <c r="D3" s="57" t="s">
        <v>33</v>
      </c>
      <c r="E3" s="57" t="s">
        <v>46</v>
      </c>
      <c r="F3" s="57" t="s">
        <v>602</v>
      </c>
      <c r="G3" s="58" t="s">
        <v>51</v>
      </c>
    </row>
    <row r="4" spans="3:7">
      <c r="C4" s="303" t="s">
        <v>96</v>
      </c>
      <c r="D4" s="6" t="s">
        <v>149</v>
      </c>
      <c r="E4" s="7">
        <v>2</v>
      </c>
      <c r="F4" s="7">
        <v>0</v>
      </c>
      <c r="G4" s="59"/>
    </row>
    <row r="5" spans="3:7">
      <c r="C5" s="303"/>
      <c r="D5" s="6" t="s">
        <v>134</v>
      </c>
      <c r="E5" s="7">
        <v>0</v>
      </c>
      <c r="F5" s="7">
        <v>10</v>
      </c>
      <c r="G5" s="59" t="s">
        <v>603</v>
      </c>
    </row>
    <row r="6" spans="3:7">
      <c r="C6" s="303"/>
      <c r="D6" s="6" t="s">
        <v>145</v>
      </c>
      <c r="E6" s="7">
        <v>1</v>
      </c>
      <c r="F6" s="7">
        <v>0</v>
      </c>
      <c r="G6" s="59"/>
    </row>
    <row r="7" spans="3:7">
      <c r="C7" s="303"/>
      <c r="D7" s="6" t="s">
        <v>150</v>
      </c>
      <c r="E7" s="7">
        <v>1</v>
      </c>
      <c r="F7" s="7">
        <v>0</v>
      </c>
      <c r="G7" s="59"/>
    </row>
    <row r="8" spans="3:7">
      <c r="C8" s="303"/>
      <c r="D8" s="6" t="s">
        <v>138</v>
      </c>
      <c r="E8" s="7">
        <v>1</v>
      </c>
      <c r="F8" s="7">
        <v>0</v>
      </c>
      <c r="G8" s="59"/>
    </row>
    <row r="9" spans="3:7">
      <c r="C9" s="303"/>
      <c r="D9" s="6" t="s">
        <v>136</v>
      </c>
      <c r="E9" s="7">
        <v>0</v>
      </c>
      <c r="F9" s="7">
        <v>2</v>
      </c>
      <c r="G9" s="59" t="s">
        <v>137</v>
      </c>
    </row>
    <row r="10" spans="3:7">
      <c r="C10" s="303"/>
      <c r="D10" s="6" t="s">
        <v>148</v>
      </c>
      <c r="E10" s="7">
        <v>0</v>
      </c>
      <c r="F10" s="7">
        <v>1</v>
      </c>
      <c r="G10" s="59" t="s">
        <v>135</v>
      </c>
    </row>
    <row r="11" spans="3:7">
      <c r="C11" s="303"/>
      <c r="D11" s="6" t="s">
        <v>140</v>
      </c>
      <c r="E11" s="7">
        <v>2</v>
      </c>
      <c r="F11" s="7">
        <v>0</v>
      </c>
      <c r="G11" s="59"/>
    </row>
    <row r="12" spans="3:7">
      <c r="C12" s="303"/>
      <c r="D12" s="6" t="s">
        <v>146</v>
      </c>
      <c r="E12" s="7">
        <v>1</v>
      </c>
      <c r="F12" s="7">
        <v>0</v>
      </c>
      <c r="G12" s="59"/>
    </row>
    <row r="13" spans="3:7">
      <c r="C13" s="303"/>
      <c r="D13" s="6" t="s">
        <v>110</v>
      </c>
      <c r="E13" s="7">
        <v>0</v>
      </c>
      <c r="F13" s="7">
        <v>0</v>
      </c>
      <c r="G13" s="59"/>
    </row>
    <row r="14" spans="3:7">
      <c r="C14" s="303"/>
      <c r="D14" s="6" t="s">
        <v>115</v>
      </c>
      <c r="E14" s="7">
        <v>76</v>
      </c>
      <c r="F14" s="7">
        <v>4</v>
      </c>
      <c r="G14" s="59" t="s">
        <v>116</v>
      </c>
    </row>
    <row r="15" spans="3:7">
      <c r="C15" s="303"/>
      <c r="D15" s="6" t="s">
        <v>112</v>
      </c>
      <c r="E15" s="7">
        <v>22</v>
      </c>
      <c r="F15" s="7">
        <v>4</v>
      </c>
      <c r="G15" s="59" t="s">
        <v>114</v>
      </c>
    </row>
    <row r="16" spans="3:7">
      <c r="C16" s="303"/>
      <c r="D16" s="6" t="s">
        <v>79</v>
      </c>
      <c r="E16" s="7">
        <v>2</v>
      </c>
      <c r="F16" s="7">
        <v>0</v>
      </c>
      <c r="G16" s="59"/>
    </row>
    <row r="17" spans="3:7">
      <c r="C17" s="303"/>
      <c r="D17" s="6" t="s">
        <v>126</v>
      </c>
      <c r="E17" s="7">
        <v>3</v>
      </c>
      <c r="F17" s="7">
        <v>0</v>
      </c>
      <c r="G17" s="59"/>
    </row>
    <row r="18" spans="3:7">
      <c r="C18" s="303"/>
      <c r="D18" s="6" t="s">
        <v>147</v>
      </c>
      <c r="E18" s="7">
        <v>1</v>
      </c>
      <c r="F18" s="7">
        <v>0</v>
      </c>
      <c r="G18" s="59"/>
    </row>
    <row r="19" spans="3:7">
      <c r="C19" s="303"/>
      <c r="D19" s="6" t="s">
        <v>122</v>
      </c>
      <c r="E19" s="7">
        <v>2</v>
      </c>
      <c r="F19" s="7">
        <v>0</v>
      </c>
      <c r="G19" s="59"/>
    </row>
    <row r="20" spans="3:7">
      <c r="C20" s="303"/>
      <c r="D20" s="6" t="s">
        <v>124</v>
      </c>
      <c r="E20" s="7">
        <v>0</v>
      </c>
      <c r="F20" s="7">
        <v>1</v>
      </c>
      <c r="G20" s="59" t="s">
        <v>604</v>
      </c>
    </row>
    <row r="21" spans="3:7">
      <c r="C21" s="303"/>
      <c r="D21" s="6" t="s">
        <v>123</v>
      </c>
      <c r="E21" s="7">
        <v>1</v>
      </c>
      <c r="F21" s="7">
        <v>0</v>
      </c>
      <c r="G21" s="59"/>
    </row>
    <row r="22" spans="3:7">
      <c r="C22" s="303"/>
      <c r="D22" s="6" t="s">
        <v>139</v>
      </c>
      <c r="E22" s="7">
        <v>1</v>
      </c>
      <c r="F22" s="7">
        <v>0</v>
      </c>
      <c r="G22" s="59"/>
    </row>
    <row r="23" spans="3:7">
      <c r="C23" s="303"/>
      <c r="D23" s="6" t="s">
        <v>99</v>
      </c>
      <c r="E23" s="7">
        <v>48</v>
      </c>
      <c r="F23" s="7">
        <v>0</v>
      </c>
      <c r="G23" s="59"/>
    </row>
    <row r="24" spans="3:7">
      <c r="C24" s="303"/>
      <c r="D24" s="6" t="s">
        <v>142</v>
      </c>
      <c r="E24" s="7">
        <v>62</v>
      </c>
      <c r="F24" s="7">
        <v>0</v>
      </c>
      <c r="G24" s="59"/>
    </row>
    <row r="25" spans="3:7">
      <c r="C25" s="303"/>
      <c r="D25" s="6" t="s">
        <v>120</v>
      </c>
      <c r="E25" s="7">
        <v>1</v>
      </c>
      <c r="F25" s="7">
        <v>0</v>
      </c>
      <c r="G25" s="59"/>
    </row>
    <row r="26" spans="3:7">
      <c r="C26" s="303"/>
      <c r="D26" s="6" t="s">
        <v>121</v>
      </c>
      <c r="E26" s="7">
        <v>5</v>
      </c>
      <c r="F26" s="7">
        <v>0</v>
      </c>
      <c r="G26" s="59"/>
    </row>
    <row r="27" spans="3:7">
      <c r="C27" s="303"/>
      <c r="D27" s="6" t="s">
        <v>98</v>
      </c>
      <c r="E27" s="7">
        <v>1</v>
      </c>
      <c r="F27" s="7">
        <v>0</v>
      </c>
      <c r="G27" s="59"/>
    </row>
    <row r="28" spans="3:7">
      <c r="C28" s="303"/>
      <c r="D28" s="6" t="s">
        <v>97</v>
      </c>
      <c r="E28" s="7">
        <v>8</v>
      </c>
      <c r="F28" s="7">
        <v>0</v>
      </c>
      <c r="G28" s="59"/>
    </row>
    <row r="29" spans="3:7">
      <c r="C29" s="303"/>
      <c r="D29" s="6" t="s">
        <v>102</v>
      </c>
      <c r="E29" s="7">
        <v>61</v>
      </c>
      <c r="F29" s="7">
        <v>0</v>
      </c>
      <c r="G29" s="59"/>
    </row>
    <row r="30" spans="3:7">
      <c r="C30" s="303"/>
      <c r="D30" s="6" t="s">
        <v>103</v>
      </c>
      <c r="E30" s="7">
        <v>41</v>
      </c>
      <c r="F30" s="7">
        <v>0</v>
      </c>
      <c r="G30" s="59"/>
    </row>
    <row r="31" spans="3:7">
      <c r="C31" s="303"/>
      <c r="D31" s="6" t="s">
        <v>104</v>
      </c>
      <c r="E31" s="7">
        <v>113</v>
      </c>
      <c r="F31" s="7">
        <v>0</v>
      </c>
      <c r="G31" s="59"/>
    </row>
    <row r="32" spans="3:7">
      <c r="C32" s="303"/>
      <c r="D32" s="6" t="s">
        <v>106</v>
      </c>
      <c r="E32" s="7">
        <v>3</v>
      </c>
      <c r="F32" s="7">
        <v>5</v>
      </c>
      <c r="G32" s="59" t="s">
        <v>116</v>
      </c>
    </row>
    <row r="33" spans="3:7">
      <c r="C33" s="303"/>
      <c r="D33" s="6" t="s">
        <v>133</v>
      </c>
      <c r="E33" s="7">
        <v>1</v>
      </c>
      <c r="F33" s="7">
        <v>0</v>
      </c>
      <c r="G33" s="59"/>
    </row>
    <row r="34" spans="3:7">
      <c r="C34" s="303"/>
      <c r="D34" s="6" t="s">
        <v>119</v>
      </c>
      <c r="E34" s="7">
        <v>9</v>
      </c>
      <c r="F34" s="7">
        <v>0</v>
      </c>
      <c r="G34" s="59"/>
    </row>
    <row r="35" spans="3:7">
      <c r="C35" s="303"/>
      <c r="D35" s="6" t="s">
        <v>141</v>
      </c>
      <c r="E35" s="7">
        <v>2</v>
      </c>
      <c r="F35" s="7">
        <v>0</v>
      </c>
      <c r="G35" s="59"/>
    </row>
    <row r="36" spans="3:7">
      <c r="C36" s="303"/>
      <c r="D36" s="6" t="s">
        <v>132</v>
      </c>
      <c r="E36" s="7">
        <v>1</v>
      </c>
      <c r="F36" s="7">
        <v>0</v>
      </c>
      <c r="G36" s="59"/>
    </row>
    <row r="37" spans="3:7">
      <c r="C37" s="303"/>
      <c r="D37" s="6" t="s">
        <v>128</v>
      </c>
      <c r="E37" s="7">
        <v>2</v>
      </c>
      <c r="F37" s="7">
        <v>0</v>
      </c>
      <c r="G37" s="59"/>
    </row>
    <row r="38" spans="3:7">
      <c r="C38" s="303"/>
      <c r="D38" s="6" t="s">
        <v>129</v>
      </c>
      <c r="E38" s="7">
        <v>1</v>
      </c>
      <c r="F38" s="7">
        <v>0</v>
      </c>
      <c r="G38" s="59"/>
    </row>
    <row r="39" spans="3:7">
      <c r="C39" s="303"/>
      <c r="D39" s="6" t="s">
        <v>107</v>
      </c>
      <c r="E39" s="7">
        <v>216</v>
      </c>
      <c r="F39" s="7">
        <v>18</v>
      </c>
      <c r="G39" s="59" t="s">
        <v>114</v>
      </c>
    </row>
    <row r="40" spans="3:7">
      <c r="C40" s="303"/>
      <c r="D40" s="6" t="s">
        <v>130</v>
      </c>
      <c r="E40" s="7">
        <v>5</v>
      </c>
      <c r="F40" s="7">
        <v>0</v>
      </c>
      <c r="G40" s="59"/>
    </row>
    <row r="41" spans="3:7">
      <c r="C41" s="303"/>
      <c r="D41" s="6" t="s">
        <v>100</v>
      </c>
      <c r="E41" s="7">
        <v>0</v>
      </c>
      <c r="F41" s="7">
        <v>0</v>
      </c>
      <c r="G41" s="59"/>
    </row>
    <row r="42" spans="3:7">
      <c r="C42" s="303"/>
      <c r="D42" s="6" t="s">
        <v>151</v>
      </c>
      <c r="E42" s="7">
        <v>1</v>
      </c>
      <c r="F42" s="7">
        <v>0</v>
      </c>
      <c r="G42" s="59"/>
    </row>
    <row r="43" spans="3:7">
      <c r="C43" s="303"/>
      <c r="D43" s="6" t="s">
        <v>117</v>
      </c>
      <c r="E43" s="7">
        <v>2</v>
      </c>
      <c r="F43" s="7">
        <v>2</v>
      </c>
      <c r="G43" s="59" t="s">
        <v>116</v>
      </c>
    </row>
    <row r="44" spans="3:7">
      <c r="C44" s="303"/>
      <c r="D44" s="6" t="s">
        <v>143</v>
      </c>
      <c r="E44" s="7">
        <v>1</v>
      </c>
      <c r="F44" s="7">
        <v>1</v>
      </c>
      <c r="G44" s="59" t="s">
        <v>116</v>
      </c>
    </row>
    <row r="45" spans="3:7">
      <c r="C45" s="303"/>
      <c r="D45" s="6" t="s">
        <v>144</v>
      </c>
      <c r="E45" s="7">
        <v>0</v>
      </c>
      <c r="F45" s="7">
        <v>1</v>
      </c>
      <c r="G45" s="59" t="s">
        <v>605</v>
      </c>
    </row>
    <row r="46" spans="3:7">
      <c r="C46" s="303"/>
      <c r="D46" s="6" t="s">
        <v>101</v>
      </c>
      <c r="E46" s="7">
        <v>8</v>
      </c>
      <c r="F46" s="7">
        <v>0</v>
      </c>
      <c r="G46" s="59"/>
    </row>
    <row r="47" spans="3:7">
      <c r="C47" s="303" t="s">
        <v>163</v>
      </c>
      <c r="D47" s="6" t="s">
        <v>172</v>
      </c>
      <c r="E47" s="7">
        <v>6</v>
      </c>
      <c r="F47" s="7">
        <v>0</v>
      </c>
      <c r="G47" s="59"/>
    </row>
    <row r="48" spans="3:7">
      <c r="C48" s="303"/>
      <c r="D48" s="6" t="s">
        <v>65</v>
      </c>
      <c r="E48" s="7">
        <v>2</v>
      </c>
      <c r="F48" s="7">
        <v>0</v>
      </c>
      <c r="G48" s="59"/>
    </row>
    <row r="49" spans="3:7">
      <c r="C49" s="303"/>
      <c r="D49" s="6" t="s">
        <v>184</v>
      </c>
      <c r="E49" s="7">
        <v>6</v>
      </c>
      <c r="F49" s="7">
        <v>0</v>
      </c>
      <c r="G49" s="59"/>
    </row>
    <row r="50" spans="3:7">
      <c r="C50" s="303"/>
      <c r="D50" s="6" t="s">
        <v>185</v>
      </c>
      <c r="E50" s="7">
        <v>1</v>
      </c>
      <c r="F50" s="7">
        <v>1</v>
      </c>
      <c r="G50" s="59" t="s">
        <v>488</v>
      </c>
    </row>
    <row r="51" spans="3:7">
      <c r="C51" s="303"/>
      <c r="D51" s="6" t="s">
        <v>74</v>
      </c>
      <c r="E51" s="7">
        <v>3</v>
      </c>
      <c r="F51" s="7">
        <v>0</v>
      </c>
      <c r="G51" s="59"/>
    </row>
    <row r="52" spans="3:7">
      <c r="C52" s="303"/>
      <c r="D52" s="6" t="s">
        <v>175</v>
      </c>
      <c r="E52" s="7">
        <v>1</v>
      </c>
      <c r="F52" s="7">
        <v>0</v>
      </c>
      <c r="G52" s="59"/>
    </row>
    <row r="53" spans="3:7">
      <c r="C53" s="303"/>
      <c r="D53" s="6" t="s">
        <v>183</v>
      </c>
      <c r="E53" s="7">
        <v>2</v>
      </c>
      <c r="F53" s="7">
        <v>0</v>
      </c>
      <c r="G53" s="59"/>
    </row>
    <row r="54" spans="3:7">
      <c r="C54" s="303"/>
      <c r="D54" s="6" t="s">
        <v>72</v>
      </c>
      <c r="E54" s="7">
        <v>3</v>
      </c>
      <c r="F54" s="7">
        <v>0</v>
      </c>
      <c r="G54" s="59"/>
    </row>
    <row r="55" spans="3:7">
      <c r="C55" s="303"/>
      <c r="D55" s="6" t="s">
        <v>70</v>
      </c>
      <c r="E55" s="7">
        <v>6</v>
      </c>
      <c r="F55" s="7">
        <v>0</v>
      </c>
      <c r="G55" s="59"/>
    </row>
    <row r="56" spans="3:7">
      <c r="C56" s="303"/>
      <c r="D56" s="6" t="s">
        <v>73</v>
      </c>
      <c r="E56" s="7">
        <v>3</v>
      </c>
      <c r="F56" s="7">
        <v>0</v>
      </c>
      <c r="G56" s="59"/>
    </row>
    <row r="57" spans="3:7">
      <c r="C57" s="303"/>
      <c r="D57" s="6" t="s">
        <v>147</v>
      </c>
      <c r="E57" s="7">
        <v>1</v>
      </c>
      <c r="F57" s="7">
        <v>0</v>
      </c>
      <c r="G57" s="59"/>
    </row>
    <row r="58" spans="3:7">
      <c r="C58" s="303"/>
      <c r="D58" s="6" t="s">
        <v>139</v>
      </c>
      <c r="E58" s="7">
        <v>1</v>
      </c>
      <c r="F58" s="7">
        <v>0</v>
      </c>
      <c r="G58" s="59"/>
    </row>
    <row r="59" spans="3:7">
      <c r="C59" s="303"/>
      <c r="D59" s="6" t="s">
        <v>180</v>
      </c>
      <c r="E59" s="7">
        <v>3</v>
      </c>
      <c r="F59" s="7">
        <v>0</v>
      </c>
      <c r="G59" s="59"/>
    </row>
    <row r="60" spans="3:7">
      <c r="C60" s="303"/>
      <c r="D60" s="6" t="s">
        <v>99</v>
      </c>
      <c r="E60" s="7">
        <v>33</v>
      </c>
      <c r="F60" s="7">
        <v>0</v>
      </c>
      <c r="G60" s="59"/>
    </row>
    <row r="61" spans="3:7">
      <c r="C61" s="303"/>
      <c r="D61" s="6" t="s">
        <v>76</v>
      </c>
      <c r="E61" s="7">
        <v>4</v>
      </c>
      <c r="F61" s="7">
        <v>0</v>
      </c>
      <c r="G61" s="59"/>
    </row>
    <row r="62" spans="3:7">
      <c r="C62" s="303"/>
      <c r="D62" s="6" t="s">
        <v>188</v>
      </c>
      <c r="E62" s="7">
        <v>1</v>
      </c>
      <c r="F62" s="7">
        <v>0</v>
      </c>
      <c r="G62" s="59"/>
    </row>
    <row r="63" spans="3:7">
      <c r="C63" s="303"/>
      <c r="D63" s="6" t="s">
        <v>75</v>
      </c>
      <c r="E63" s="7">
        <v>5</v>
      </c>
      <c r="F63" s="7">
        <v>0</v>
      </c>
      <c r="G63" s="59"/>
    </row>
    <row r="64" spans="3:7">
      <c r="C64" s="303"/>
      <c r="D64" s="6" t="s">
        <v>176</v>
      </c>
      <c r="E64" s="7">
        <v>3</v>
      </c>
      <c r="F64" s="7">
        <v>0</v>
      </c>
      <c r="G64" s="59"/>
    </row>
    <row r="65" spans="3:7">
      <c r="C65" s="303"/>
      <c r="D65" s="6" t="s">
        <v>174</v>
      </c>
      <c r="E65" s="7">
        <v>1</v>
      </c>
      <c r="F65" s="7">
        <v>0</v>
      </c>
      <c r="G65" s="59"/>
    </row>
    <row r="66" spans="3:7">
      <c r="C66" s="303"/>
      <c r="D66" s="6" t="s">
        <v>170</v>
      </c>
      <c r="E66" s="7">
        <v>1</v>
      </c>
      <c r="F66" s="7">
        <v>0</v>
      </c>
      <c r="G66" s="59"/>
    </row>
    <row r="67" spans="3:7">
      <c r="C67" s="303"/>
      <c r="D67" s="6" t="s">
        <v>193</v>
      </c>
      <c r="E67" s="7">
        <v>1</v>
      </c>
      <c r="F67" s="7">
        <v>0</v>
      </c>
      <c r="G67" s="59"/>
    </row>
    <row r="68" spans="3:7">
      <c r="C68" s="303"/>
      <c r="D68" s="6" t="s">
        <v>186</v>
      </c>
      <c r="E68" s="7">
        <v>0</v>
      </c>
      <c r="F68" s="7">
        <v>0</v>
      </c>
      <c r="G68" s="59"/>
    </row>
    <row r="69" spans="3:7">
      <c r="C69" s="303"/>
      <c r="D69" s="6" t="s">
        <v>179</v>
      </c>
      <c r="E69" s="7">
        <v>3</v>
      </c>
      <c r="F69" s="7">
        <v>0</v>
      </c>
      <c r="G69" s="59"/>
    </row>
    <row r="70" spans="3:7">
      <c r="C70" s="303"/>
      <c r="D70" s="6" t="s">
        <v>165</v>
      </c>
      <c r="E70" s="7">
        <v>4</v>
      </c>
      <c r="F70" s="7">
        <v>0</v>
      </c>
      <c r="G70" s="59"/>
    </row>
    <row r="71" spans="3:7">
      <c r="C71" s="303"/>
      <c r="D71" s="6" t="s">
        <v>168</v>
      </c>
      <c r="E71" s="7">
        <v>1</v>
      </c>
      <c r="F71" s="7">
        <v>0</v>
      </c>
      <c r="G71" s="59"/>
    </row>
    <row r="72" spans="3:7">
      <c r="C72" s="303"/>
      <c r="D72" s="6" t="s">
        <v>181</v>
      </c>
      <c r="E72" s="7">
        <v>3</v>
      </c>
      <c r="F72" s="7">
        <v>0</v>
      </c>
      <c r="G72" s="59"/>
    </row>
    <row r="73" spans="3:7">
      <c r="C73" s="303"/>
      <c r="D73" s="6" t="s">
        <v>162</v>
      </c>
      <c r="E73" s="7">
        <v>2</v>
      </c>
      <c r="F73" s="7">
        <v>0</v>
      </c>
      <c r="G73" s="59"/>
    </row>
    <row r="74" spans="3:7">
      <c r="C74" s="303"/>
      <c r="D74" s="6" t="s">
        <v>61</v>
      </c>
      <c r="E74" s="7">
        <v>3</v>
      </c>
      <c r="F74" s="7">
        <v>1</v>
      </c>
      <c r="G74" s="59" t="s">
        <v>488</v>
      </c>
    </row>
    <row r="75" spans="3:7">
      <c r="C75" s="303"/>
      <c r="D75" s="6" t="s">
        <v>195</v>
      </c>
      <c r="E75" s="7">
        <v>0</v>
      </c>
      <c r="F75" s="7">
        <v>0</v>
      </c>
      <c r="G75" s="59"/>
    </row>
    <row r="76" spans="3:7">
      <c r="C76" s="303"/>
      <c r="D76" s="6" t="s">
        <v>178</v>
      </c>
      <c r="E76" s="7">
        <v>2</v>
      </c>
      <c r="F76" s="7">
        <v>0</v>
      </c>
      <c r="G76" s="59"/>
    </row>
    <row r="77" spans="3:7">
      <c r="C77" s="303"/>
      <c r="D77" s="6" t="s">
        <v>194</v>
      </c>
      <c r="E77" s="7">
        <v>1</v>
      </c>
      <c r="F77" s="7">
        <v>0</v>
      </c>
      <c r="G77" s="59"/>
    </row>
    <row r="78" spans="3:7">
      <c r="C78" s="303"/>
      <c r="D78" s="6" t="s">
        <v>169</v>
      </c>
      <c r="E78" s="7">
        <v>1</v>
      </c>
      <c r="F78" s="7">
        <v>0</v>
      </c>
      <c r="G78" s="59"/>
    </row>
    <row r="79" spans="3:7">
      <c r="C79" s="303"/>
      <c r="D79" s="6" t="s">
        <v>166</v>
      </c>
      <c r="E79" s="7">
        <v>4</v>
      </c>
      <c r="F79" s="7">
        <v>0</v>
      </c>
      <c r="G79" s="59"/>
    </row>
    <row r="80" spans="3:7">
      <c r="C80" s="303"/>
      <c r="D80" s="6" t="s">
        <v>167</v>
      </c>
      <c r="E80" s="7">
        <v>1</v>
      </c>
      <c r="F80" s="7">
        <v>0</v>
      </c>
      <c r="G80" s="59"/>
    </row>
    <row r="81" spans="3:7">
      <c r="C81" s="303"/>
      <c r="D81" s="6" t="s">
        <v>173</v>
      </c>
      <c r="E81" s="7">
        <v>3</v>
      </c>
      <c r="F81" s="7">
        <v>0</v>
      </c>
      <c r="G81" s="59"/>
    </row>
    <row r="82" spans="3:7">
      <c r="C82" s="303"/>
      <c r="D82" s="6" t="s">
        <v>171</v>
      </c>
      <c r="E82" s="7">
        <v>1</v>
      </c>
      <c r="F82" s="7">
        <v>0</v>
      </c>
      <c r="G82" s="59"/>
    </row>
    <row r="83" spans="3:7">
      <c r="C83" s="303"/>
      <c r="D83" s="6" t="s">
        <v>187</v>
      </c>
      <c r="E83" s="7">
        <v>2</v>
      </c>
      <c r="F83" s="7">
        <v>0</v>
      </c>
      <c r="G83" s="59"/>
    </row>
    <row r="84" spans="3:7">
      <c r="C84" s="303" t="s">
        <v>57</v>
      </c>
      <c r="D84" s="6" t="s">
        <v>65</v>
      </c>
      <c r="E84" s="7">
        <v>88</v>
      </c>
      <c r="F84" s="7">
        <v>0</v>
      </c>
      <c r="G84" s="59"/>
    </row>
    <row r="85" spans="3:7">
      <c r="C85" s="303"/>
      <c r="D85" s="6" t="s">
        <v>74</v>
      </c>
      <c r="E85" s="7">
        <v>44</v>
      </c>
      <c r="F85" s="7">
        <v>0</v>
      </c>
      <c r="G85" s="59"/>
    </row>
    <row r="86" spans="3:7">
      <c r="C86" s="303"/>
      <c r="D86" s="6" t="s">
        <v>54</v>
      </c>
      <c r="E86" s="7">
        <v>86</v>
      </c>
      <c r="F86" s="7">
        <v>2</v>
      </c>
      <c r="G86" s="59" t="s">
        <v>606</v>
      </c>
    </row>
    <row r="87" spans="3:7">
      <c r="C87" s="303"/>
      <c r="D87" s="6" t="s">
        <v>72</v>
      </c>
      <c r="E87" s="7">
        <v>22</v>
      </c>
      <c r="F87" s="7">
        <v>0</v>
      </c>
      <c r="G87" s="59"/>
    </row>
    <row r="88" spans="3:7">
      <c r="C88" s="303"/>
      <c r="D88" s="6" t="s">
        <v>70</v>
      </c>
      <c r="E88" s="7">
        <v>44</v>
      </c>
      <c r="F88" s="7">
        <v>0</v>
      </c>
      <c r="G88" s="59"/>
    </row>
    <row r="89" spans="3:7">
      <c r="C89" s="303"/>
      <c r="D89" s="6" t="s">
        <v>59</v>
      </c>
      <c r="E89" s="7">
        <v>88</v>
      </c>
      <c r="F89" s="7">
        <v>0</v>
      </c>
      <c r="G89" s="59"/>
    </row>
    <row r="90" spans="3:7">
      <c r="C90" s="303"/>
      <c r="D90" s="6" t="s">
        <v>77</v>
      </c>
      <c r="E90" s="7">
        <v>11</v>
      </c>
      <c r="F90" s="7">
        <v>0</v>
      </c>
      <c r="G90" s="59"/>
    </row>
    <row r="91" spans="3:7">
      <c r="C91" s="303"/>
      <c r="D91" s="6" t="s">
        <v>73</v>
      </c>
      <c r="E91" s="7">
        <v>19</v>
      </c>
      <c r="F91" s="7">
        <v>0</v>
      </c>
      <c r="G91" s="59"/>
    </row>
    <row r="92" spans="3:7">
      <c r="C92" s="303"/>
      <c r="D92" s="6" t="s">
        <v>79</v>
      </c>
      <c r="E92" s="7">
        <v>32</v>
      </c>
      <c r="F92" s="7">
        <v>1</v>
      </c>
      <c r="G92" s="59" t="s">
        <v>607</v>
      </c>
    </row>
    <row r="93" spans="3:7">
      <c r="C93" s="303"/>
      <c r="D93" s="6" t="s">
        <v>69</v>
      </c>
      <c r="E93" s="7">
        <v>12</v>
      </c>
      <c r="F93" s="7">
        <v>0</v>
      </c>
      <c r="G93" s="59"/>
    </row>
    <row r="94" spans="3:7">
      <c r="C94" s="303"/>
      <c r="D94" s="6" t="s">
        <v>76</v>
      </c>
      <c r="E94" s="7">
        <v>55</v>
      </c>
      <c r="F94" s="7">
        <v>0</v>
      </c>
      <c r="G94" s="59"/>
    </row>
    <row r="95" spans="3:7">
      <c r="C95" s="303"/>
      <c r="D95" s="6" t="s">
        <v>75</v>
      </c>
      <c r="E95" s="7">
        <v>44</v>
      </c>
      <c r="F95" s="7">
        <v>0</v>
      </c>
      <c r="G95" s="59"/>
    </row>
    <row r="96" spans="3:7">
      <c r="C96" s="303"/>
      <c r="D96" s="6" t="s">
        <v>68</v>
      </c>
      <c r="E96" s="7">
        <v>44</v>
      </c>
      <c r="F96" s="7">
        <v>0</v>
      </c>
      <c r="G96" s="59"/>
    </row>
    <row r="97" spans="3:7">
      <c r="C97" s="303"/>
      <c r="D97" s="6" t="s">
        <v>64</v>
      </c>
      <c r="E97" s="7">
        <v>88</v>
      </c>
      <c r="F97" s="7">
        <v>0</v>
      </c>
      <c r="G97" s="59"/>
    </row>
    <row r="98" spans="3:7">
      <c r="C98" s="303"/>
      <c r="D98" s="6" t="s">
        <v>61</v>
      </c>
      <c r="E98" s="7">
        <v>88</v>
      </c>
      <c r="F98" s="7">
        <v>0</v>
      </c>
      <c r="G98" s="59"/>
    </row>
    <row r="99" spans="3:7">
      <c r="C99" s="303" t="s">
        <v>153</v>
      </c>
      <c r="D99" s="6" t="s">
        <v>155</v>
      </c>
      <c r="E99" s="7">
        <v>0</v>
      </c>
      <c r="F99" s="7">
        <v>2</v>
      </c>
      <c r="G99" s="59" t="s">
        <v>135</v>
      </c>
    </row>
    <row r="100" spans="3:7">
      <c r="C100" s="303"/>
      <c r="D100" s="6" t="s">
        <v>161</v>
      </c>
      <c r="E100" s="7">
        <v>6</v>
      </c>
      <c r="F100" s="7">
        <v>0</v>
      </c>
      <c r="G100" s="59"/>
    </row>
    <row r="101" spans="3:7">
      <c r="C101" s="303"/>
      <c r="D101" s="6" t="s">
        <v>156</v>
      </c>
      <c r="E101" s="7">
        <v>15</v>
      </c>
      <c r="F101" s="7">
        <v>0</v>
      </c>
      <c r="G101" s="59"/>
    </row>
    <row r="102" spans="3:7">
      <c r="C102" s="303"/>
      <c r="D102" s="6" t="s">
        <v>157</v>
      </c>
      <c r="E102" s="7">
        <v>0</v>
      </c>
      <c r="F102" s="7">
        <v>4</v>
      </c>
      <c r="G102" s="59" t="s">
        <v>116</v>
      </c>
    </row>
    <row r="103" spans="3:7">
      <c r="C103" s="303"/>
      <c r="D103" s="6" t="s">
        <v>152</v>
      </c>
      <c r="E103" s="7">
        <v>1</v>
      </c>
      <c r="F103" s="7">
        <v>0</v>
      </c>
      <c r="G103" s="59"/>
    </row>
    <row r="104" spans="3:7">
      <c r="C104" s="303"/>
      <c r="D104" s="6" t="s">
        <v>64</v>
      </c>
      <c r="E104" s="7">
        <v>56</v>
      </c>
      <c r="F104" s="7">
        <v>10</v>
      </c>
      <c r="G104" s="59" t="s">
        <v>488</v>
      </c>
    </row>
    <row r="105" spans="3:7">
      <c r="C105" s="303"/>
      <c r="D105" s="6" t="s">
        <v>162</v>
      </c>
      <c r="E105" s="7">
        <v>18</v>
      </c>
      <c r="F105" s="7">
        <v>0</v>
      </c>
      <c r="G105" s="59"/>
    </row>
    <row r="106" spans="3:7">
      <c r="C106" s="303"/>
      <c r="D106" s="6" t="s">
        <v>158</v>
      </c>
      <c r="E106" s="7">
        <v>2</v>
      </c>
      <c r="F106" s="7">
        <v>0</v>
      </c>
      <c r="G106" s="59"/>
    </row>
    <row r="107" spans="3:7">
      <c r="C107" s="303" t="s">
        <v>218</v>
      </c>
      <c r="D107" s="6" t="s">
        <v>217</v>
      </c>
      <c r="E107" s="7">
        <v>3</v>
      </c>
      <c r="F107" s="7">
        <v>0</v>
      </c>
      <c r="G107" s="59"/>
    </row>
    <row r="108" spans="3:7">
      <c r="C108" s="303"/>
      <c r="D108" s="6" t="s">
        <v>220</v>
      </c>
      <c r="E108" s="7">
        <v>2</v>
      </c>
      <c r="F108" s="7">
        <v>0</v>
      </c>
      <c r="G108" s="59"/>
    </row>
    <row r="109" spans="3:7">
      <c r="C109" s="303"/>
      <c r="D109" s="6" t="s">
        <v>223</v>
      </c>
      <c r="E109" s="7">
        <v>2</v>
      </c>
      <c r="F109" s="7">
        <v>0</v>
      </c>
      <c r="G109" s="59"/>
    </row>
    <row r="110" spans="3:7">
      <c r="C110" s="303"/>
      <c r="D110" s="6" t="s">
        <v>222</v>
      </c>
      <c r="E110" s="7">
        <v>1</v>
      </c>
      <c r="F110" s="7">
        <v>0</v>
      </c>
      <c r="G110" s="59"/>
    </row>
    <row r="111" spans="3:7">
      <c r="C111" s="303"/>
      <c r="D111" s="6" t="s">
        <v>224</v>
      </c>
      <c r="E111" s="7">
        <v>3</v>
      </c>
      <c r="F111" s="7">
        <v>0</v>
      </c>
      <c r="G111" s="59"/>
    </row>
    <row r="112" spans="3:7">
      <c r="C112" s="303"/>
      <c r="D112" s="6" t="s">
        <v>221</v>
      </c>
      <c r="E112" s="7">
        <v>3</v>
      </c>
      <c r="F112" s="7">
        <v>0</v>
      </c>
      <c r="G112" s="59"/>
    </row>
    <row r="113" spans="3:7">
      <c r="C113" s="303" t="s">
        <v>197</v>
      </c>
      <c r="D113" s="6" t="s">
        <v>149</v>
      </c>
      <c r="E113" s="7">
        <v>2</v>
      </c>
      <c r="F113" s="7">
        <v>0</v>
      </c>
      <c r="G113" s="59"/>
    </row>
    <row r="114" spans="3:7">
      <c r="C114" s="303"/>
      <c r="D114" s="6" t="s">
        <v>199</v>
      </c>
      <c r="E114" s="7">
        <v>30</v>
      </c>
      <c r="F114" s="7">
        <v>0</v>
      </c>
      <c r="G114" s="59"/>
    </row>
    <row r="115" spans="3:7">
      <c r="C115" s="303"/>
      <c r="D115" s="6" t="s">
        <v>196</v>
      </c>
      <c r="E115" s="7">
        <v>5</v>
      </c>
      <c r="F115" s="7">
        <v>1</v>
      </c>
      <c r="G115" s="59" t="s">
        <v>116</v>
      </c>
    </row>
    <row r="116" spans="3:7">
      <c r="C116" s="303"/>
      <c r="D116" s="6" t="s">
        <v>198</v>
      </c>
      <c r="E116" s="7">
        <v>9</v>
      </c>
      <c r="F116" s="7">
        <v>0</v>
      </c>
      <c r="G116" s="59"/>
    </row>
    <row r="117" spans="3:7">
      <c r="C117" s="303"/>
      <c r="D117" s="6" t="s">
        <v>200</v>
      </c>
      <c r="E117" s="7">
        <v>0</v>
      </c>
      <c r="F117" s="7">
        <v>2</v>
      </c>
      <c r="G117" s="59" t="s">
        <v>608</v>
      </c>
    </row>
    <row r="118" spans="3:7">
      <c r="C118" s="303"/>
      <c r="D118" s="6" t="s">
        <v>202</v>
      </c>
      <c r="E118" s="7">
        <v>2</v>
      </c>
      <c r="F118" s="7">
        <v>0</v>
      </c>
      <c r="G118" s="59"/>
    </row>
    <row r="119" spans="3:7">
      <c r="C119" s="303"/>
      <c r="D119" s="6" t="s">
        <v>110</v>
      </c>
      <c r="E119" s="7">
        <v>20</v>
      </c>
      <c r="F119" s="7">
        <v>0</v>
      </c>
      <c r="G119" s="59"/>
    </row>
    <row r="120" spans="3:7">
      <c r="C120" s="303"/>
      <c r="D120" s="6" t="s">
        <v>203</v>
      </c>
      <c r="E120" s="7">
        <v>23</v>
      </c>
      <c r="F120" s="7">
        <v>0</v>
      </c>
      <c r="G120" s="59"/>
    </row>
    <row r="121" spans="3:7">
      <c r="C121" s="303"/>
      <c r="D121" s="6" t="s">
        <v>204</v>
      </c>
      <c r="E121" s="7">
        <v>4</v>
      </c>
      <c r="F121" s="7">
        <v>8</v>
      </c>
      <c r="G121" s="59" t="s">
        <v>116</v>
      </c>
    </row>
    <row r="122" spans="3:7">
      <c r="C122" s="303"/>
      <c r="D122" s="6" t="s">
        <v>205</v>
      </c>
      <c r="E122" s="7">
        <v>1</v>
      </c>
      <c r="F122" s="7">
        <v>0</v>
      </c>
      <c r="G122" s="59"/>
    </row>
    <row r="123" spans="3:7">
      <c r="C123" s="303"/>
      <c r="D123" s="6" t="s">
        <v>214</v>
      </c>
      <c r="E123" s="7">
        <v>3</v>
      </c>
      <c r="F123" s="7">
        <v>0</v>
      </c>
      <c r="G123" s="59"/>
    </row>
    <row r="124" spans="3:7">
      <c r="C124" s="303"/>
      <c r="D124" s="6" t="s">
        <v>206</v>
      </c>
      <c r="E124" s="7">
        <v>1</v>
      </c>
      <c r="F124" s="7">
        <v>0</v>
      </c>
      <c r="G124" s="59"/>
    </row>
    <row r="125" spans="3:7">
      <c r="C125" s="303"/>
      <c r="D125" s="6" t="s">
        <v>207</v>
      </c>
      <c r="E125" s="7">
        <v>9</v>
      </c>
      <c r="F125" s="7">
        <v>0</v>
      </c>
      <c r="G125" s="59"/>
    </row>
    <row r="126" spans="3:7">
      <c r="C126" s="303"/>
      <c r="D126" s="6" t="s">
        <v>208</v>
      </c>
      <c r="E126" s="7">
        <v>36</v>
      </c>
      <c r="F126" s="7">
        <v>0</v>
      </c>
      <c r="G126" s="59"/>
    </row>
    <row r="127" spans="3:7">
      <c r="C127" s="303"/>
      <c r="D127" s="6" t="s">
        <v>209</v>
      </c>
      <c r="E127" s="7">
        <v>49</v>
      </c>
      <c r="F127" s="7">
        <v>0</v>
      </c>
      <c r="G127" s="59"/>
    </row>
    <row r="128" spans="3:7">
      <c r="C128" s="303"/>
      <c r="D128" s="6" t="s">
        <v>210</v>
      </c>
      <c r="E128" s="7">
        <v>11</v>
      </c>
      <c r="F128" s="7">
        <v>0</v>
      </c>
      <c r="G128" s="59"/>
    </row>
    <row r="129" spans="3:7">
      <c r="C129" s="303"/>
      <c r="D129" s="6" t="s">
        <v>107</v>
      </c>
      <c r="E129" s="7">
        <v>33</v>
      </c>
      <c r="F129" s="7">
        <v>0</v>
      </c>
      <c r="G129" s="59"/>
    </row>
    <row r="130" spans="3:7">
      <c r="C130" s="303"/>
      <c r="D130" s="6" t="s">
        <v>211</v>
      </c>
      <c r="E130" s="7">
        <v>14</v>
      </c>
      <c r="F130" s="7">
        <v>6</v>
      </c>
      <c r="G130" s="59" t="s">
        <v>114</v>
      </c>
    </row>
    <row r="131" spans="3:7">
      <c r="C131" s="303"/>
      <c r="D131" s="6" t="s">
        <v>216</v>
      </c>
      <c r="E131" s="7">
        <v>6</v>
      </c>
      <c r="F131" s="7">
        <v>0</v>
      </c>
      <c r="G131" s="59"/>
    </row>
    <row r="132" spans="3:7">
      <c r="C132" s="303"/>
      <c r="D132" s="6" t="s">
        <v>173</v>
      </c>
      <c r="E132" s="7">
        <v>1</v>
      </c>
      <c r="F132" s="7">
        <v>0</v>
      </c>
      <c r="G132" s="59"/>
    </row>
    <row r="133" spans="3:7">
      <c r="C133" s="303"/>
      <c r="D133" s="6" t="s">
        <v>212</v>
      </c>
      <c r="E133" s="7">
        <v>2</v>
      </c>
      <c r="F133" s="7">
        <v>0</v>
      </c>
      <c r="G133" s="59"/>
    </row>
    <row r="134" spans="3:7">
      <c r="C134" s="303"/>
      <c r="D134" s="6" t="s">
        <v>215</v>
      </c>
      <c r="E134" s="7">
        <v>12</v>
      </c>
      <c r="F134" s="7">
        <v>0</v>
      </c>
      <c r="G134" s="59"/>
    </row>
    <row r="135" spans="3:7">
      <c r="C135" s="303"/>
      <c r="D135" s="6" t="s">
        <v>213</v>
      </c>
      <c r="E135" s="7">
        <v>1</v>
      </c>
      <c r="F135" s="7">
        <v>0</v>
      </c>
      <c r="G135" s="59"/>
    </row>
    <row r="136" spans="3:7">
      <c r="C136" s="60" t="s">
        <v>94</v>
      </c>
      <c r="D136" s="20" t="s">
        <v>93</v>
      </c>
      <c r="E136" s="21">
        <v>6</v>
      </c>
      <c r="F136" s="21">
        <v>0</v>
      </c>
      <c r="G136" s="61"/>
    </row>
    <row r="137" spans="3:7">
      <c r="C137" s="301" t="s">
        <v>609</v>
      </c>
      <c r="D137" s="302"/>
      <c r="E137" s="62">
        <v>1983</v>
      </c>
      <c r="F137" s="62">
        <v>87</v>
      </c>
      <c r="G137" s="63">
        <v>87</v>
      </c>
    </row>
  </sheetData>
  <mergeCells count="7">
    <mergeCell ref="C137:D137"/>
    <mergeCell ref="C4:C46"/>
    <mergeCell ref="C47:C83"/>
    <mergeCell ref="C84:C98"/>
    <mergeCell ref="C99:C106"/>
    <mergeCell ref="C107:C112"/>
    <mergeCell ref="C113:C1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>
      <selection activeCell="H26" sqref="H26"/>
    </sheetView>
  </sheetViews>
  <sheetFormatPr defaultColWidth="9"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N145"/>
  <sheetViews>
    <sheetView zoomScale="85" zoomScaleNormal="85" workbookViewId="0">
      <selection activeCell="H26" sqref="H26"/>
    </sheetView>
  </sheetViews>
  <sheetFormatPr defaultColWidth="9.109375" defaultRowHeight="14.4"/>
  <cols>
    <col min="1" max="1" width="3.109375" customWidth="1"/>
    <col min="2" max="2" width="6.6640625" style="26" customWidth="1"/>
    <col min="3" max="3" width="29.109375" customWidth="1"/>
    <col min="4" max="4" width="12.33203125" style="27" customWidth="1"/>
    <col min="5" max="5" width="7" style="26" customWidth="1"/>
    <col min="6" max="9" width="10.6640625" style="26" customWidth="1"/>
    <col min="10" max="10" width="22.109375" style="26" customWidth="1"/>
    <col min="11" max="11" width="27.88671875" style="26" customWidth="1"/>
    <col min="12" max="12" width="2.44140625" customWidth="1"/>
  </cols>
  <sheetData>
    <row r="1" spans="2:14" ht="39.9" customHeight="1">
      <c r="B1" s="304" t="s">
        <v>610</v>
      </c>
      <c r="C1" s="304"/>
      <c r="D1" s="304"/>
      <c r="E1" s="304"/>
      <c r="F1" s="304"/>
      <c r="G1" s="304"/>
      <c r="H1" s="304"/>
      <c r="I1" s="304"/>
      <c r="J1" s="304"/>
      <c r="K1" s="304"/>
    </row>
    <row r="2" spans="2:14" ht="18.600000000000001" customHeight="1">
      <c r="B2" s="305" t="s">
        <v>611</v>
      </c>
      <c r="C2" s="305"/>
      <c r="D2" s="305"/>
      <c r="E2" s="305"/>
      <c r="F2" s="305"/>
      <c r="G2" s="305"/>
      <c r="H2" s="305"/>
      <c r="I2" s="305"/>
      <c r="J2" s="305"/>
      <c r="K2" s="305"/>
    </row>
    <row r="3" spans="2:14" s="23" customFormat="1" ht="15" customHeight="1">
      <c r="B3" s="316" t="s">
        <v>32</v>
      </c>
      <c r="C3" s="316" t="s">
        <v>530</v>
      </c>
      <c r="D3" s="318" t="s">
        <v>34</v>
      </c>
      <c r="E3" s="316" t="s">
        <v>612</v>
      </c>
      <c r="F3" s="318" t="s">
        <v>532</v>
      </c>
      <c r="G3" s="318" t="s">
        <v>46</v>
      </c>
      <c r="H3" s="306" t="s">
        <v>533</v>
      </c>
      <c r="I3" s="307"/>
      <c r="J3" s="316" t="s">
        <v>50</v>
      </c>
      <c r="K3" s="316" t="s">
        <v>51</v>
      </c>
    </row>
    <row r="4" spans="2:14" s="24" customFormat="1" ht="62.25" customHeight="1">
      <c r="B4" s="317"/>
      <c r="C4" s="317"/>
      <c r="D4" s="319"/>
      <c r="E4" s="317"/>
      <c r="F4" s="319"/>
      <c r="G4" s="319"/>
      <c r="H4" s="28" t="s">
        <v>613</v>
      </c>
      <c r="I4" s="28" t="s">
        <v>614</v>
      </c>
      <c r="J4" s="317"/>
      <c r="K4" s="317"/>
    </row>
    <row r="5" spans="2:14" ht="15" customHeight="1">
      <c r="B5" s="29">
        <v>1</v>
      </c>
      <c r="C5" s="30" t="s">
        <v>615</v>
      </c>
      <c r="D5" s="31">
        <v>2010</v>
      </c>
      <c r="E5" s="29" t="s">
        <v>616</v>
      </c>
      <c r="F5" s="29">
        <v>1</v>
      </c>
      <c r="G5" s="29">
        <v>1</v>
      </c>
      <c r="H5" s="29" t="s">
        <v>617</v>
      </c>
      <c r="I5" s="29" t="s">
        <v>617</v>
      </c>
      <c r="J5" s="29" t="s">
        <v>617</v>
      </c>
      <c r="K5" s="36" t="s">
        <v>617</v>
      </c>
    </row>
    <row r="6" spans="2:14">
      <c r="B6" s="29">
        <f>B5+1</f>
        <v>2</v>
      </c>
      <c r="C6" s="30" t="s">
        <v>618</v>
      </c>
      <c r="D6" s="31">
        <v>2010</v>
      </c>
      <c r="E6" s="29" t="s">
        <v>251</v>
      </c>
      <c r="F6" s="29">
        <v>1</v>
      </c>
      <c r="G6" s="29">
        <v>1</v>
      </c>
      <c r="H6" s="29" t="s">
        <v>617</v>
      </c>
      <c r="I6" s="29" t="s">
        <v>617</v>
      </c>
      <c r="J6" s="29" t="s">
        <v>617</v>
      </c>
      <c r="K6" s="36" t="s">
        <v>617</v>
      </c>
    </row>
    <row r="7" spans="2:14">
      <c r="B7" s="29">
        <f t="shared" ref="B7:B33" si="0">B6+1</f>
        <v>3</v>
      </c>
      <c r="C7" s="30" t="s">
        <v>619</v>
      </c>
      <c r="D7" s="31">
        <v>2010</v>
      </c>
      <c r="E7" s="29" t="s">
        <v>616</v>
      </c>
      <c r="F7" s="29">
        <v>1</v>
      </c>
      <c r="G7" s="29" t="s">
        <v>617</v>
      </c>
      <c r="H7" s="29" t="s">
        <v>617</v>
      </c>
      <c r="I7" s="29">
        <v>1</v>
      </c>
      <c r="J7" s="29" t="s">
        <v>620</v>
      </c>
      <c r="K7" s="29" t="s">
        <v>621</v>
      </c>
    </row>
    <row r="8" spans="2:14">
      <c r="B8" s="29">
        <f t="shared" si="0"/>
        <v>4</v>
      </c>
      <c r="C8" s="30" t="s">
        <v>519</v>
      </c>
      <c r="D8" s="31">
        <v>2010</v>
      </c>
      <c r="E8" s="29" t="s">
        <v>616</v>
      </c>
      <c r="F8" s="29"/>
      <c r="G8" s="29" t="s">
        <v>617</v>
      </c>
      <c r="H8" s="29" t="s">
        <v>617</v>
      </c>
      <c r="I8" s="29"/>
      <c r="J8" s="29" t="s">
        <v>617</v>
      </c>
      <c r="K8" s="29" t="s">
        <v>622</v>
      </c>
      <c r="N8" t="s">
        <v>492</v>
      </c>
    </row>
    <row r="9" spans="2:14">
      <c r="B9" s="29">
        <f t="shared" si="0"/>
        <v>5</v>
      </c>
      <c r="C9" s="30" t="s">
        <v>623</v>
      </c>
      <c r="D9" s="31">
        <v>2010</v>
      </c>
      <c r="E9" s="29" t="s">
        <v>616</v>
      </c>
      <c r="F9" s="29">
        <v>1</v>
      </c>
      <c r="G9" s="29">
        <v>1</v>
      </c>
      <c r="H9" s="29" t="s">
        <v>617</v>
      </c>
      <c r="I9" s="29" t="s">
        <v>617</v>
      </c>
      <c r="J9" s="29" t="s">
        <v>617</v>
      </c>
      <c r="K9" s="36" t="s">
        <v>617</v>
      </c>
      <c r="N9" t="s">
        <v>492</v>
      </c>
    </row>
    <row r="10" spans="2:14">
      <c r="B10" s="29">
        <f t="shared" si="0"/>
        <v>6</v>
      </c>
      <c r="C10" s="30" t="s">
        <v>624</v>
      </c>
      <c r="D10" s="31">
        <v>2010</v>
      </c>
      <c r="E10" s="29" t="s">
        <v>616</v>
      </c>
      <c r="F10" s="29">
        <v>1</v>
      </c>
      <c r="G10" s="29" t="s">
        <v>617</v>
      </c>
      <c r="H10" s="29" t="s">
        <v>617</v>
      </c>
      <c r="I10" s="29">
        <v>1</v>
      </c>
      <c r="J10" s="29" t="s">
        <v>620</v>
      </c>
      <c r="K10" s="29" t="s">
        <v>621</v>
      </c>
    </row>
    <row r="11" spans="2:14">
      <c r="B11" s="29">
        <f t="shared" si="0"/>
        <v>7</v>
      </c>
      <c r="C11" s="30" t="s">
        <v>625</v>
      </c>
      <c r="D11" s="31">
        <v>2010</v>
      </c>
      <c r="E11" s="29" t="s">
        <v>617</v>
      </c>
      <c r="F11" s="29"/>
      <c r="G11" s="29" t="s">
        <v>617</v>
      </c>
      <c r="H11" s="29" t="s">
        <v>617</v>
      </c>
      <c r="I11" s="29" t="s">
        <v>617</v>
      </c>
      <c r="J11" s="29" t="s">
        <v>617</v>
      </c>
      <c r="K11" s="29" t="s">
        <v>622</v>
      </c>
    </row>
    <row r="12" spans="2:14">
      <c r="B12" s="29">
        <f t="shared" si="0"/>
        <v>8</v>
      </c>
      <c r="C12" s="30" t="s">
        <v>626</v>
      </c>
      <c r="D12" s="31">
        <v>2010</v>
      </c>
      <c r="E12" s="29" t="s">
        <v>617</v>
      </c>
      <c r="F12" s="29"/>
      <c r="G12" s="29" t="s">
        <v>617</v>
      </c>
      <c r="H12" s="29" t="s">
        <v>617</v>
      </c>
      <c r="I12" s="29" t="s">
        <v>617</v>
      </c>
      <c r="J12" s="29" t="s">
        <v>620</v>
      </c>
      <c r="K12" s="29" t="s">
        <v>621</v>
      </c>
    </row>
    <row r="13" spans="2:14">
      <c r="B13" s="29">
        <f t="shared" si="0"/>
        <v>9</v>
      </c>
      <c r="C13" s="30" t="s">
        <v>627</v>
      </c>
      <c r="D13" s="31">
        <v>2010</v>
      </c>
      <c r="E13" s="29" t="s">
        <v>251</v>
      </c>
      <c r="F13" s="29">
        <v>1</v>
      </c>
      <c r="G13" s="29">
        <v>1</v>
      </c>
      <c r="H13" s="29" t="s">
        <v>617</v>
      </c>
      <c r="I13" s="29" t="s">
        <v>617</v>
      </c>
      <c r="J13" s="29" t="s">
        <v>617</v>
      </c>
      <c r="K13" s="36"/>
    </row>
    <row r="14" spans="2:14">
      <c r="B14" s="29">
        <f t="shared" si="0"/>
        <v>10</v>
      </c>
      <c r="C14" s="30" t="s">
        <v>628</v>
      </c>
      <c r="D14" s="31">
        <v>2010</v>
      </c>
      <c r="E14" s="29" t="s">
        <v>616</v>
      </c>
      <c r="F14" s="29">
        <v>1</v>
      </c>
      <c r="G14" s="29">
        <v>1</v>
      </c>
      <c r="H14" s="29" t="s">
        <v>617</v>
      </c>
      <c r="I14" s="29" t="s">
        <v>617</v>
      </c>
      <c r="J14" s="29" t="s">
        <v>617</v>
      </c>
      <c r="K14" s="36" t="s">
        <v>617</v>
      </c>
    </row>
    <row r="15" spans="2:14">
      <c r="B15" s="29">
        <f t="shared" si="0"/>
        <v>11</v>
      </c>
      <c r="C15" s="30" t="s">
        <v>629</v>
      </c>
      <c r="D15" s="31">
        <v>2010</v>
      </c>
      <c r="E15" s="29" t="s">
        <v>616</v>
      </c>
      <c r="F15" s="29">
        <v>1</v>
      </c>
      <c r="G15" s="29">
        <v>1</v>
      </c>
      <c r="H15" s="29" t="s">
        <v>617</v>
      </c>
      <c r="I15" s="29" t="s">
        <v>617</v>
      </c>
      <c r="J15" s="29" t="s">
        <v>617</v>
      </c>
      <c r="K15" s="36" t="s">
        <v>617</v>
      </c>
      <c r="M15" t="s">
        <v>492</v>
      </c>
    </row>
    <row r="16" spans="2:14">
      <c r="B16" s="29">
        <f t="shared" si="0"/>
        <v>12</v>
      </c>
      <c r="C16" s="30" t="s">
        <v>630</v>
      </c>
      <c r="D16" s="31">
        <v>2010</v>
      </c>
      <c r="E16" s="29" t="s">
        <v>616</v>
      </c>
      <c r="F16" s="29">
        <v>1</v>
      </c>
      <c r="G16" s="29">
        <v>1</v>
      </c>
      <c r="H16" s="29" t="s">
        <v>617</v>
      </c>
      <c r="I16" s="29" t="s">
        <v>617</v>
      </c>
      <c r="J16" s="29" t="s">
        <v>617</v>
      </c>
      <c r="K16" s="36" t="s">
        <v>617</v>
      </c>
    </row>
    <row r="17" spans="2:11">
      <c r="B17" s="29">
        <f t="shared" si="0"/>
        <v>13</v>
      </c>
      <c r="C17" s="30" t="s">
        <v>631</v>
      </c>
      <c r="D17" s="31">
        <v>2010</v>
      </c>
      <c r="E17" s="29" t="s">
        <v>616</v>
      </c>
      <c r="F17" s="29">
        <v>1</v>
      </c>
      <c r="G17" s="29">
        <v>1</v>
      </c>
      <c r="H17" s="29" t="s">
        <v>617</v>
      </c>
      <c r="I17" s="29" t="s">
        <v>617</v>
      </c>
      <c r="J17" s="29" t="s">
        <v>617</v>
      </c>
      <c r="K17" s="36" t="s">
        <v>617</v>
      </c>
    </row>
    <row r="18" spans="2:11">
      <c r="B18" s="29">
        <f t="shared" si="0"/>
        <v>14</v>
      </c>
      <c r="C18" s="30" t="s">
        <v>632</v>
      </c>
      <c r="D18" s="31">
        <v>2010</v>
      </c>
      <c r="E18" s="29" t="s">
        <v>616</v>
      </c>
      <c r="F18" s="29">
        <v>1</v>
      </c>
      <c r="G18" s="29">
        <v>1</v>
      </c>
      <c r="H18" s="29" t="s">
        <v>617</v>
      </c>
      <c r="I18" s="29" t="s">
        <v>617</v>
      </c>
      <c r="J18" s="29" t="s">
        <v>617</v>
      </c>
      <c r="K18" s="36" t="s">
        <v>617</v>
      </c>
    </row>
    <row r="19" spans="2:11">
      <c r="B19" s="29">
        <f t="shared" si="0"/>
        <v>15</v>
      </c>
      <c r="C19" s="30" t="s">
        <v>633</v>
      </c>
      <c r="D19" s="31"/>
      <c r="E19" s="29" t="s">
        <v>251</v>
      </c>
      <c r="F19" s="29">
        <v>1</v>
      </c>
      <c r="G19" s="29" t="s">
        <v>617</v>
      </c>
      <c r="H19" s="29" t="s">
        <v>617</v>
      </c>
      <c r="I19" s="29">
        <v>1</v>
      </c>
      <c r="J19" s="29" t="s">
        <v>620</v>
      </c>
      <c r="K19" s="29" t="s">
        <v>621</v>
      </c>
    </row>
    <row r="20" spans="2:11">
      <c r="B20" s="29">
        <f t="shared" si="0"/>
        <v>16</v>
      </c>
      <c r="C20" s="30" t="s">
        <v>634</v>
      </c>
      <c r="D20" s="31">
        <v>2010</v>
      </c>
      <c r="E20" s="29" t="s">
        <v>616</v>
      </c>
      <c r="F20" s="29">
        <v>1</v>
      </c>
      <c r="G20" s="29">
        <v>1</v>
      </c>
      <c r="H20" s="29" t="s">
        <v>617</v>
      </c>
      <c r="I20" s="29" t="s">
        <v>617</v>
      </c>
      <c r="J20" s="29" t="s">
        <v>617</v>
      </c>
      <c r="K20" s="29" t="s">
        <v>635</v>
      </c>
    </row>
    <row r="21" spans="2:11">
      <c r="B21" s="29">
        <f t="shared" si="0"/>
        <v>17</v>
      </c>
      <c r="C21" s="30" t="s">
        <v>636</v>
      </c>
      <c r="D21" s="31">
        <v>2010</v>
      </c>
      <c r="E21" s="29" t="s">
        <v>616</v>
      </c>
      <c r="F21" s="29">
        <v>1</v>
      </c>
      <c r="G21" s="29" t="s">
        <v>617</v>
      </c>
      <c r="H21" s="29" t="s">
        <v>617</v>
      </c>
      <c r="I21" s="29">
        <v>1</v>
      </c>
      <c r="J21" s="29" t="s">
        <v>637</v>
      </c>
      <c r="K21" s="36" t="s">
        <v>135</v>
      </c>
    </row>
    <row r="22" spans="2:11">
      <c r="B22" s="29">
        <f t="shared" si="0"/>
        <v>18</v>
      </c>
      <c r="C22" s="30" t="s">
        <v>638</v>
      </c>
      <c r="D22" s="31">
        <v>2010</v>
      </c>
      <c r="E22" s="29" t="s">
        <v>616</v>
      </c>
      <c r="F22" s="29">
        <v>1</v>
      </c>
      <c r="G22" s="29">
        <v>1</v>
      </c>
      <c r="H22" s="29" t="s">
        <v>617</v>
      </c>
      <c r="I22" s="29" t="s">
        <v>617</v>
      </c>
      <c r="J22" s="29" t="s">
        <v>617</v>
      </c>
      <c r="K22" s="36" t="s">
        <v>617</v>
      </c>
    </row>
    <row r="23" spans="2:11">
      <c r="B23" s="29">
        <f t="shared" si="0"/>
        <v>19</v>
      </c>
      <c r="C23" s="30" t="s">
        <v>639</v>
      </c>
      <c r="D23" s="31">
        <v>2010</v>
      </c>
      <c r="E23" s="29" t="s">
        <v>617</v>
      </c>
      <c r="F23" s="29">
        <v>1</v>
      </c>
      <c r="G23" s="29">
        <v>1</v>
      </c>
      <c r="H23" s="29" t="s">
        <v>617</v>
      </c>
      <c r="I23" s="29" t="s">
        <v>617</v>
      </c>
      <c r="J23" s="29" t="s">
        <v>617</v>
      </c>
      <c r="K23" s="36" t="s">
        <v>617</v>
      </c>
    </row>
    <row r="24" spans="2:11">
      <c r="B24" s="29">
        <f t="shared" si="0"/>
        <v>20</v>
      </c>
      <c r="C24" s="30" t="s">
        <v>640</v>
      </c>
      <c r="D24" s="31">
        <v>2010</v>
      </c>
      <c r="E24" s="29" t="s">
        <v>617</v>
      </c>
      <c r="F24" s="29">
        <v>1</v>
      </c>
      <c r="G24" s="29">
        <v>1</v>
      </c>
      <c r="H24" s="29" t="s">
        <v>617</v>
      </c>
      <c r="I24" s="29" t="s">
        <v>617</v>
      </c>
      <c r="J24" s="29" t="s">
        <v>617</v>
      </c>
      <c r="K24" s="36" t="s">
        <v>617</v>
      </c>
    </row>
    <row r="25" spans="2:11">
      <c r="B25" s="29">
        <f t="shared" si="0"/>
        <v>21</v>
      </c>
      <c r="C25" s="30" t="s">
        <v>641</v>
      </c>
      <c r="D25" s="31">
        <v>2010</v>
      </c>
      <c r="E25" s="29" t="s">
        <v>617</v>
      </c>
      <c r="F25" s="29">
        <v>1</v>
      </c>
      <c r="G25" s="29">
        <v>1</v>
      </c>
      <c r="H25" s="29" t="s">
        <v>617</v>
      </c>
      <c r="I25" s="29" t="s">
        <v>617</v>
      </c>
      <c r="J25" s="29" t="s">
        <v>617</v>
      </c>
      <c r="K25" s="36" t="s">
        <v>617</v>
      </c>
    </row>
    <row r="26" spans="2:11">
      <c r="B26" s="29">
        <f t="shared" si="0"/>
        <v>22</v>
      </c>
      <c r="C26" s="30" t="s">
        <v>634</v>
      </c>
      <c r="D26" s="31">
        <v>2010</v>
      </c>
      <c r="E26" s="29" t="s">
        <v>617</v>
      </c>
      <c r="F26" s="29">
        <v>1</v>
      </c>
      <c r="G26" s="29">
        <v>1</v>
      </c>
      <c r="H26" s="29" t="s">
        <v>617</v>
      </c>
      <c r="I26" s="29" t="s">
        <v>617</v>
      </c>
      <c r="J26" s="29" t="s">
        <v>617</v>
      </c>
      <c r="K26" s="36" t="s">
        <v>617</v>
      </c>
    </row>
    <row r="27" spans="2:11">
      <c r="B27" s="29">
        <f t="shared" si="0"/>
        <v>23</v>
      </c>
      <c r="C27" s="30" t="s">
        <v>636</v>
      </c>
      <c r="D27" s="31">
        <v>2010</v>
      </c>
      <c r="E27" s="29" t="s">
        <v>617</v>
      </c>
      <c r="F27" s="29">
        <v>1</v>
      </c>
      <c r="G27" s="29">
        <v>1</v>
      </c>
      <c r="H27" s="29" t="s">
        <v>617</v>
      </c>
      <c r="I27" s="29" t="s">
        <v>617</v>
      </c>
      <c r="J27" s="29" t="s">
        <v>617</v>
      </c>
      <c r="K27" s="36" t="s">
        <v>617</v>
      </c>
    </row>
    <row r="28" spans="2:11">
      <c r="B28" s="29">
        <f t="shared" si="0"/>
        <v>24</v>
      </c>
      <c r="C28" s="30" t="s">
        <v>639</v>
      </c>
      <c r="D28" s="31">
        <v>2010</v>
      </c>
      <c r="E28" s="29" t="s">
        <v>617</v>
      </c>
      <c r="F28" s="29" t="s">
        <v>617</v>
      </c>
      <c r="G28" s="29" t="s">
        <v>617</v>
      </c>
      <c r="H28" s="29" t="s">
        <v>617</v>
      </c>
      <c r="I28" s="29" t="s">
        <v>617</v>
      </c>
      <c r="J28" s="29" t="s">
        <v>617</v>
      </c>
      <c r="K28" s="36" t="s">
        <v>622</v>
      </c>
    </row>
    <row r="29" spans="2:11">
      <c r="B29" s="29">
        <f t="shared" si="0"/>
        <v>25</v>
      </c>
      <c r="C29" s="30" t="s">
        <v>641</v>
      </c>
      <c r="D29" s="31">
        <v>2010</v>
      </c>
      <c r="E29" s="29" t="s">
        <v>617</v>
      </c>
      <c r="F29" s="29" t="s">
        <v>617</v>
      </c>
      <c r="G29" s="29" t="s">
        <v>617</v>
      </c>
      <c r="H29" s="29" t="s">
        <v>617</v>
      </c>
      <c r="I29" s="29" t="s">
        <v>617</v>
      </c>
      <c r="J29" s="29" t="s">
        <v>617</v>
      </c>
      <c r="K29" s="36" t="s">
        <v>622</v>
      </c>
    </row>
    <row r="30" spans="2:11">
      <c r="B30" s="29">
        <f t="shared" si="0"/>
        <v>26</v>
      </c>
      <c r="C30" s="30" t="s">
        <v>642</v>
      </c>
      <c r="D30" s="31"/>
      <c r="E30" s="29" t="s">
        <v>617</v>
      </c>
      <c r="F30" s="29" t="s">
        <v>617</v>
      </c>
      <c r="G30" s="29" t="s">
        <v>617</v>
      </c>
      <c r="H30" s="29" t="s">
        <v>617</v>
      </c>
      <c r="I30" s="29" t="s">
        <v>617</v>
      </c>
      <c r="J30" s="29" t="s">
        <v>617</v>
      </c>
      <c r="K30" s="36" t="s">
        <v>622</v>
      </c>
    </row>
    <row r="31" spans="2:11">
      <c r="B31" s="29">
        <f t="shared" si="0"/>
        <v>27</v>
      </c>
      <c r="C31" s="30" t="s">
        <v>643</v>
      </c>
      <c r="D31" s="31">
        <v>2010</v>
      </c>
      <c r="E31" s="29" t="s">
        <v>617</v>
      </c>
      <c r="F31" s="29">
        <v>1</v>
      </c>
      <c r="G31" s="29">
        <v>1</v>
      </c>
      <c r="H31" s="29" t="s">
        <v>617</v>
      </c>
      <c r="I31" s="29" t="s">
        <v>617</v>
      </c>
      <c r="J31" s="29" t="s">
        <v>617</v>
      </c>
      <c r="K31" s="36" t="s">
        <v>617</v>
      </c>
    </row>
    <row r="32" spans="2:11">
      <c r="B32" s="29">
        <f t="shared" si="0"/>
        <v>28</v>
      </c>
      <c r="C32" s="30" t="s">
        <v>644</v>
      </c>
      <c r="D32" s="31">
        <v>2010</v>
      </c>
      <c r="E32" s="29" t="s">
        <v>617</v>
      </c>
      <c r="F32" s="29">
        <v>1</v>
      </c>
      <c r="G32" s="29">
        <v>1</v>
      </c>
      <c r="H32" s="29" t="s">
        <v>617</v>
      </c>
      <c r="I32" s="29" t="s">
        <v>617</v>
      </c>
      <c r="J32" s="29" t="s">
        <v>617</v>
      </c>
      <c r="K32" s="36"/>
    </row>
    <row r="33" spans="2:13">
      <c r="B33" s="32">
        <f t="shared" si="0"/>
        <v>29</v>
      </c>
      <c r="C33" s="33" t="s">
        <v>645</v>
      </c>
      <c r="D33" s="34">
        <v>2010</v>
      </c>
      <c r="E33" s="32" t="s">
        <v>617</v>
      </c>
      <c r="F33" s="32">
        <v>1</v>
      </c>
      <c r="G33" s="32" t="s">
        <v>617</v>
      </c>
      <c r="H33" s="32" t="s">
        <v>617</v>
      </c>
      <c r="I33" s="32">
        <v>1</v>
      </c>
      <c r="J33" s="32" t="s">
        <v>646</v>
      </c>
      <c r="K33" s="32" t="s">
        <v>135</v>
      </c>
    </row>
    <row r="34" spans="2:13" ht="8.4" customHeight="1"/>
    <row r="35" spans="2:13" ht="46.5" customHeight="1">
      <c r="B35" s="304" t="s">
        <v>610</v>
      </c>
      <c r="C35" s="304"/>
      <c r="D35" s="304"/>
      <c r="E35" s="304"/>
      <c r="F35" s="304"/>
      <c r="G35" s="304"/>
      <c r="H35" s="304"/>
      <c r="I35" s="304"/>
      <c r="J35" s="304"/>
      <c r="K35" s="304"/>
    </row>
    <row r="36" spans="2:13" ht="18.600000000000001" customHeight="1">
      <c r="B36" s="305" t="s">
        <v>647</v>
      </c>
      <c r="C36" s="305"/>
      <c r="D36" s="305"/>
      <c r="E36" s="305"/>
      <c r="F36" s="305"/>
      <c r="G36" s="305"/>
      <c r="H36" s="305"/>
      <c r="I36" s="305"/>
      <c r="J36" s="305"/>
      <c r="K36" s="305"/>
    </row>
    <row r="37" spans="2:13">
      <c r="B37" s="316" t="s">
        <v>32</v>
      </c>
      <c r="C37" s="316" t="s">
        <v>530</v>
      </c>
      <c r="D37" s="318" t="s">
        <v>34</v>
      </c>
      <c r="E37" s="316" t="s">
        <v>612</v>
      </c>
      <c r="F37" s="318" t="s">
        <v>532</v>
      </c>
      <c r="G37" s="318" t="s">
        <v>46</v>
      </c>
      <c r="H37" s="308" t="s">
        <v>533</v>
      </c>
      <c r="I37" s="308"/>
      <c r="J37" s="316" t="s">
        <v>50</v>
      </c>
      <c r="K37" s="316" t="s">
        <v>51</v>
      </c>
    </row>
    <row r="38" spans="2:13" ht="28.8">
      <c r="B38" s="317"/>
      <c r="C38" s="317"/>
      <c r="D38" s="319"/>
      <c r="E38" s="317"/>
      <c r="F38" s="319"/>
      <c r="G38" s="319"/>
      <c r="H38" s="35" t="s">
        <v>613</v>
      </c>
      <c r="I38" s="35" t="s">
        <v>614</v>
      </c>
      <c r="J38" s="317"/>
      <c r="K38" s="317"/>
    </row>
    <row r="39" spans="2:13">
      <c r="B39" s="29">
        <v>1</v>
      </c>
      <c r="C39" s="30" t="s">
        <v>615</v>
      </c>
      <c r="D39" s="30"/>
      <c r="E39" s="29" t="s">
        <v>616</v>
      </c>
      <c r="F39" s="29">
        <v>1</v>
      </c>
      <c r="G39" s="29">
        <v>1</v>
      </c>
      <c r="H39" s="29" t="s">
        <v>617</v>
      </c>
      <c r="I39" s="29" t="s">
        <v>617</v>
      </c>
      <c r="J39" s="29" t="s">
        <v>617</v>
      </c>
      <c r="K39" s="36" t="s">
        <v>617</v>
      </c>
    </row>
    <row r="40" spans="2:13">
      <c r="B40" s="29">
        <f>B39+1</f>
        <v>2</v>
      </c>
      <c r="C40" s="30" t="s">
        <v>618</v>
      </c>
      <c r="D40" s="30"/>
      <c r="E40" s="29" t="s">
        <v>251</v>
      </c>
      <c r="F40" s="29">
        <v>1</v>
      </c>
      <c r="G40" s="29">
        <v>1</v>
      </c>
      <c r="H40" s="29" t="s">
        <v>617</v>
      </c>
      <c r="I40" s="29" t="s">
        <v>617</v>
      </c>
      <c r="J40" s="29" t="s">
        <v>617</v>
      </c>
      <c r="K40" s="36" t="s">
        <v>617</v>
      </c>
    </row>
    <row r="41" spans="2:13">
      <c r="B41" s="29">
        <f t="shared" ref="B41:B67" si="1">B40+1</f>
        <v>3</v>
      </c>
      <c r="C41" s="30" t="s">
        <v>619</v>
      </c>
      <c r="D41" s="30"/>
      <c r="E41" s="29" t="s">
        <v>616</v>
      </c>
      <c r="F41" s="29">
        <v>1</v>
      </c>
      <c r="G41" s="29">
        <v>1</v>
      </c>
      <c r="H41" s="29" t="s">
        <v>617</v>
      </c>
      <c r="I41" s="29" t="s">
        <v>617</v>
      </c>
      <c r="J41" s="29" t="s">
        <v>617</v>
      </c>
      <c r="K41" s="36" t="s">
        <v>617</v>
      </c>
    </row>
    <row r="42" spans="2:13">
      <c r="B42" s="29">
        <f t="shared" si="1"/>
        <v>4</v>
      </c>
      <c r="C42" s="30" t="s">
        <v>519</v>
      </c>
      <c r="D42" s="30"/>
      <c r="E42" s="29" t="s">
        <v>616</v>
      </c>
      <c r="F42" s="29"/>
      <c r="G42" s="29" t="s">
        <v>617</v>
      </c>
      <c r="H42" s="29" t="s">
        <v>617</v>
      </c>
      <c r="I42" s="29" t="s">
        <v>617</v>
      </c>
      <c r="J42" s="29" t="s">
        <v>617</v>
      </c>
      <c r="K42" s="36" t="s">
        <v>617</v>
      </c>
      <c r="M42" s="37"/>
    </row>
    <row r="43" spans="2:13">
      <c r="B43" s="29">
        <f t="shared" si="1"/>
        <v>5</v>
      </c>
      <c r="C43" s="30" t="s">
        <v>623</v>
      </c>
      <c r="D43" s="30"/>
      <c r="E43" s="29" t="s">
        <v>616</v>
      </c>
      <c r="F43" s="29">
        <v>1</v>
      </c>
      <c r="G43" s="29">
        <v>1</v>
      </c>
      <c r="H43" s="29" t="s">
        <v>617</v>
      </c>
      <c r="I43" s="29" t="s">
        <v>617</v>
      </c>
      <c r="J43" s="29" t="s">
        <v>617</v>
      </c>
      <c r="K43" s="36" t="s">
        <v>617</v>
      </c>
    </row>
    <row r="44" spans="2:13">
      <c r="B44" s="29">
        <f t="shared" si="1"/>
        <v>6</v>
      </c>
      <c r="C44" s="30" t="s">
        <v>624</v>
      </c>
      <c r="D44" s="30"/>
      <c r="E44" s="29" t="s">
        <v>616</v>
      </c>
      <c r="F44" s="29">
        <v>1</v>
      </c>
      <c r="G44" s="29">
        <v>1</v>
      </c>
      <c r="H44" s="29" t="s">
        <v>617</v>
      </c>
      <c r="I44" s="29" t="s">
        <v>617</v>
      </c>
      <c r="J44" s="29" t="s">
        <v>617</v>
      </c>
      <c r="K44" s="36" t="s">
        <v>617</v>
      </c>
    </row>
    <row r="45" spans="2:13">
      <c r="B45" s="29">
        <f t="shared" si="1"/>
        <v>7</v>
      </c>
      <c r="C45" s="30" t="s">
        <v>625</v>
      </c>
      <c r="D45" s="30"/>
      <c r="E45" s="29" t="s">
        <v>617</v>
      </c>
      <c r="F45" s="29" t="s">
        <v>617</v>
      </c>
      <c r="G45" s="29" t="s">
        <v>617</v>
      </c>
      <c r="H45" s="29" t="s">
        <v>617</v>
      </c>
      <c r="I45" s="29" t="s">
        <v>617</v>
      </c>
      <c r="J45" s="29" t="s">
        <v>617</v>
      </c>
      <c r="K45" s="36" t="s">
        <v>622</v>
      </c>
    </row>
    <row r="46" spans="2:13">
      <c r="B46" s="29">
        <f t="shared" si="1"/>
        <v>8</v>
      </c>
      <c r="C46" s="30" t="s">
        <v>626</v>
      </c>
      <c r="D46" s="30"/>
      <c r="E46" s="29" t="s">
        <v>616</v>
      </c>
      <c r="F46" s="29">
        <v>1</v>
      </c>
      <c r="G46" s="29">
        <v>1</v>
      </c>
      <c r="H46" s="29" t="s">
        <v>617</v>
      </c>
      <c r="I46" s="29" t="s">
        <v>617</v>
      </c>
      <c r="J46" s="29" t="s">
        <v>617</v>
      </c>
      <c r="K46" s="36" t="s">
        <v>617</v>
      </c>
    </row>
    <row r="47" spans="2:13">
      <c r="B47" s="29">
        <f t="shared" si="1"/>
        <v>9</v>
      </c>
      <c r="C47" s="30" t="s">
        <v>627</v>
      </c>
      <c r="D47" s="30"/>
      <c r="E47" s="29" t="s">
        <v>251</v>
      </c>
      <c r="F47" s="29">
        <v>1</v>
      </c>
      <c r="G47" s="29">
        <v>1</v>
      </c>
      <c r="H47" s="29" t="s">
        <v>617</v>
      </c>
      <c r="I47" s="29" t="s">
        <v>617</v>
      </c>
      <c r="J47" s="29" t="s">
        <v>617</v>
      </c>
      <c r="K47" s="36" t="s">
        <v>617</v>
      </c>
    </row>
    <row r="48" spans="2:13">
      <c r="B48" s="29">
        <f t="shared" si="1"/>
        <v>10</v>
      </c>
      <c r="C48" s="30" t="s">
        <v>628</v>
      </c>
      <c r="D48" s="30"/>
      <c r="E48" s="29" t="s">
        <v>616</v>
      </c>
      <c r="F48" s="29">
        <v>1</v>
      </c>
      <c r="G48" s="29">
        <v>1</v>
      </c>
      <c r="H48" s="29" t="s">
        <v>617</v>
      </c>
      <c r="I48" s="29" t="s">
        <v>617</v>
      </c>
      <c r="J48" s="29" t="s">
        <v>617</v>
      </c>
      <c r="K48" s="36" t="s">
        <v>617</v>
      </c>
    </row>
    <row r="49" spans="2:11">
      <c r="B49" s="29">
        <f t="shared" si="1"/>
        <v>11</v>
      </c>
      <c r="C49" s="30" t="s">
        <v>629</v>
      </c>
      <c r="D49" s="30"/>
      <c r="E49" s="29" t="s">
        <v>616</v>
      </c>
      <c r="F49" s="29">
        <v>1</v>
      </c>
      <c r="G49" s="29">
        <v>1</v>
      </c>
      <c r="H49" s="29" t="s">
        <v>617</v>
      </c>
      <c r="I49" s="29" t="s">
        <v>617</v>
      </c>
      <c r="J49" s="29" t="s">
        <v>617</v>
      </c>
      <c r="K49" s="36" t="s">
        <v>617</v>
      </c>
    </row>
    <row r="50" spans="2:11">
      <c r="B50" s="29">
        <f t="shared" si="1"/>
        <v>12</v>
      </c>
      <c r="C50" s="30" t="s">
        <v>630</v>
      </c>
      <c r="D50" s="30"/>
      <c r="E50" s="29" t="s">
        <v>616</v>
      </c>
      <c r="F50" s="29">
        <v>1</v>
      </c>
      <c r="G50" s="29">
        <v>1</v>
      </c>
      <c r="H50" s="29" t="s">
        <v>617</v>
      </c>
      <c r="I50" s="29" t="s">
        <v>617</v>
      </c>
      <c r="J50" s="29" t="s">
        <v>617</v>
      </c>
      <c r="K50" s="36" t="s">
        <v>617</v>
      </c>
    </row>
    <row r="51" spans="2:11">
      <c r="B51" s="29">
        <f t="shared" si="1"/>
        <v>13</v>
      </c>
      <c r="C51" s="30" t="s">
        <v>631</v>
      </c>
      <c r="D51" s="30"/>
      <c r="E51" s="29" t="s">
        <v>616</v>
      </c>
      <c r="F51" s="29">
        <v>1</v>
      </c>
      <c r="G51" s="29">
        <v>1</v>
      </c>
      <c r="H51" s="29" t="s">
        <v>617</v>
      </c>
      <c r="I51" s="29" t="s">
        <v>617</v>
      </c>
      <c r="J51" s="29" t="s">
        <v>617</v>
      </c>
      <c r="K51" s="36" t="s">
        <v>617</v>
      </c>
    </row>
    <row r="52" spans="2:11">
      <c r="B52" s="29">
        <f t="shared" si="1"/>
        <v>14</v>
      </c>
      <c r="C52" s="30" t="s">
        <v>632</v>
      </c>
      <c r="D52" s="30"/>
      <c r="E52" s="29" t="s">
        <v>616</v>
      </c>
      <c r="F52" s="29">
        <v>1</v>
      </c>
      <c r="G52" s="29">
        <v>1</v>
      </c>
      <c r="H52" s="29" t="s">
        <v>617</v>
      </c>
      <c r="I52" s="29" t="s">
        <v>617</v>
      </c>
      <c r="J52" s="29" t="s">
        <v>617</v>
      </c>
      <c r="K52" s="36" t="s">
        <v>617</v>
      </c>
    </row>
    <row r="53" spans="2:11">
      <c r="B53" s="29">
        <f t="shared" si="1"/>
        <v>15</v>
      </c>
      <c r="C53" s="30" t="s">
        <v>633</v>
      </c>
      <c r="D53" s="30"/>
      <c r="E53" s="29" t="s">
        <v>251</v>
      </c>
      <c r="F53" s="29">
        <v>1</v>
      </c>
      <c r="G53" s="29">
        <v>1</v>
      </c>
      <c r="H53" s="29" t="s">
        <v>617</v>
      </c>
      <c r="I53" s="29" t="s">
        <v>617</v>
      </c>
      <c r="J53" s="29" t="s">
        <v>617</v>
      </c>
      <c r="K53" s="29" t="s">
        <v>617</v>
      </c>
    </row>
    <row r="54" spans="2:11">
      <c r="B54" s="29">
        <f t="shared" si="1"/>
        <v>16</v>
      </c>
      <c r="C54" s="30" t="s">
        <v>634</v>
      </c>
      <c r="D54" s="30"/>
      <c r="E54" s="29" t="s">
        <v>616</v>
      </c>
      <c r="F54" s="29">
        <v>1</v>
      </c>
      <c r="G54" s="29">
        <v>1</v>
      </c>
      <c r="H54" s="29" t="s">
        <v>617</v>
      </c>
      <c r="I54" s="29" t="s">
        <v>617</v>
      </c>
      <c r="J54" s="29" t="s">
        <v>617</v>
      </c>
      <c r="K54" s="29"/>
    </row>
    <row r="55" spans="2:11">
      <c r="B55" s="29">
        <f t="shared" si="1"/>
        <v>17</v>
      </c>
      <c r="C55" s="30" t="s">
        <v>636</v>
      </c>
      <c r="D55" s="30"/>
      <c r="E55" s="29" t="s">
        <v>616</v>
      </c>
      <c r="F55" s="29">
        <v>1</v>
      </c>
      <c r="G55" s="29">
        <v>1</v>
      </c>
      <c r="H55" s="29" t="s">
        <v>617</v>
      </c>
      <c r="I55" s="29" t="s">
        <v>617</v>
      </c>
      <c r="J55" s="29" t="s">
        <v>617</v>
      </c>
      <c r="K55" s="36"/>
    </row>
    <row r="56" spans="2:11">
      <c r="B56" s="29">
        <f t="shared" si="1"/>
        <v>18</v>
      </c>
      <c r="C56" s="30" t="s">
        <v>638</v>
      </c>
      <c r="D56" s="30"/>
      <c r="E56" s="29" t="s">
        <v>616</v>
      </c>
      <c r="F56" s="29">
        <v>1</v>
      </c>
      <c r="G56" s="29">
        <v>1</v>
      </c>
      <c r="H56" s="29" t="s">
        <v>617</v>
      </c>
      <c r="I56" s="29" t="s">
        <v>617</v>
      </c>
      <c r="J56" s="29" t="s">
        <v>617</v>
      </c>
      <c r="K56" s="36" t="s">
        <v>617</v>
      </c>
    </row>
    <row r="57" spans="2:11">
      <c r="B57" s="29">
        <f t="shared" si="1"/>
        <v>19</v>
      </c>
      <c r="C57" s="30" t="s">
        <v>639</v>
      </c>
      <c r="D57" s="30"/>
      <c r="E57" s="29" t="s">
        <v>617</v>
      </c>
      <c r="F57" s="29">
        <v>1</v>
      </c>
      <c r="G57" s="29">
        <v>1</v>
      </c>
      <c r="H57" s="29" t="s">
        <v>617</v>
      </c>
      <c r="I57" s="29" t="s">
        <v>617</v>
      </c>
      <c r="J57" s="29" t="s">
        <v>617</v>
      </c>
      <c r="K57" s="36" t="s">
        <v>617</v>
      </c>
    </row>
    <row r="58" spans="2:11">
      <c r="B58" s="29">
        <f t="shared" si="1"/>
        <v>20</v>
      </c>
      <c r="C58" s="30" t="s">
        <v>640</v>
      </c>
      <c r="D58" s="30"/>
      <c r="E58" s="29" t="s">
        <v>617</v>
      </c>
      <c r="F58" s="29">
        <v>1</v>
      </c>
      <c r="G58" s="29">
        <v>1</v>
      </c>
      <c r="H58" s="29" t="s">
        <v>617</v>
      </c>
      <c r="I58" s="29" t="s">
        <v>617</v>
      </c>
      <c r="J58" s="29" t="s">
        <v>617</v>
      </c>
      <c r="K58" s="36" t="s">
        <v>617</v>
      </c>
    </row>
    <row r="59" spans="2:11">
      <c r="B59" s="29">
        <f t="shared" si="1"/>
        <v>21</v>
      </c>
      <c r="C59" s="30" t="s">
        <v>641</v>
      </c>
      <c r="D59" s="30"/>
      <c r="E59" s="29" t="s">
        <v>617</v>
      </c>
      <c r="F59" s="29">
        <v>1</v>
      </c>
      <c r="G59" s="29">
        <v>1</v>
      </c>
      <c r="H59" s="29" t="s">
        <v>617</v>
      </c>
      <c r="I59" s="29" t="s">
        <v>617</v>
      </c>
      <c r="J59" s="29" t="s">
        <v>617</v>
      </c>
      <c r="K59" s="36" t="s">
        <v>617</v>
      </c>
    </row>
    <row r="60" spans="2:11">
      <c r="B60" s="29">
        <f t="shared" si="1"/>
        <v>22</v>
      </c>
      <c r="C60" s="30" t="s">
        <v>634</v>
      </c>
      <c r="D60" s="30"/>
      <c r="E60" s="29" t="s">
        <v>617</v>
      </c>
      <c r="F60" s="29">
        <v>1</v>
      </c>
      <c r="G60" s="29">
        <v>1</v>
      </c>
      <c r="H60" s="29" t="s">
        <v>617</v>
      </c>
      <c r="I60" s="29" t="s">
        <v>617</v>
      </c>
      <c r="J60" s="29" t="s">
        <v>617</v>
      </c>
      <c r="K60" s="36" t="s">
        <v>617</v>
      </c>
    </row>
    <row r="61" spans="2:11">
      <c r="B61" s="29">
        <f t="shared" si="1"/>
        <v>23</v>
      </c>
      <c r="C61" s="30" t="s">
        <v>636</v>
      </c>
      <c r="D61" s="30"/>
      <c r="E61" s="29" t="s">
        <v>617</v>
      </c>
      <c r="F61" s="29">
        <v>1</v>
      </c>
      <c r="G61" s="29">
        <v>1</v>
      </c>
      <c r="H61" s="29" t="s">
        <v>617</v>
      </c>
      <c r="I61" s="29" t="s">
        <v>617</v>
      </c>
      <c r="J61" s="29" t="s">
        <v>617</v>
      </c>
      <c r="K61" s="36" t="s">
        <v>617</v>
      </c>
    </row>
    <row r="62" spans="2:11">
      <c r="B62" s="29">
        <f t="shared" si="1"/>
        <v>24</v>
      </c>
      <c r="C62" s="30" t="s">
        <v>639</v>
      </c>
      <c r="D62" s="30"/>
      <c r="E62" s="29" t="s">
        <v>617</v>
      </c>
      <c r="F62" s="29">
        <v>1</v>
      </c>
      <c r="G62" s="29">
        <v>1</v>
      </c>
      <c r="H62" s="29" t="s">
        <v>617</v>
      </c>
      <c r="I62" s="29" t="s">
        <v>617</v>
      </c>
      <c r="J62" s="29" t="s">
        <v>617</v>
      </c>
      <c r="K62" s="36"/>
    </row>
    <row r="63" spans="2:11">
      <c r="B63" s="29">
        <f t="shared" si="1"/>
        <v>25</v>
      </c>
      <c r="C63" s="30" t="s">
        <v>641</v>
      </c>
      <c r="D63" s="30"/>
      <c r="E63" s="29" t="s">
        <v>617</v>
      </c>
      <c r="F63" s="29" t="s">
        <v>617</v>
      </c>
      <c r="G63" s="29" t="s">
        <v>617</v>
      </c>
      <c r="H63" s="29" t="s">
        <v>617</v>
      </c>
      <c r="I63" s="29" t="s">
        <v>617</v>
      </c>
      <c r="J63" s="29"/>
      <c r="K63" s="29"/>
    </row>
    <row r="64" spans="2:11">
      <c r="B64" s="29">
        <f t="shared" si="1"/>
        <v>26</v>
      </c>
      <c r="C64" s="30" t="s">
        <v>642</v>
      </c>
      <c r="D64" s="30"/>
      <c r="E64" s="29" t="s">
        <v>617</v>
      </c>
      <c r="F64" s="29" t="s">
        <v>617</v>
      </c>
      <c r="G64" s="29" t="s">
        <v>617</v>
      </c>
      <c r="H64" s="29" t="s">
        <v>617</v>
      </c>
      <c r="I64" s="29" t="s">
        <v>617</v>
      </c>
      <c r="J64" s="29" t="s">
        <v>617</v>
      </c>
      <c r="K64" s="36" t="s">
        <v>622</v>
      </c>
    </row>
    <row r="65" spans="2:14">
      <c r="B65" s="29">
        <f t="shared" si="1"/>
        <v>27</v>
      </c>
      <c r="C65" s="30" t="s">
        <v>643</v>
      </c>
      <c r="D65" s="30"/>
      <c r="E65" s="29" t="s">
        <v>617</v>
      </c>
      <c r="F65" s="29">
        <v>1</v>
      </c>
      <c r="G65" s="29">
        <v>1</v>
      </c>
      <c r="H65" s="29" t="s">
        <v>617</v>
      </c>
      <c r="I65" s="29" t="s">
        <v>617</v>
      </c>
      <c r="J65" s="29" t="s">
        <v>617</v>
      </c>
      <c r="K65" s="36" t="s">
        <v>617</v>
      </c>
    </row>
    <row r="66" spans="2:14">
      <c r="B66" s="29">
        <f t="shared" si="1"/>
        <v>28</v>
      </c>
      <c r="C66" s="30" t="s">
        <v>644</v>
      </c>
      <c r="D66" s="30"/>
      <c r="E66" s="29" t="s">
        <v>617</v>
      </c>
      <c r="F66" s="29">
        <v>1</v>
      </c>
      <c r="G66" s="29">
        <v>1</v>
      </c>
      <c r="H66" s="29" t="s">
        <v>617</v>
      </c>
      <c r="I66" s="29" t="s">
        <v>617</v>
      </c>
      <c r="J66" s="29" t="s">
        <v>617</v>
      </c>
      <c r="K66" s="36"/>
    </row>
    <row r="67" spans="2:14">
      <c r="B67" s="32">
        <f t="shared" si="1"/>
        <v>29</v>
      </c>
      <c r="C67" s="33" t="s">
        <v>645</v>
      </c>
      <c r="D67" s="33"/>
      <c r="E67" s="32" t="s">
        <v>617</v>
      </c>
      <c r="F67" s="32">
        <v>1</v>
      </c>
      <c r="G67" s="32">
        <v>1</v>
      </c>
      <c r="H67" s="32" t="s">
        <v>617</v>
      </c>
      <c r="I67" s="32" t="s">
        <v>617</v>
      </c>
      <c r="J67" s="32"/>
      <c r="K67" s="32"/>
    </row>
    <row r="69" spans="2:14" ht="46.5" customHeight="1">
      <c r="B69" s="304" t="s">
        <v>610</v>
      </c>
      <c r="C69" s="304"/>
      <c r="D69" s="304"/>
      <c r="E69" s="304"/>
      <c r="F69" s="304"/>
      <c r="G69" s="304"/>
      <c r="H69" s="304"/>
      <c r="I69" s="304"/>
      <c r="J69" s="304"/>
      <c r="K69" s="304"/>
    </row>
    <row r="70" spans="2:14" ht="18.600000000000001" customHeight="1">
      <c r="B70" s="305" t="s">
        <v>648</v>
      </c>
      <c r="C70" s="305"/>
      <c r="D70" s="305"/>
      <c r="E70" s="305"/>
      <c r="F70" s="305"/>
      <c r="G70" s="305"/>
      <c r="H70" s="305"/>
      <c r="I70" s="305"/>
      <c r="J70" s="305"/>
      <c r="K70" s="305"/>
    </row>
    <row r="71" spans="2:14">
      <c r="B71" s="316" t="s">
        <v>32</v>
      </c>
      <c r="C71" s="316" t="s">
        <v>530</v>
      </c>
      <c r="D71" s="318" t="s">
        <v>34</v>
      </c>
      <c r="E71" s="316" t="s">
        <v>612</v>
      </c>
      <c r="F71" s="318" t="s">
        <v>532</v>
      </c>
      <c r="G71" s="318" t="s">
        <v>46</v>
      </c>
      <c r="H71" s="308" t="s">
        <v>533</v>
      </c>
      <c r="I71" s="308"/>
      <c r="J71" s="316" t="s">
        <v>50</v>
      </c>
      <c r="K71" s="316" t="s">
        <v>51</v>
      </c>
    </row>
    <row r="72" spans="2:14" ht="28.8">
      <c r="B72" s="317"/>
      <c r="C72" s="317"/>
      <c r="D72" s="319"/>
      <c r="E72" s="317"/>
      <c r="F72" s="319"/>
      <c r="G72" s="319"/>
      <c r="H72" s="38" t="s">
        <v>613</v>
      </c>
      <c r="I72" s="38" t="s">
        <v>614</v>
      </c>
      <c r="J72" s="317"/>
      <c r="K72" s="317"/>
    </row>
    <row r="73" spans="2:14">
      <c r="B73" s="29">
        <v>1</v>
      </c>
      <c r="C73" s="30" t="s">
        <v>615</v>
      </c>
      <c r="D73" s="30"/>
      <c r="E73" s="29" t="s">
        <v>616</v>
      </c>
      <c r="F73" s="29">
        <v>1</v>
      </c>
      <c r="G73" s="29">
        <v>1</v>
      </c>
      <c r="H73" s="29" t="s">
        <v>617</v>
      </c>
      <c r="I73" s="29" t="s">
        <v>617</v>
      </c>
      <c r="J73" s="29" t="s">
        <v>617</v>
      </c>
      <c r="K73" s="36" t="s">
        <v>617</v>
      </c>
    </row>
    <row r="74" spans="2:14">
      <c r="B74" s="29">
        <f>B73+1</f>
        <v>2</v>
      </c>
      <c r="C74" s="30" t="s">
        <v>618</v>
      </c>
      <c r="D74" s="30"/>
      <c r="E74" s="29" t="s">
        <v>251</v>
      </c>
      <c r="F74" s="29">
        <v>1</v>
      </c>
      <c r="G74" s="29">
        <v>1</v>
      </c>
      <c r="H74" s="29" t="s">
        <v>617</v>
      </c>
      <c r="I74" s="29" t="s">
        <v>617</v>
      </c>
      <c r="J74" s="29" t="s">
        <v>617</v>
      </c>
      <c r="K74" s="36" t="s">
        <v>617</v>
      </c>
    </row>
    <row r="75" spans="2:14">
      <c r="B75" s="29">
        <f t="shared" ref="B75:B101" si="2">B74+1</f>
        <v>3</v>
      </c>
      <c r="C75" s="30" t="s">
        <v>619</v>
      </c>
      <c r="D75" s="30"/>
      <c r="E75" s="29" t="s">
        <v>616</v>
      </c>
      <c r="F75" s="29">
        <v>1</v>
      </c>
      <c r="G75" s="29">
        <v>1</v>
      </c>
      <c r="H75" s="29" t="s">
        <v>617</v>
      </c>
      <c r="I75" s="29" t="s">
        <v>617</v>
      </c>
      <c r="J75" s="29" t="s">
        <v>617</v>
      </c>
      <c r="K75" s="36" t="s">
        <v>617</v>
      </c>
      <c r="N75" s="39" t="s">
        <v>648</v>
      </c>
    </row>
    <row r="76" spans="2:14">
      <c r="B76" s="29">
        <f t="shared" si="2"/>
        <v>4</v>
      </c>
      <c r="C76" s="30" t="s">
        <v>519</v>
      </c>
      <c r="D76" s="30"/>
      <c r="E76" s="29" t="s">
        <v>616</v>
      </c>
      <c r="F76" s="29"/>
      <c r="G76" s="29" t="s">
        <v>617</v>
      </c>
      <c r="H76" s="29" t="s">
        <v>617</v>
      </c>
      <c r="I76" s="29" t="s">
        <v>617</v>
      </c>
      <c r="J76" s="29" t="s">
        <v>617</v>
      </c>
      <c r="K76" s="36" t="s">
        <v>617</v>
      </c>
    </row>
    <row r="77" spans="2:14">
      <c r="B77" s="29">
        <f t="shared" si="2"/>
        <v>5</v>
      </c>
      <c r="C77" s="30" t="s">
        <v>623</v>
      </c>
      <c r="D77" s="30"/>
      <c r="E77" s="29" t="s">
        <v>616</v>
      </c>
      <c r="F77" s="29">
        <v>1</v>
      </c>
      <c r="G77" s="29">
        <v>1</v>
      </c>
      <c r="H77" s="29" t="s">
        <v>617</v>
      </c>
      <c r="I77" s="29" t="s">
        <v>617</v>
      </c>
      <c r="J77" s="29" t="s">
        <v>617</v>
      </c>
      <c r="K77" s="36" t="s">
        <v>617</v>
      </c>
    </row>
    <row r="78" spans="2:14">
      <c r="B78" s="29">
        <f t="shared" si="2"/>
        <v>6</v>
      </c>
      <c r="C78" s="30" t="s">
        <v>624</v>
      </c>
      <c r="D78" s="30"/>
      <c r="E78" s="29" t="s">
        <v>616</v>
      </c>
      <c r="F78" s="29">
        <v>1</v>
      </c>
      <c r="G78" s="29">
        <v>1</v>
      </c>
      <c r="H78" s="29" t="s">
        <v>617</v>
      </c>
      <c r="I78" s="29" t="s">
        <v>617</v>
      </c>
      <c r="J78" s="29" t="s">
        <v>617</v>
      </c>
      <c r="K78" s="36" t="s">
        <v>617</v>
      </c>
    </row>
    <row r="79" spans="2:14">
      <c r="B79" s="29">
        <f t="shared" si="2"/>
        <v>7</v>
      </c>
      <c r="C79" s="30" t="s">
        <v>625</v>
      </c>
      <c r="D79" s="30"/>
      <c r="E79" s="29" t="s">
        <v>617</v>
      </c>
      <c r="F79" s="29" t="s">
        <v>617</v>
      </c>
      <c r="G79" s="29" t="s">
        <v>617</v>
      </c>
      <c r="H79" s="29" t="s">
        <v>617</v>
      </c>
      <c r="I79" s="29" t="s">
        <v>617</v>
      </c>
      <c r="J79" s="29" t="s">
        <v>617</v>
      </c>
      <c r="K79" s="36" t="s">
        <v>622</v>
      </c>
    </row>
    <row r="80" spans="2:14">
      <c r="B80" s="29">
        <f t="shared" si="2"/>
        <v>8</v>
      </c>
      <c r="C80" s="30" t="s">
        <v>626</v>
      </c>
      <c r="D80" s="30"/>
      <c r="E80" s="29" t="s">
        <v>616</v>
      </c>
      <c r="F80" s="29">
        <v>1</v>
      </c>
      <c r="G80" s="29">
        <v>1</v>
      </c>
      <c r="H80" s="29" t="s">
        <v>617</v>
      </c>
      <c r="I80" s="29" t="s">
        <v>617</v>
      </c>
      <c r="J80" s="29" t="s">
        <v>617</v>
      </c>
      <c r="K80" s="36" t="s">
        <v>617</v>
      </c>
    </row>
    <row r="81" spans="2:11">
      <c r="B81" s="29">
        <f t="shared" si="2"/>
        <v>9</v>
      </c>
      <c r="C81" s="30" t="s">
        <v>627</v>
      </c>
      <c r="D81" s="30"/>
      <c r="E81" s="29" t="s">
        <v>251</v>
      </c>
      <c r="F81" s="29">
        <v>1</v>
      </c>
      <c r="G81" s="29">
        <v>1</v>
      </c>
      <c r="H81" s="29" t="s">
        <v>617</v>
      </c>
      <c r="I81" s="29" t="s">
        <v>617</v>
      </c>
      <c r="J81" s="29" t="s">
        <v>617</v>
      </c>
      <c r="K81" s="36" t="s">
        <v>617</v>
      </c>
    </row>
    <row r="82" spans="2:11">
      <c r="B82" s="29">
        <f t="shared" si="2"/>
        <v>10</v>
      </c>
      <c r="C82" s="30" t="s">
        <v>628</v>
      </c>
      <c r="D82" s="30"/>
      <c r="E82" s="29" t="s">
        <v>616</v>
      </c>
      <c r="F82" s="29">
        <v>1</v>
      </c>
      <c r="G82" s="29">
        <v>1</v>
      </c>
      <c r="H82" s="29" t="s">
        <v>617</v>
      </c>
      <c r="I82" s="29" t="s">
        <v>617</v>
      </c>
      <c r="J82" s="29" t="s">
        <v>617</v>
      </c>
      <c r="K82" s="36" t="s">
        <v>617</v>
      </c>
    </row>
    <row r="83" spans="2:11">
      <c r="B83" s="29">
        <f t="shared" si="2"/>
        <v>11</v>
      </c>
      <c r="C83" s="30" t="s">
        <v>629</v>
      </c>
      <c r="D83" s="30"/>
      <c r="E83" s="29" t="s">
        <v>616</v>
      </c>
      <c r="F83" s="29">
        <v>1</v>
      </c>
      <c r="G83" s="29">
        <v>1</v>
      </c>
      <c r="H83" s="29" t="s">
        <v>617</v>
      </c>
      <c r="I83" s="29" t="s">
        <v>617</v>
      </c>
      <c r="J83" s="29" t="s">
        <v>617</v>
      </c>
      <c r="K83" s="36" t="s">
        <v>617</v>
      </c>
    </row>
    <row r="84" spans="2:11">
      <c r="B84" s="29">
        <f t="shared" si="2"/>
        <v>12</v>
      </c>
      <c r="C84" s="30" t="s">
        <v>630</v>
      </c>
      <c r="D84" s="30"/>
      <c r="E84" s="29" t="s">
        <v>616</v>
      </c>
      <c r="F84" s="29">
        <v>1</v>
      </c>
      <c r="G84" s="29">
        <v>1</v>
      </c>
      <c r="H84" s="29" t="s">
        <v>617</v>
      </c>
      <c r="I84" s="29" t="s">
        <v>617</v>
      </c>
      <c r="J84" s="29" t="s">
        <v>617</v>
      </c>
      <c r="K84" s="36" t="s">
        <v>617</v>
      </c>
    </row>
    <row r="85" spans="2:11">
      <c r="B85" s="29">
        <f t="shared" si="2"/>
        <v>13</v>
      </c>
      <c r="C85" s="30" t="s">
        <v>631</v>
      </c>
      <c r="D85" s="30"/>
      <c r="E85" s="29" t="s">
        <v>616</v>
      </c>
      <c r="F85" s="29">
        <v>1</v>
      </c>
      <c r="G85" s="29">
        <v>1</v>
      </c>
      <c r="H85" s="29" t="s">
        <v>617</v>
      </c>
      <c r="I85" s="29" t="s">
        <v>617</v>
      </c>
      <c r="J85" s="29" t="s">
        <v>617</v>
      </c>
      <c r="K85" s="36" t="s">
        <v>617</v>
      </c>
    </row>
    <row r="86" spans="2:11">
      <c r="B86" s="29">
        <f t="shared" si="2"/>
        <v>14</v>
      </c>
      <c r="C86" s="30" t="s">
        <v>632</v>
      </c>
      <c r="D86" s="30"/>
      <c r="E86" s="29" t="s">
        <v>616</v>
      </c>
      <c r="F86" s="29">
        <v>1</v>
      </c>
      <c r="G86" s="29">
        <v>1</v>
      </c>
      <c r="H86" s="29" t="s">
        <v>617</v>
      </c>
      <c r="I86" s="29" t="s">
        <v>617</v>
      </c>
      <c r="J86" s="29" t="s">
        <v>617</v>
      </c>
      <c r="K86" s="36" t="s">
        <v>617</v>
      </c>
    </row>
    <row r="87" spans="2:11">
      <c r="B87" s="29">
        <f t="shared" si="2"/>
        <v>15</v>
      </c>
      <c r="C87" s="30" t="s">
        <v>633</v>
      </c>
      <c r="D87" s="30"/>
      <c r="E87" s="29" t="s">
        <v>251</v>
      </c>
      <c r="F87" s="29">
        <v>1</v>
      </c>
      <c r="G87" s="29">
        <v>1</v>
      </c>
      <c r="H87" s="29" t="s">
        <v>617</v>
      </c>
      <c r="I87" s="29" t="s">
        <v>617</v>
      </c>
      <c r="J87" s="29" t="s">
        <v>617</v>
      </c>
      <c r="K87" s="29" t="s">
        <v>617</v>
      </c>
    </row>
    <row r="88" spans="2:11">
      <c r="B88" s="29">
        <f t="shared" si="2"/>
        <v>16</v>
      </c>
      <c r="C88" s="30" t="s">
        <v>634</v>
      </c>
      <c r="D88" s="30"/>
      <c r="E88" s="29" t="s">
        <v>616</v>
      </c>
      <c r="F88" s="29">
        <v>1</v>
      </c>
      <c r="G88" s="29">
        <v>1</v>
      </c>
      <c r="H88" s="29" t="s">
        <v>617</v>
      </c>
      <c r="I88" s="29" t="s">
        <v>617</v>
      </c>
      <c r="J88" s="29" t="s">
        <v>617</v>
      </c>
      <c r="K88" s="29"/>
    </row>
    <row r="89" spans="2:11">
      <c r="B89" s="29">
        <f t="shared" si="2"/>
        <v>17</v>
      </c>
      <c r="C89" s="30" t="s">
        <v>636</v>
      </c>
      <c r="D89" s="30"/>
      <c r="E89" s="29" t="s">
        <v>616</v>
      </c>
      <c r="F89" s="29">
        <v>1</v>
      </c>
      <c r="G89" s="29">
        <v>1</v>
      </c>
      <c r="H89" s="29" t="s">
        <v>617</v>
      </c>
      <c r="I89" s="29" t="s">
        <v>617</v>
      </c>
      <c r="J89" s="29" t="s">
        <v>617</v>
      </c>
      <c r="K89" s="36"/>
    </row>
    <row r="90" spans="2:11">
      <c r="B90" s="29">
        <f t="shared" si="2"/>
        <v>18</v>
      </c>
      <c r="C90" s="30" t="s">
        <v>638</v>
      </c>
      <c r="D90" s="30"/>
      <c r="E90" s="29" t="s">
        <v>616</v>
      </c>
      <c r="F90" s="29">
        <v>1</v>
      </c>
      <c r="G90" s="29">
        <v>1</v>
      </c>
      <c r="H90" s="29" t="s">
        <v>617</v>
      </c>
      <c r="I90" s="29" t="s">
        <v>617</v>
      </c>
      <c r="J90" s="29" t="s">
        <v>617</v>
      </c>
      <c r="K90" s="36" t="s">
        <v>617</v>
      </c>
    </row>
    <row r="91" spans="2:11">
      <c r="B91" s="29">
        <f t="shared" si="2"/>
        <v>19</v>
      </c>
      <c r="C91" s="30" t="s">
        <v>639</v>
      </c>
      <c r="D91" s="30"/>
      <c r="E91" s="29" t="s">
        <v>617</v>
      </c>
      <c r="F91" s="29">
        <v>1</v>
      </c>
      <c r="G91" s="29">
        <v>1</v>
      </c>
      <c r="H91" s="29" t="s">
        <v>617</v>
      </c>
      <c r="I91" s="29" t="s">
        <v>617</v>
      </c>
      <c r="J91" s="29" t="s">
        <v>617</v>
      </c>
      <c r="K91" s="36" t="s">
        <v>617</v>
      </c>
    </row>
    <row r="92" spans="2:11">
      <c r="B92" s="29">
        <f t="shared" si="2"/>
        <v>20</v>
      </c>
      <c r="C92" s="30" t="s">
        <v>640</v>
      </c>
      <c r="D92" s="30"/>
      <c r="E92" s="29" t="s">
        <v>617</v>
      </c>
      <c r="F92" s="29">
        <v>1</v>
      </c>
      <c r="G92" s="29">
        <v>1</v>
      </c>
      <c r="H92" s="29" t="s">
        <v>617</v>
      </c>
      <c r="I92" s="29" t="s">
        <v>617</v>
      </c>
      <c r="J92" s="29" t="s">
        <v>617</v>
      </c>
      <c r="K92" s="36" t="s">
        <v>617</v>
      </c>
    </row>
    <row r="93" spans="2:11">
      <c r="B93" s="29">
        <f t="shared" si="2"/>
        <v>21</v>
      </c>
      <c r="C93" s="30" t="s">
        <v>641</v>
      </c>
      <c r="D93" s="30"/>
      <c r="E93" s="29" t="s">
        <v>617</v>
      </c>
      <c r="F93" s="29">
        <v>1</v>
      </c>
      <c r="G93" s="29">
        <v>1</v>
      </c>
      <c r="H93" s="29" t="s">
        <v>617</v>
      </c>
      <c r="I93" s="29" t="s">
        <v>617</v>
      </c>
      <c r="J93" s="29" t="s">
        <v>617</v>
      </c>
      <c r="K93" s="36" t="s">
        <v>617</v>
      </c>
    </row>
    <row r="94" spans="2:11">
      <c r="B94" s="29">
        <f t="shared" si="2"/>
        <v>22</v>
      </c>
      <c r="C94" s="30" t="s">
        <v>634</v>
      </c>
      <c r="D94" s="30"/>
      <c r="E94" s="29" t="s">
        <v>617</v>
      </c>
      <c r="F94" s="29">
        <v>1</v>
      </c>
      <c r="G94" s="29">
        <v>1</v>
      </c>
      <c r="H94" s="29" t="s">
        <v>617</v>
      </c>
      <c r="I94" s="29" t="s">
        <v>617</v>
      </c>
      <c r="J94" s="29" t="s">
        <v>617</v>
      </c>
      <c r="K94" s="36" t="s">
        <v>617</v>
      </c>
    </row>
    <row r="95" spans="2:11">
      <c r="B95" s="29">
        <f t="shared" si="2"/>
        <v>23</v>
      </c>
      <c r="C95" s="30" t="s">
        <v>636</v>
      </c>
      <c r="D95" s="30"/>
      <c r="E95" s="29" t="s">
        <v>617</v>
      </c>
      <c r="F95" s="29">
        <v>1</v>
      </c>
      <c r="G95" s="29">
        <v>1</v>
      </c>
      <c r="H95" s="29" t="s">
        <v>617</v>
      </c>
      <c r="I95" s="29" t="s">
        <v>617</v>
      </c>
      <c r="J95" s="29" t="s">
        <v>617</v>
      </c>
      <c r="K95" s="36" t="s">
        <v>617</v>
      </c>
    </row>
    <row r="96" spans="2:11">
      <c r="B96" s="29">
        <f t="shared" si="2"/>
        <v>24</v>
      </c>
      <c r="C96" s="30" t="s">
        <v>639</v>
      </c>
      <c r="D96" s="30"/>
      <c r="E96" s="29" t="s">
        <v>617</v>
      </c>
      <c r="F96" s="29">
        <v>1</v>
      </c>
      <c r="G96" s="29">
        <v>1</v>
      </c>
      <c r="H96" s="29" t="s">
        <v>617</v>
      </c>
      <c r="I96" s="29" t="s">
        <v>617</v>
      </c>
      <c r="J96" s="29" t="s">
        <v>617</v>
      </c>
      <c r="K96" s="36"/>
    </row>
    <row r="97" spans="2:11">
      <c r="B97" s="29">
        <f t="shared" si="2"/>
        <v>25</v>
      </c>
      <c r="C97" s="30" t="s">
        <v>641</v>
      </c>
      <c r="D97" s="30"/>
      <c r="E97" s="29" t="s">
        <v>617</v>
      </c>
      <c r="F97" s="29" t="s">
        <v>617</v>
      </c>
      <c r="G97" s="29" t="s">
        <v>617</v>
      </c>
      <c r="H97" s="29" t="s">
        <v>617</v>
      </c>
      <c r="I97" s="29" t="s">
        <v>617</v>
      </c>
      <c r="J97" s="29" t="s">
        <v>617</v>
      </c>
      <c r="K97" s="36" t="s">
        <v>649</v>
      </c>
    </row>
    <row r="98" spans="2:11">
      <c r="B98" s="29">
        <f t="shared" si="2"/>
        <v>26</v>
      </c>
      <c r="C98" s="30" t="s">
        <v>642</v>
      </c>
      <c r="D98" s="30"/>
      <c r="E98" s="29" t="s">
        <v>617</v>
      </c>
      <c r="F98" s="29" t="s">
        <v>617</v>
      </c>
      <c r="G98" s="29" t="s">
        <v>617</v>
      </c>
      <c r="H98" s="29" t="s">
        <v>617</v>
      </c>
      <c r="I98" s="29" t="s">
        <v>617</v>
      </c>
      <c r="J98" s="29" t="s">
        <v>617</v>
      </c>
      <c r="K98" s="36" t="s">
        <v>622</v>
      </c>
    </row>
    <row r="99" spans="2:11">
      <c r="B99" s="29">
        <f t="shared" si="2"/>
        <v>27</v>
      </c>
      <c r="C99" s="30" t="s">
        <v>643</v>
      </c>
      <c r="D99" s="30"/>
      <c r="E99" s="29" t="s">
        <v>617</v>
      </c>
      <c r="F99" s="29">
        <v>1</v>
      </c>
      <c r="G99" s="29">
        <v>1</v>
      </c>
      <c r="H99" s="29" t="s">
        <v>617</v>
      </c>
      <c r="I99" s="29" t="s">
        <v>617</v>
      </c>
      <c r="J99" s="29" t="s">
        <v>617</v>
      </c>
      <c r="K99" s="36" t="s">
        <v>617</v>
      </c>
    </row>
    <row r="100" spans="2:11">
      <c r="B100" s="29">
        <f t="shared" si="2"/>
        <v>28</v>
      </c>
      <c r="C100" s="30" t="s">
        <v>644</v>
      </c>
      <c r="D100" s="30"/>
      <c r="E100" s="29" t="s">
        <v>617</v>
      </c>
      <c r="F100" s="29">
        <v>1</v>
      </c>
      <c r="G100" s="29">
        <v>1</v>
      </c>
      <c r="H100" s="29" t="s">
        <v>617</v>
      </c>
      <c r="I100" s="29" t="s">
        <v>617</v>
      </c>
      <c r="J100" s="29" t="s">
        <v>617</v>
      </c>
      <c r="K100" s="36"/>
    </row>
    <row r="101" spans="2:11">
      <c r="B101" s="32">
        <f t="shared" si="2"/>
        <v>29</v>
      </c>
      <c r="C101" s="33" t="s">
        <v>645</v>
      </c>
      <c r="D101" s="33"/>
      <c r="E101" s="32" t="s">
        <v>617</v>
      </c>
      <c r="F101" s="32">
        <v>1</v>
      </c>
      <c r="G101" s="32">
        <v>1</v>
      </c>
      <c r="H101" s="32" t="s">
        <v>617</v>
      </c>
      <c r="I101" s="32" t="s">
        <v>617</v>
      </c>
      <c r="J101" s="32"/>
      <c r="K101" s="32"/>
    </row>
    <row r="103" spans="2:11" ht="46.5" customHeight="1">
      <c r="B103" s="304" t="s">
        <v>610</v>
      </c>
      <c r="C103" s="304"/>
      <c r="D103" s="304"/>
      <c r="E103" s="304"/>
      <c r="F103" s="304"/>
      <c r="G103" s="304"/>
      <c r="H103" s="304"/>
      <c r="I103" s="304"/>
      <c r="J103" s="304"/>
      <c r="K103" s="304"/>
    </row>
    <row r="104" spans="2:11" ht="18.600000000000001" customHeight="1">
      <c r="B104" s="305" t="s">
        <v>650</v>
      </c>
      <c r="C104" s="305"/>
      <c r="D104" s="305"/>
      <c r="E104" s="305"/>
      <c r="F104" s="305"/>
      <c r="G104" s="305"/>
      <c r="H104" s="305"/>
      <c r="I104" s="305"/>
      <c r="J104" s="305"/>
      <c r="K104" s="305"/>
    </row>
    <row r="105" spans="2:11" ht="18">
      <c r="B105" s="309"/>
      <c r="C105" s="309"/>
      <c r="D105" s="309"/>
      <c r="E105" s="309"/>
      <c r="F105" s="309"/>
      <c r="G105" s="309"/>
      <c r="H105" s="309"/>
      <c r="I105" s="309"/>
      <c r="J105" s="309"/>
      <c r="K105" s="309"/>
    </row>
    <row r="106" spans="2:11">
      <c r="B106" s="316" t="s">
        <v>32</v>
      </c>
      <c r="C106" s="316" t="s">
        <v>530</v>
      </c>
      <c r="D106" s="318" t="s">
        <v>34</v>
      </c>
      <c r="E106" s="316" t="s">
        <v>612</v>
      </c>
      <c r="F106" s="318" t="s">
        <v>532</v>
      </c>
      <c r="G106" s="318" t="s">
        <v>46</v>
      </c>
      <c r="H106" s="308" t="s">
        <v>533</v>
      </c>
      <c r="I106" s="308"/>
      <c r="J106" s="316" t="s">
        <v>50</v>
      </c>
      <c r="K106" s="316" t="s">
        <v>51</v>
      </c>
    </row>
    <row r="107" spans="2:11" ht="28.8">
      <c r="B107" s="317"/>
      <c r="C107" s="317"/>
      <c r="D107" s="319"/>
      <c r="E107" s="317"/>
      <c r="F107" s="319"/>
      <c r="G107" s="319"/>
      <c r="H107" s="38" t="s">
        <v>613</v>
      </c>
      <c r="I107" s="38" t="s">
        <v>614</v>
      </c>
      <c r="J107" s="317"/>
      <c r="K107" s="317"/>
    </row>
    <row r="108" spans="2:11">
      <c r="B108" s="29">
        <v>1</v>
      </c>
      <c r="C108" s="30" t="s">
        <v>615</v>
      </c>
      <c r="D108" s="30"/>
      <c r="E108" s="29" t="s">
        <v>616</v>
      </c>
      <c r="F108" s="29">
        <v>1</v>
      </c>
      <c r="G108" s="29">
        <v>1</v>
      </c>
      <c r="H108" s="29" t="s">
        <v>617</v>
      </c>
      <c r="I108" s="29" t="s">
        <v>617</v>
      </c>
      <c r="J108" s="29" t="s">
        <v>617</v>
      </c>
      <c r="K108" s="36" t="s">
        <v>617</v>
      </c>
    </row>
    <row r="109" spans="2:11">
      <c r="B109" s="29">
        <f>B108+1</f>
        <v>2</v>
      </c>
      <c r="C109" s="30" t="s">
        <v>618</v>
      </c>
      <c r="D109" s="30"/>
      <c r="E109" s="29" t="s">
        <v>251</v>
      </c>
      <c r="F109" s="29">
        <v>1</v>
      </c>
      <c r="G109" s="29">
        <v>1</v>
      </c>
      <c r="H109" s="29" t="s">
        <v>617</v>
      </c>
      <c r="I109" s="29" t="s">
        <v>617</v>
      </c>
      <c r="J109" s="29" t="s">
        <v>617</v>
      </c>
      <c r="K109" s="36" t="s">
        <v>617</v>
      </c>
    </row>
    <row r="110" spans="2:11">
      <c r="B110" s="29">
        <f t="shared" ref="B110:B136" si="3">B109+1</f>
        <v>3</v>
      </c>
      <c r="C110" s="30" t="s">
        <v>619</v>
      </c>
      <c r="D110" s="30"/>
      <c r="E110" s="29" t="s">
        <v>616</v>
      </c>
      <c r="F110" s="29">
        <v>1</v>
      </c>
      <c r="G110" s="29">
        <v>1</v>
      </c>
      <c r="H110" s="29" t="s">
        <v>617</v>
      </c>
      <c r="I110" s="29" t="s">
        <v>617</v>
      </c>
      <c r="J110" s="29" t="s">
        <v>617</v>
      </c>
      <c r="K110" s="36" t="s">
        <v>617</v>
      </c>
    </row>
    <row r="111" spans="2:11">
      <c r="B111" s="29">
        <f t="shared" si="3"/>
        <v>4</v>
      </c>
      <c r="C111" s="30" t="s">
        <v>519</v>
      </c>
      <c r="D111" s="30"/>
      <c r="E111" s="29" t="s">
        <v>616</v>
      </c>
      <c r="F111" s="29" t="s">
        <v>617</v>
      </c>
      <c r="G111" s="29" t="s">
        <v>617</v>
      </c>
      <c r="H111" s="29" t="s">
        <v>617</v>
      </c>
      <c r="I111" s="29" t="s">
        <v>617</v>
      </c>
      <c r="J111" s="29" t="s">
        <v>617</v>
      </c>
      <c r="K111" s="36" t="s">
        <v>622</v>
      </c>
    </row>
    <row r="112" spans="2:11">
      <c r="B112" s="29">
        <f t="shared" si="3"/>
        <v>5</v>
      </c>
      <c r="C112" s="30" t="s">
        <v>623</v>
      </c>
      <c r="D112" s="30"/>
      <c r="E112" s="29" t="s">
        <v>616</v>
      </c>
      <c r="F112" s="29">
        <v>1</v>
      </c>
      <c r="G112" s="29">
        <v>1</v>
      </c>
      <c r="H112" s="29" t="s">
        <v>617</v>
      </c>
      <c r="I112" s="29" t="s">
        <v>617</v>
      </c>
      <c r="J112" s="29" t="s">
        <v>617</v>
      </c>
      <c r="K112" s="36" t="s">
        <v>617</v>
      </c>
    </row>
    <row r="113" spans="2:13">
      <c r="B113" s="29">
        <f t="shared" si="3"/>
        <v>6</v>
      </c>
      <c r="C113" s="30" t="s">
        <v>624</v>
      </c>
      <c r="D113" s="30"/>
      <c r="E113" s="29" t="s">
        <v>616</v>
      </c>
      <c r="F113" s="29">
        <v>1</v>
      </c>
      <c r="G113" s="29">
        <v>1</v>
      </c>
      <c r="H113" s="29" t="s">
        <v>617</v>
      </c>
      <c r="I113" s="29" t="s">
        <v>617</v>
      </c>
      <c r="J113" s="29" t="s">
        <v>617</v>
      </c>
      <c r="K113" s="36" t="s">
        <v>617</v>
      </c>
    </row>
    <row r="114" spans="2:13">
      <c r="B114" s="29">
        <f t="shared" si="3"/>
        <v>7</v>
      </c>
      <c r="C114" s="30" t="s">
        <v>625</v>
      </c>
      <c r="D114" s="30"/>
      <c r="E114" s="29" t="s">
        <v>617</v>
      </c>
      <c r="F114" s="29" t="s">
        <v>617</v>
      </c>
      <c r="G114" s="29" t="s">
        <v>617</v>
      </c>
      <c r="H114" s="29" t="s">
        <v>617</v>
      </c>
      <c r="I114" s="29" t="s">
        <v>617</v>
      </c>
      <c r="J114" s="29" t="s">
        <v>617</v>
      </c>
      <c r="K114" s="29" t="s">
        <v>617</v>
      </c>
      <c r="M114" t="s">
        <v>650</v>
      </c>
    </row>
    <row r="115" spans="2:13">
      <c r="B115" s="29">
        <f t="shared" si="3"/>
        <v>8</v>
      </c>
      <c r="C115" s="30" t="s">
        <v>626</v>
      </c>
      <c r="D115" s="30"/>
      <c r="E115" s="29" t="s">
        <v>616</v>
      </c>
      <c r="F115" s="29">
        <v>1</v>
      </c>
      <c r="G115" s="29">
        <v>1</v>
      </c>
      <c r="H115" s="29" t="s">
        <v>617</v>
      </c>
      <c r="I115" s="29" t="s">
        <v>617</v>
      </c>
      <c r="J115" s="29" t="s">
        <v>617</v>
      </c>
      <c r="K115" s="36" t="s">
        <v>617</v>
      </c>
    </row>
    <row r="116" spans="2:13">
      <c r="B116" s="29">
        <f t="shared" si="3"/>
        <v>9</v>
      </c>
      <c r="C116" s="30" t="s">
        <v>627</v>
      </c>
      <c r="D116" s="30"/>
      <c r="E116" s="29" t="s">
        <v>251</v>
      </c>
      <c r="F116" s="29">
        <v>1</v>
      </c>
      <c r="G116" s="29">
        <v>1</v>
      </c>
      <c r="H116" s="29" t="s">
        <v>617</v>
      </c>
      <c r="I116" s="29" t="s">
        <v>617</v>
      </c>
      <c r="J116" s="29" t="s">
        <v>617</v>
      </c>
      <c r="K116" s="36" t="s">
        <v>617</v>
      </c>
    </row>
    <row r="117" spans="2:13">
      <c r="B117" s="29">
        <f t="shared" si="3"/>
        <v>10</v>
      </c>
      <c r="C117" s="30" t="s">
        <v>628</v>
      </c>
      <c r="D117" s="30"/>
      <c r="E117" s="29" t="s">
        <v>616</v>
      </c>
      <c r="F117" s="29">
        <v>1</v>
      </c>
      <c r="G117" s="29">
        <v>1</v>
      </c>
      <c r="H117" s="29" t="s">
        <v>617</v>
      </c>
      <c r="I117" s="29" t="s">
        <v>617</v>
      </c>
      <c r="J117" s="29" t="s">
        <v>617</v>
      </c>
      <c r="K117" s="36" t="s">
        <v>617</v>
      </c>
    </row>
    <row r="118" spans="2:13">
      <c r="B118" s="29">
        <f t="shared" si="3"/>
        <v>11</v>
      </c>
      <c r="C118" s="30" t="s">
        <v>629</v>
      </c>
      <c r="D118" s="30"/>
      <c r="E118" s="29" t="s">
        <v>616</v>
      </c>
      <c r="F118" s="29">
        <v>1</v>
      </c>
      <c r="G118" s="29">
        <v>1</v>
      </c>
      <c r="H118" s="29" t="s">
        <v>617</v>
      </c>
      <c r="I118" s="29" t="s">
        <v>617</v>
      </c>
      <c r="J118" s="29" t="s">
        <v>617</v>
      </c>
      <c r="K118" s="36" t="s">
        <v>617</v>
      </c>
    </row>
    <row r="119" spans="2:13">
      <c r="B119" s="29">
        <f t="shared" si="3"/>
        <v>12</v>
      </c>
      <c r="C119" s="30" t="s">
        <v>630</v>
      </c>
      <c r="D119" s="30"/>
      <c r="E119" s="29" t="s">
        <v>616</v>
      </c>
      <c r="F119" s="29">
        <v>1</v>
      </c>
      <c r="G119" s="29">
        <v>1</v>
      </c>
      <c r="H119" s="29" t="s">
        <v>617</v>
      </c>
      <c r="I119" s="29" t="s">
        <v>617</v>
      </c>
      <c r="J119" s="29" t="s">
        <v>617</v>
      </c>
      <c r="K119" s="36" t="s">
        <v>617</v>
      </c>
    </row>
    <row r="120" spans="2:13">
      <c r="B120" s="29">
        <f t="shared" si="3"/>
        <v>13</v>
      </c>
      <c r="C120" s="30" t="s">
        <v>631</v>
      </c>
      <c r="D120" s="30"/>
      <c r="E120" s="29" t="s">
        <v>616</v>
      </c>
      <c r="F120" s="29">
        <v>1</v>
      </c>
      <c r="G120" s="29" t="s">
        <v>617</v>
      </c>
      <c r="H120" s="29">
        <v>1</v>
      </c>
      <c r="I120" s="29" t="s">
        <v>617</v>
      </c>
      <c r="J120" s="29" t="s">
        <v>617</v>
      </c>
      <c r="K120" s="36" t="s">
        <v>651</v>
      </c>
    </row>
    <row r="121" spans="2:13">
      <c r="B121" s="29">
        <f t="shared" si="3"/>
        <v>14</v>
      </c>
      <c r="C121" s="30" t="s">
        <v>632</v>
      </c>
      <c r="D121" s="30"/>
      <c r="E121" s="29" t="s">
        <v>616</v>
      </c>
      <c r="F121" s="29">
        <v>1</v>
      </c>
      <c r="G121" s="29">
        <v>1</v>
      </c>
      <c r="H121" s="29" t="s">
        <v>617</v>
      </c>
      <c r="I121" s="29" t="s">
        <v>617</v>
      </c>
      <c r="J121" s="29" t="s">
        <v>617</v>
      </c>
      <c r="K121" s="36" t="s">
        <v>617</v>
      </c>
    </row>
    <row r="122" spans="2:13">
      <c r="B122" s="29">
        <f t="shared" si="3"/>
        <v>15</v>
      </c>
      <c r="C122" s="30" t="s">
        <v>633</v>
      </c>
      <c r="D122" s="30"/>
      <c r="E122" s="29" t="s">
        <v>251</v>
      </c>
      <c r="F122" s="29">
        <v>1</v>
      </c>
      <c r="G122" s="29">
        <v>1</v>
      </c>
      <c r="H122" s="29" t="s">
        <v>617</v>
      </c>
      <c r="I122" s="29" t="s">
        <v>617</v>
      </c>
      <c r="J122" s="29" t="s">
        <v>617</v>
      </c>
      <c r="K122" s="29" t="s">
        <v>617</v>
      </c>
    </row>
    <row r="123" spans="2:13">
      <c r="B123" s="29">
        <f t="shared" si="3"/>
        <v>16</v>
      </c>
      <c r="C123" s="30" t="s">
        <v>634</v>
      </c>
      <c r="D123" s="30"/>
      <c r="E123" s="29" t="s">
        <v>616</v>
      </c>
      <c r="F123" s="29">
        <v>1</v>
      </c>
      <c r="G123" s="29">
        <v>1</v>
      </c>
      <c r="H123" s="29" t="s">
        <v>617</v>
      </c>
      <c r="I123" s="29" t="s">
        <v>617</v>
      </c>
      <c r="J123" s="29" t="s">
        <v>617</v>
      </c>
      <c r="K123" s="29"/>
    </row>
    <row r="124" spans="2:13">
      <c r="B124" s="29">
        <f t="shared" si="3"/>
        <v>17</v>
      </c>
      <c r="C124" s="30" t="s">
        <v>636</v>
      </c>
      <c r="D124" s="30"/>
      <c r="E124" s="29" t="s">
        <v>616</v>
      </c>
      <c r="F124" s="29">
        <v>1</v>
      </c>
      <c r="G124" s="29">
        <v>1</v>
      </c>
      <c r="H124" s="29" t="s">
        <v>617</v>
      </c>
      <c r="I124" s="29" t="s">
        <v>617</v>
      </c>
      <c r="J124" s="29" t="s">
        <v>617</v>
      </c>
      <c r="K124" s="36"/>
    </row>
    <row r="125" spans="2:13">
      <c r="B125" s="29">
        <f t="shared" si="3"/>
        <v>18</v>
      </c>
      <c r="C125" s="30" t="s">
        <v>638</v>
      </c>
      <c r="D125" s="30"/>
      <c r="E125" s="29" t="s">
        <v>616</v>
      </c>
      <c r="F125" s="29">
        <v>1</v>
      </c>
      <c r="G125" s="29">
        <v>1</v>
      </c>
      <c r="H125" s="29" t="s">
        <v>617</v>
      </c>
      <c r="I125" s="29" t="s">
        <v>617</v>
      </c>
      <c r="J125" s="29" t="s">
        <v>617</v>
      </c>
      <c r="K125" s="36" t="s">
        <v>617</v>
      </c>
    </row>
    <row r="126" spans="2:13">
      <c r="B126" s="29">
        <f t="shared" si="3"/>
        <v>19</v>
      </c>
      <c r="C126" s="30" t="s">
        <v>639</v>
      </c>
      <c r="D126" s="30"/>
      <c r="E126" s="29" t="s">
        <v>617</v>
      </c>
      <c r="F126" s="29">
        <v>1</v>
      </c>
      <c r="G126" s="29">
        <v>1</v>
      </c>
      <c r="H126" s="29" t="s">
        <v>617</v>
      </c>
      <c r="I126" s="29" t="s">
        <v>617</v>
      </c>
      <c r="J126" s="29" t="s">
        <v>617</v>
      </c>
      <c r="K126" s="36" t="s">
        <v>617</v>
      </c>
    </row>
    <row r="127" spans="2:13">
      <c r="B127" s="29">
        <f t="shared" si="3"/>
        <v>20</v>
      </c>
      <c r="C127" s="30" t="s">
        <v>640</v>
      </c>
      <c r="D127" s="30"/>
      <c r="E127" s="29" t="s">
        <v>617</v>
      </c>
      <c r="F127" s="29">
        <v>1</v>
      </c>
      <c r="G127" s="29">
        <v>1</v>
      </c>
      <c r="H127" s="29" t="s">
        <v>617</v>
      </c>
      <c r="I127" s="29" t="s">
        <v>617</v>
      </c>
      <c r="J127" s="29" t="s">
        <v>617</v>
      </c>
      <c r="K127" s="36" t="s">
        <v>617</v>
      </c>
    </row>
    <row r="128" spans="2:13">
      <c r="B128" s="29">
        <f t="shared" si="3"/>
        <v>21</v>
      </c>
      <c r="C128" s="30" t="s">
        <v>641</v>
      </c>
      <c r="D128" s="30"/>
      <c r="E128" s="29" t="s">
        <v>617</v>
      </c>
      <c r="F128" s="29">
        <v>1</v>
      </c>
      <c r="G128" s="29">
        <v>1</v>
      </c>
      <c r="H128" s="29" t="s">
        <v>617</v>
      </c>
      <c r="I128" s="29" t="s">
        <v>617</v>
      </c>
      <c r="J128" s="29" t="s">
        <v>617</v>
      </c>
      <c r="K128" s="36" t="s">
        <v>617</v>
      </c>
    </row>
    <row r="129" spans="2:11">
      <c r="B129" s="29">
        <f t="shared" si="3"/>
        <v>22</v>
      </c>
      <c r="C129" s="30" t="s">
        <v>634</v>
      </c>
      <c r="D129" s="30"/>
      <c r="E129" s="29" t="s">
        <v>617</v>
      </c>
      <c r="F129" s="29">
        <v>1</v>
      </c>
      <c r="G129" s="29">
        <v>1</v>
      </c>
      <c r="H129" s="29" t="s">
        <v>617</v>
      </c>
      <c r="I129" s="29" t="s">
        <v>617</v>
      </c>
      <c r="J129" s="29" t="s">
        <v>617</v>
      </c>
      <c r="K129" s="36" t="s">
        <v>617</v>
      </c>
    </row>
    <row r="130" spans="2:11">
      <c r="B130" s="29">
        <f t="shared" si="3"/>
        <v>23</v>
      </c>
      <c r="C130" s="30" t="s">
        <v>636</v>
      </c>
      <c r="D130" s="30"/>
      <c r="E130" s="29" t="s">
        <v>617</v>
      </c>
      <c r="F130" s="29">
        <v>1</v>
      </c>
      <c r="G130" s="29">
        <v>1</v>
      </c>
      <c r="H130" s="29" t="s">
        <v>617</v>
      </c>
      <c r="I130" s="29" t="s">
        <v>617</v>
      </c>
      <c r="J130" s="29" t="s">
        <v>617</v>
      </c>
      <c r="K130" s="36" t="s">
        <v>617</v>
      </c>
    </row>
    <row r="131" spans="2:11">
      <c r="B131" s="29">
        <f t="shared" si="3"/>
        <v>24</v>
      </c>
      <c r="C131" s="30" t="s">
        <v>639</v>
      </c>
      <c r="D131" s="30"/>
      <c r="E131" s="29" t="s">
        <v>617</v>
      </c>
      <c r="F131" s="29">
        <v>1</v>
      </c>
      <c r="G131" s="29">
        <v>1</v>
      </c>
      <c r="H131" s="29" t="s">
        <v>617</v>
      </c>
      <c r="I131" s="29" t="s">
        <v>617</v>
      </c>
      <c r="J131" s="29" t="s">
        <v>617</v>
      </c>
      <c r="K131" s="36"/>
    </row>
    <row r="132" spans="2:11">
      <c r="B132" s="29">
        <f t="shared" si="3"/>
        <v>25</v>
      </c>
      <c r="C132" s="30" t="s">
        <v>641</v>
      </c>
      <c r="D132" s="30"/>
      <c r="E132" s="29" t="s">
        <v>617</v>
      </c>
      <c r="F132" s="29">
        <v>1</v>
      </c>
      <c r="G132" s="29">
        <v>1</v>
      </c>
      <c r="H132" s="29" t="s">
        <v>617</v>
      </c>
      <c r="I132" s="29" t="s">
        <v>617</v>
      </c>
      <c r="J132" s="29" t="s">
        <v>617</v>
      </c>
      <c r="K132" s="36"/>
    </row>
    <row r="133" spans="2:11">
      <c r="B133" s="29">
        <f t="shared" si="3"/>
        <v>26</v>
      </c>
      <c r="C133" s="30" t="s">
        <v>642</v>
      </c>
      <c r="D133" s="30"/>
      <c r="E133" s="29" t="s">
        <v>617</v>
      </c>
      <c r="F133" s="29">
        <v>1</v>
      </c>
      <c r="G133" s="29">
        <v>1</v>
      </c>
      <c r="H133" s="29" t="s">
        <v>617</v>
      </c>
      <c r="I133" s="29" t="s">
        <v>617</v>
      </c>
      <c r="J133" s="29" t="s">
        <v>617</v>
      </c>
      <c r="K133" s="36"/>
    </row>
    <row r="134" spans="2:11">
      <c r="B134" s="29">
        <f t="shared" si="3"/>
        <v>27</v>
      </c>
      <c r="C134" s="30" t="s">
        <v>643</v>
      </c>
      <c r="D134" s="30"/>
      <c r="E134" s="29" t="s">
        <v>617</v>
      </c>
      <c r="F134" s="29">
        <v>1</v>
      </c>
      <c r="G134" s="29">
        <v>1</v>
      </c>
      <c r="H134" s="29" t="s">
        <v>617</v>
      </c>
      <c r="I134" s="29" t="s">
        <v>617</v>
      </c>
      <c r="J134" s="29" t="s">
        <v>617</v>
      </c>
      <c r="K134" s="36" t="s">
        <v>617</v>
      </c>
    </row>
    <row r="135" spans="2:11">
      <c r="B135" s="29">
        <f t="shared" si="3"/>
        <v>28</v>
      </c>
      <c r="C135" s="30" t="s">
        <v>644</v>
      </c>
      <c r="D135" s="30"/>
      <c r="E135" s="29" t="s">
        <v>617</v>
      </c>
      <c r="F135" s="29">
        <v>1</v>
      </c>
      <c r="G135" s="29">
        <v>1</v>
      </c>
      <c r="H135" s="29" t="s">
        <v>617</v>
      </c>
      <c r="I135" s="29" t="s">
        <v>617</v>
      </c>
      <c r="J135" s="29" t="s">
        <v>617</v>
      </c>
      <c r="K135" s="36"/>
    </row>
    <row r="136" spans="2:11">
      <c r="B136" s="32">
        <f t="shared" si="3"/>
        <v>29</v>
      </c>
      <c r="C136" s="33" t="s">
        <v>645</v>
      </c>
      <c r="D136" s="33"/>
      <c r="E136" s="32" t="s">
        <v>617</v>
      </c>
      <c r="F136" s="32">
        <v>1</v>
      </c>
      <c r="G136" s="32">
        <v>1</v>
      </c>
      <c r="H136" s="32" t="s">
        <v>617</v>
      </c>
      <c r="I136" s="32" t="s">
        <v>617</v>
      </c>
      <c r="J136" s="32"/>
      <c r="K136" s="32"/>
    </row>
    <row r="137" spans="2:11">
      <c r="B137" s="40"/>
      <c r="C137" s="41"/>
      <c r="D137" s="42"/>
      <c r="E137" s="43"/>
      <c r="F137" s="43"/>
      <c r="G137" s="43"/>
      <c r="H137" s="43"/>
      <c r="I137" s="43"/>
      <c r="J137" s="43"/>
      <c r="K137" s="50"/>
    </row>
    <row r="138" spans="2:11" s="1" customFormat="1">
      <c r="B138" s="310" t="s">
        <v>468</v>
      </c>
      <c r="C138" s="228"/>
      <c r="D138" s="46"/>
      <c r="E138" s="228" t="s">
        <v>469</v>
      </c>
      <c r="F138" s="228"/>
      <c r="G138" s="228"/>
      <c r="H138" s="228"/>
      <c r="I138" s="228"/>
      <c r="J138" s="229" t="s">
        <v>470</v>
      </c>
      <c r="K138" s="311"/>
    </row>
    <row r="139" spans="2:11" s="1" customFormat="1">
      <c r="B139" s="44"/>
      <c r="C139" s="45"/>
      <c r="D139" s="46"/>
      <c r="E139" s="45"/>
      <c r="F139" s="45"/>
      <c r="G139" s="45"/>
      <c r="H139" s="46"/>
      <c r="I139" s="46"/>
      <c r="J139" s="51"/>
      <c r="K139" s="52"/>
    </row>
    <row r="140" spans="2:11" s="1" customFormat="1">
      <c r="B140" s="44"/>
      <c r="C140" s="45"/>
      <c r="D140" s="46"/>
      <c r="E140" s="45"/>
      <c r="F140" s="45"/>
      <c r="G140" s="45"/>
      <c r="H140" s="46"/>
      <c r="I140" s="46"/>
      <c r="J140" s="51"/>
      <c r="K140" s="52"/>
    </row>
    <row r="141" spans="2:11" s="25" customFormat="1">
      <c r="B141" s="47"/>
      <c r="C141" s="48"/>
      <c r="D141" s="48"/>
      <c r="E141" s="48"/>
      <c r="F141" s="48"/>
      <c r="G141" s="48"/>
      <c r="H141" s="48"/>
      <c r="I141" s="48"/>
      <c r="J141" s="48"/>
      <c r="K141" s="53"/>
    </row>
    <row r="142" spans="2:11" s="25" customFormat="1">
      <c r="B142" s="47"/>
      <c r="C142" s="48"/>
      <c r="D142" s="48"/>
      <c r="E142" s="48"/>
      <c r="F142" s="48"/>
      <c r="G142" s="48"/>
      <c r="H142" s="48"/>
      <c r="I142" s="48"/>
      <c r="J142" s="48"/>
      <c r="K142" s="53"/>
    </row>
    <row r="143" spans="2:11" s="1" customFormat="1">
      <c r="B143" s="44"/>
      <c r="C143" s="46"/>
      <c r="D143" s="46"/>
      <c r="E143" s="46"/>
      <c r="F143" s="46"/>
      <c r="G143" s="46"/>
      <c r="H143" s="46"/>
      <c r="I143" s="46"/>
      <c r="J143" s="46"/>
      <c r="K143" s="54"/>
    </row>
    <row r="144" spans="2:11" s="1" customFormat="1">
      <c r="B144" s="44"/>
      <c r="C144" s="46"/>
      <c r="D144" s="46"/>
      <c r="E144" s="46"/>
      <c r="F144" s="46"/>
      <c r="G144" s="46"/>
      <c r="H144" s="46"/>
      <c r="I144" s="46"/>
      <c r="J144" s="46"/>
      <c r="K144" s="54"/>
    </row>
    <row r="145" spans="2:11" s="1" customFormat="1">
      <c r="B145" s="312" t="s">
        <v>471</v>
      </c>
      <c r="C145" s="313"/>
      <c r="D145" s="49"/>
      <c r="E145" s="314" t="s">
        <v>472</v>
      </c>
      <c r="F145" s="314"/>
      <c r="G145" s="314"/>
      <c r="H145" s="314"/>
      <c r="I145" s="314"/>
      <c r="J145" s="314" t="s">
        <v>652</v>
      </c>
      <c r="K145" s="315"/>
    </row>
  </sheetData>
  <mergeCells count="51">
    <mergeCell ref="B145:C145"/>
    <mergeCell ref="E145:I145"/>
    <mergeCell ref="J145:K145"/>
    <mergeCell ref="B3:B4"/>
    <mergeCell ref="B37:B38"/>
    <mergeCell ref="B71:B72"/>
    <mergeCell ref="B106:B107"/>
    <mergeCell ref="C3:C4"/>
    <mergeCell ref="C37:C38"/>
    <mergeCell ref="C71:C72"/>
    <mergeCell ref="C106:C107"/>
    <mergeCell ref="D3:D4"/>
    <mergeCell ref="D37:D38"/>
    <mergeCell ref="D71:D72"/>
    <mergeCell ref="D106:D107"/>
    <mergeCell ref="E3:E4"/>
    <mergeCell ref="B104:K104"/>
    <mergeCell ref="B105:K105"/>
    <mergeCell ref="H106:I106"/>
    <mergeCell ref="B138:C138"/>
    <mergeCell ref="E138:I138"/>
    <mergeCell ref="J138:K138"/>
    <mergeCell ref="E106:E107"/>
    <mergeCell ref="F106:F107"/>
    <mergeCell ref="G106:G107"/>
    <mergeCell ref="J106:J107"/>
    <mergeCell ref="K106:K107"/>
    <mergeCell ref="H37:I37"/>
    <mergeCell ref="B69:K69"/>
    <mergeCell ref="B70:K70"/>
    <mergeCell ref="H71:I71"/>
    <mergeCell ref="B103:K103"/>
    <mergeCell ref="E37:E38"/>
    <mergeCell ref="E71:E72"/>
    <mergeCell ref="F37:F38"/>
    <mergeCell ref="F71:F72"/>
    <mergeCell ref="G37:G38"/>
    <mergeCell ref="G71:G72"/>
    <mergeCell ref="J37:J38"/>
    <mergeCell ref="J71:J72"/>
    <mergeCell ref="K37:K38"/>
    <mergeCell ref="K71:K72"/>
    <mergeCell ref="B1:K1"/>
    <mergeCell ref="B2:K2"/>
    <mergeCell ref="H3:I3"/>
    <mergeCell ref="B35:K35"/>
    <mergeCell ref="B36:K36"/>
    <mergeCell ref="F3:F4"/>
    <mergeCell ref="G3:G4"/>
    <mergeCell ref="J3:J4"/>
    <mergeCell ref="K3:K4"/>
  </mergeCells>
  <printOptions horizontalCentered="1"/>
  <pageMargins left="0" right="0" top="0.196850393700787" bottom="0.74803149606299202" header="0.31496062992126" footer="0.31496062992126"/>
  <pageSetup paperSize="9" scale="9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G19"/>
  <sheetViews>
    <sheetView view="pageBreakPreview" zoomScale="130" zoomScaleNormal="123" workbookViewId="0">
      <selection activeCell="I14" sqref="I14"/>
    </sheetView>
  </sheetViews>
  <sheetFormatPr defaultColWidth="8.6640625" defaultRowHeight="14.4"/>
  <cols>
    <col min="1" max="1" width="2.109375" style="1" customWidth="1"/>
    <col min="2" max="2" width="5.88671875" style="1" customWidth="1"/>
    <col min="3" max="3" width="19.5546875" style="1" customWidth="1"/>
    <col min="4" max="5" width="8.6640625" style="1"/>
    <col min="6" max="6" width="8.6640625" style="1" customWidth="1"/>
    <col min="7" max="7" width="67.88671875" style="1" customWidth="1"/>
    <col min="8" max="16384" width="8.6640625" style="1"/>
  </cols>
  <sheetData>
    <row r="1" spans="2:7" ht="6.9" customHeight="1"/>
    <row r="2" spans="2:7">
      <c r="B2" s="320" t="s">
        <v>653</v>
      </c>
      <c r="C2" s="321"/>
      <c r="D2" s="321"/>
      <c r="E2" s="321"/>
      <c r="F2" s="321"/>
      <c r="G2" s="322"/>
    </row>
    <row r="3" spans="2:7">
      <c r="B3" s="323"/>
      <c r="C3" s="324"/>
      <c r="D3" s="324"/>
      <c r="E3" s="324"/>
      <c r="F3" s="324"/>
      <c r="G3" s="325"/>
    </row>
    <row r="4" spans="2:7">
      <c r="B4" s="323"/>
      <c r="C4" s="324"/>
      <c r="D4" s="324"/>
      <c r="E4" s="324"/>
      <c r="F4" s="324"/>
      <c r="G4" s="325"/>
    </row>
    <row r="5" spans="2:7" ht="30" customHeight="1">
      <c r="B5" s="2" t="s">
        <v>0</v>
      </c>
      <c r="C5" s="3" t="s">
        <v>1</v>
      </c>
      <c r="D5" s="3" t="s">
        <v>654</v>
      </c>
      <c r="E5" s="3" t="s">
        <v>4</v>
      </c>
      <c r="F5" s="3" t="s">
        <v>5</v>
      </c>
      <c r="G5" s="4" t="s">
        <v>2</v>
      </c>
    </row>
    <row r="6" spans="2:7">
      <c r="B6" s="5">
        <v>1</v>
      </c>
      <c r="C6" s="6" t="s">
        <v>655</v>
      </c>
      <c r="D6" s="7">
        <v>81</v>
      </c>
      <c r="E6" s="10">
        <v>14</v>
      </c>
      <c r="F6" s="8">
        <f t="shared" ref="F6:F11" si="0">SUM(D6:E6)</f>
        <v>95</v>
      </c>
      <c r="G6" s="9" t="s">
        <v>656</v>
      </c>
    </row>
    <row r="7" spans="2:7">
      <c r="B7" s="5">
        <f>B6+1</f>
        <v>2</v>
      </c>
      <c r="C7" s="6" t="s">
        <v>315</v>
      </c>
      <c r="D7" s="7">
        <v>15</v>
      </c>
      <c r="E7" s="10">
        <v>3</v>
      </c>
      <c r="F7" s="8">
        <f t="shared" si="0"/>
        <v>18</v>
      </c>
      <c r="G7" s="9" t="s">
        <v>657</v>
      </c>
    </row>
    <row r="8" spans="2:7">
      <c r="B8" s="5">
        <f t="shared" ref="B8:B19" si="1">B7+1</f>
        <v>3</v>
      </c>
      <c r="C8" s="6" t="s">
        <v>658</v>
      </c>
      <c r="D8" s="7">
        <v>18</v>
      </c>
      <c r="E8" s="10">
        <v>0</v>
      </c>
      <c r="F8" s="8">
        <f t="shared" si="0"/>
        <v>18</v>
      </c>
      <c r="G8" s="9"/>
    </row>
    <row r="9" spans="2:7">
      <c r="B9" s="5">
        <f t="shared" si="1"/>
        <v>4</v>
      </c>
      <c r="C9" s="6" t="s">
        <v>659</v>
      </c>
      <c r="D9" s="7">
        <v>24</v>
      </c>
      <c r="E9" s="10">
        <v>0</v>
      </c>
      <c r="F9" s="8">
        <f t="shared" si="0"/>
        <v>24</v>
      </c>
      <c r="G9" s="9"/>
    </row>
    <row r="10" spans="2:7">
      <c r="B10" s="5">
        <f t="shared" si="1"/>
        <v>5</v>
      </c>
      <c r="C10" s="6" t="s">
        <v>308</v>
      </c>
      <c r="D10" s="7">
        <v>20</v>
      </c>
      <c r="E10" s="10">
        <v>7</v>
      </c>
      <c r="F10" s="8">
        <f t="shared" si="0"/>
        <v>27</v>
      </c>
      <c r="G10" s="9" t="s">
        <v>660</v>
      </c>
    </row>
    <row r="11" spans="2:7">
      <c r="B11" s="5">
        <f t="shared" si="1"/>
        <v>6</v>
      </c>
      <c r="C11" s="6" t="s">
        <v>325</v>
      </c>
      <c r="D11" s="7">
        <v>9</v>
      </c>
      <c r="E11" s="10">
        <v>0</v>
      </c>
      <c r="F11" s="8">
        <f t="shared" si="0"/>
        <v>9</v>
      </c>
      <c r="G11" s="9"/>
    </row>
    <row r="12" spans="2:7">
      <c r="B12" s="5">
        <f t="shared" si="1"/>
        <v>7</v>
      </c>
      <c r="C12" s="6" t="s">
        <v>573</v>
      </c>
      <c r="D12" s="7">
        <v>6</v>
      </c>
      <c r="E12" s="10">
        <v>0</v>
      </c>
      <c r="F12" s="8">
        <f t="shared" ref="F12:F19" si="2">SUM(D12:E12)</f>
        <v>6</v>
      </c>
      <c r="G12" s="9"/>
    </row>
    <row r="13" spans="2:7">
      <c r="B13" s="5">
        <f t="shared" si="1"/>
        <v>8</v>
      </c>
      <c r="C13" s="6" t="s">
        <v>661</v>
      </c>
      <c r="D13" s="7">
        <v>11</v>
      </c>
      <c r="E13" s="10">
        <v>1</v>
      </c>
      <c r="F13" s="8">
        <f t="shared" si="2"/>
        <v>12</v>
      </c>
      <c r="G13" s="9" t="s">
        <v>662</v>
      </c>
    </row>
    <row r="14" spans="2:7">
      <c r="B14" s="5">
        <f t="shared" si="1"/>
        <v>9</v>
      </c>
      <c r="C14" s="6" t="s">
        <v>663</v>
      </c>
      <c r="D14" s="7">
        <v>26</v>
      </c>
      <c r="E14" s="10">
        <v>0</v>
      </c>
      <c r="F14" s="8">
        <f t="shared" si="2"/>
        <v>26</v>
      </c>
      <c r="G14" s="9"/>
    </row>
    <row r="15" spans="2:7">
      <c r="B15" s="5">
        <f t="shared" si="1"/>
        <v>10</v>
      </c>
      <c r="C15" s="6" t="s">
        <v>294</v>
      </c>
      <c r="D15" s="7">
        <v>7</v>
      </c>
      <c r="E15" s="10">
        <v>0</v>
      </c>
      <c r="F15" s="8">
        <f t="shared" si="2"/>
        <v>7</v>
      </c>
      <c r="G15" s="9"/>
    </row>
    <row r="16" spans="2:7">
      <c r="B16" s="5">
        <f t="shared" si="1"/>
        <v>11</v>
      </c>
      <c r="C16" s="6" t="s">
        <v>248</v>
      </c>
      <c r="D16" s="7">
        <v>9</v>
      </c>
      <c r="E16" s="10">
        <v>0</v>
      </c>
      <c r="F16" s="8">
        <f t="shared" si="2"/>
        <v>9</v>
      </c>
      <c r="G16" s="9"/>
    </row>
    <row r="17" spans="2:7">
      <c r="B17" s="5">
        <f t="shared" si="1"/>
        <v>12</v>
      </c>
      <c r="C17" s="6" t="s">
        <v>346</v>
      </c>
      <c r="D17" s="7">
        <v>3</v>
      </c>
      <c r="E17" s="10">
        <v>0</v>
      </c>
      <c r="F17" s="8">
        <f t="shared" si="2"/>
        <v>3</v>
      </c>
      <c r="G17" s="9"/>
    </row>
    <row r="18" spans="2:7">
      <c r="B18" s="5">
        <f t="shared" si="1"/>
        <v>13</v>
      </c>
      <c r="C18" s="6" t="s">
        <v>353</v>
      </c>
      <c r="D18" s="7">
        <v>20</v>
      </c>
      <c r="E18" s="10">
        <v>0</v>
      </c>
      <c r="F18" s="8">
        <f t="shared" si="2"/>
        <v>20</v>
      </c>
      <c r="G18" s="9"/>
    </row>
    <row r="19" spans="2:7">
      <c r="B19" s="11">
        <f t="shared" si="1"/>
        <v>14</v>
      </c>
      <c r="C19" s="12" t="s">
        <v>327</v>
      </c>
      <c r="D19" s="13">
        <v>1</v>
      </c>
      <c r="E19" s="14">
        <v>0</v>
      </c>
      <c r="F19" s="15">
        <f t="shared" si="2"/>
        <v>1</v>
      </c>
      <c r="G19" s="16"/>
    </row>
  </sheetData>
  <mergeCells count="1">
    <mergeCell ref="B2:G4"/>
  </mergeCells>
  <pageMargins left="0.7" right="0.7" top="0.75" bottom="0.75" header="0.3" footer="0.3"/>
  <pageSetup paperSize="9" scale="72" orientation="portrait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G19"/>
  <sheetViews>
    <sheetView view="pageBreakPreview" zoomScale="130" zoomScaleNormal="123" workbookViewId="0">
      <selection activeCell="C6" sqref="C6:D16"/>
    </sheetView>
  </sheetViews>
  <sheetFormatPr defaultColWidth="8.6640625" defaultRowHeight="14.4"/>
  <cols>
    <col min="1" max="1" width="2.109375" style="1" customWidth="1"/>
    <col min="2" max="2" width="5.88671875" style="1" customWidth="1"/>
    <col min="3" max="3" width="19.5546875" style="1" customWidth="1"/>
    <col min="4" max="5" width="8.6640625" style="1"/>
    <col min="6" max="6" width="8.6640625" style="1" customWidth="1"/>
    <col min="7" max="7" width="67.88671875" style="1" customWidth="1"/>
    <col min="8" max="16384" width="8.6640625" style="1"/>
  </cols>
  <sheetData>
    <row r="1" spans="2:7" ht="6.9" customHeight="1"/>
    <row r="2" spans="2:7">
      <c r="B2" s="320" t="s">
        <v>664</v>
      </c>
      <c r="C2" s="321"/>
      <c r="D2" s="321"/>
      <c r="E2" s="321"/>
      <c r="F2" s="321"/>
      <c r="G2" s="322"/>
    </row>
    <row r="3" spans="2:7">
      <c r="B3" s="323"/>
      <c r="C3" s="324"/>
      <c r="D3" s="324"/>
      <c r="E3" s="324"/>
      <c r="F3" s="324"/>
      <c r="G3" s="325"/>
    </row>
    <row r="4" spans="2:7">
      <c r="B4" s="323"/>
      <c r="C4" s="324"/>
      <c r="D4" s="324"/>
      <c r="E4" s="324"/>
      <c r="F4" s="324"/>
      <c r="G4" s="325"/>
    </row>
    <row r="5" spans="2:7" ht="30" customHeight="1">
      <c r="B5" s="2" t="s">
        <v>0</v>
      </c>
      <c r="C5" s="3" t="s">
        <v>1</v>
      </c>
      <c r="D5" s="3" t="s">
        <v>654</v>
      </c>
      <c r="E5" s="3" t="s">
        <v>4</v>
      </c>
      <c r="F5" s="3" t="s">
        <v>5</v>
      </c>
      <c r="G5" s="4" t="s">
        <v>2</v>
      </c>
    </row>
    <row r="6" spans="2:7">
      <c r="B6" s="5">
        <v>1</v>
      </c>
      <c r="C6" s="6" t="s">
        <v>243</v>
      </c>
      <c r="D6" s="7">
        <v>5</v>
      </c>
      <c r="E6" s="217" t="s">
        <v>56</v>
      </c>
      <c r="F6" s="8">
        <f t="shared" ref="F6:F19" si="0">SUM(D6:E6)</f>
        <v>5</v>
      </c>
      <c r="G6" s="9"/>
    </row>
    <row r="7" spans="2:7">
      <c r="B7" s="5">
        <f>B6+1</f>
        <v>2</v>
      </c>
      <c r="C7" s="6" t="s">
        <v>172</v>
      </c>
      <c r="D7" s="7">
        <v>5</v>
      </c>
      <c r="E7" s="217" t="s">
        <v>56</v>
      </c>
      <c r="F7" s="8">
        <f t="shared" si="0"/>
        <v>5</v>
      </c>
      <c r="G7" s="9"/>
    </row>
    <row r="8" spans="2:7">
      <c r="B8" s="5">
        <f t="shared" ref="B8:B19" si="1">B7+1</f>
        <v>3</v>
      </c>
      <c r="C8" s="6" t="s">
        <v>248</v>
      </c>
      <c r="D8" s="7">
        <v>1</v>
      </c>
      <c r="E8" s="217" t="s">
        <v>56</v>
      </c>
      <c r="F8" s="8">
        <f t="shared" si="0"/>
        <v>1</v>
      </c>
      <c r="G8" s="9"/>
    </row>
    <row r="9" spans="2:7">
      <c r="B9" s="5">
        <f t="shared" si="1"/>
        <v>4</v>
      </c>
      <c r="C9" s="6" t="s">
        <v>250</v>
      </c>
      <c r="D9" s="7">
        <v>1</v>
      </c>
      <c r="E9" s="217" t="s">
        <v>56</v>
      </c>
      <c r="F9" s="8">
        <f t="shared" si="0"/>
        <v>1</v>
      </c>
      <c r="G9" s="9"/>
    </row>
    <row r="10" spans="2:7">
      <c r="B10" s="5">
        <f t="shared" si="1"/>
        <v>5</v>
      </c>
      <c r="C10" s="6" t="s">
        <v>253</v>
      </c>
      <c r="D10" s="7">
        <v>35</v>
      </c>
      <c r="E10" s="217" t="s">
        <v>56</v>
      </c>
      <c r="F10" s="8">
        <f t="shared" si="0"/>
        <v>35</v>
      </c>
      <c r="G10" s="9"/>
    </row>
    <row r="11" spans="2:7">
      <c r="B11" s="5">
        <f t="shared" si="1"/>
        <v>6</v>
      </c>
      <c r="C11" s="6" t="s">
        <v>665</v>
      </c>
      <c r="D11" s="7">
        <v>1</v>
      </c>
      <c r="E11" s="217" t="s">
        <v>56</v>
      </c>
      <c r="F11" s="8">
        <f t="shared" si="0"/>
        <v>1</v>
      </c>
      <c r="G11" s="9"/>
    </row>
    <row r="12" spans="2:7">
      <c r="B12" s="5">
        <f t="shared" si="1"/>
        <v>7</v>
      </c>
      <c r="C12" s="6" t="s">
        <v>302</v>
      </c>
      <c r="D12" s="7">
        <v>1</v>
      </c>
      <c r="E12" s="217" t="s">
        <v>56</v>
      </c>
      <c r="F12" s="8">
        <f t="shared" si="0"/>
        <v>1</v>
      </c>
      <c r="G12" s="9"/>
    </row>
    <row r="13" spans="2:7">
      <c r="B13" s="5">
        <f t="shared" si="1"/>
        <v>8</v>
      </c>
      <c r="C13" s="6" t="s">
        <v>258</v>
      </c>
      <c r="D13" s="7">
        <v>2</v>
      </c>
      <c r="E13" s="217" t="s">
        <v>56</v>
      </c>
      <c r="F13" s="8">
        <f t="shared" si="0"/>
        <v>2</v>
      </c>
      <c r="G13" s="9"/>
    </row>
    <row r="14" spans="2:7">
      <c r="B14" s="5">
        <f t="shared" si="1"/>
        <v>9</v>
      </c>
      <c r="C14" s="6" t="s">
        <v>260</v>
      </c>
      <c r="D14" s="7">
        <v>1</v>
      </c>
      <c r="E14" s="217" t="s">
        <v>56</v>
      </c>
      <c r="F14" s="8">
        <f t="shared" si="0"/>
        <v>1</v>
      </c>
      <c r="G14" s="9"/>
    </row>
    <row r="15" spans="2:7">
      <c r="B15" s="5">
        <f t="shared" si="1"/>
        <v>10</v>
      </c>
      <c r="C15" s="6" t="s">
        <v>262</v>
      </c>
      <c r="D15" s="7">
        <v>1</v>
      </c>
      <c r="E15" s="217" t="s">
        <v>56</v>
      </c>
      <c r="F15" s="8">
        <f t="shared" si="0"/>
        <v>1</v>
      </c>
      <c r="G15" s="9"/>
    </row>
    <row r="16" spans="2:7">
      <c r="B16" s="5">
        <f t="shared" si="1"/>
        <v>11</v>
      </c>
      <c r="C16" s="6" t="s">
        <v>264</v>
      </c>
      <c r="D16" s="7">
        <v>1</v>
      </c>
      <c r="E16" s="217" t="s">
        <v>56</v>
      </c>
      <c r="F16" s="8">
        <f t="shared" si="0"/>
        <v>1</v>
      </c>
      <c r="G16" s="9"/>
    </row>
    <row r="17" spans="2:7">
      <c r="B17" s="5">
        <f t="shared" si="1"/>
        <v>12</v>
      </c>
      <c r="C17" s="6"/>
      <c r="D17" s="7"/>
      <c r="E17" s="10"/>
      <c r="F17" s="8">
        <f t="shared" si="0"/>
        <v>0</v>
      </c>
      <c r="G17" s="9"/>
    </row>
    <row r="18" spans="2:7">
      <c r="B18" s="5">
        <f t="shared" si="1"/>
        <v>13</v>
      </c>
      <c r="C18" s="6"/>
      <c r="D18" s="7"/>
      <c r="E18" s="10"/>
      <c r="F18" s="8">
        <f t="shared" si="0"/>
        <v>0</v>
      </c>
      <c r="G18" s="9"/>
    </row>
    <row r="19" spans="2:7">
      <c r="B19" s="11">
        <f t="shared" si="1"/>
        <v>14</v>
      </c>
      <c r="C19" s="12"/>
      <c r="D19" s="13"/>
      <c r="E19" s="14"/>
      <c r="F19" s="15">
        <f t="shared" si="0"/>
        <v>0</v>
      </c>
      <c r="G19" s="16"/>
    </row>
  </sheetData>
  <mergeCells count="1">
    <mergeCell ref="B2:G4"/>
  </mergeCells>
  <pageMargins left="0.7" right="0.7" top="0.75" bottom="0.75" header="0.3" footer="0.3"/>
  <pageSetup paperSize="9" scale="72" orientation="portrait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G21"/>
  <sheetViews>
    <sheetView view="pageBreakPreview" topLeftCell="A13" zoomScale="130" zoomScaleNormal="123" workbookViewId="0">
      <selection activeCell="F30" sqref="F30"/>
    </sheetView>
  </sheetViews>
  <sheetFormatPr defaultColWidth="8.6640625" defaultRowHeight="14.4"/>
  <cols>
    <col min="1" max="1" width="2.109375" style="1" customWidth="1"/>
    <col min="2" max="2" width="5.88671875" style="1" customWidth="1"/>
    <col min="3" max="3" width="19.5546875" style="1" customWidth="1"/>
    <col min="4" max="5" width="7.5546875" style="1" customWidth="1"/>
    <col min="6" max="6" width="8.6640625" style="1" customWidth="1"/>
    <col min="7" max="7" width="67.88671875" style="1" customWidth="1"/>
    <col min="8" max="16384" width="8.6640625" style="1"/>
  </cols>
  <sheetData>
    <row r="1" spans="2:7" ht="6.9" customHeight="1"/>
    <row r="2" spans="2:7">
      <c r="B2" s="320" t="s">
        <v>666</v>
      </c>
      <c r="C2" s="321"/>
      <c r="D2" s="321"/>
      <c r="E2" s="321"/>
      <c r="F2" s="321"/>
      <c r="G2" s="322"/>
    </row>
    <row r="3" spans="2:7">
      <c r="B3" s="323"/>
      <c r="C3" s="324"/>
      <c r="D3" s="324"/>
      <c r="E3" s="324"/>
      <c r="F3" s="324"/>
      <c r="G3" s="325"/>
    </row>
    <row r="4" spans="2:7">
      <c r="B4" s="323"/>
      <c r="C4" s="324"/>
      <c r="D4" s="324"/>
      <c r="E4" s="324"/>
      <c r="F4" s="324"/>
      <c r="G4" s="325"/>
    </row>
    <row r="5" spans="2:7" ht="30" customHeight="1">
      <c r="B5" s="2" t="s">
        <v>0</v>
      </c>
      <c r="C5" s="3" t="s">
        <v>1</v>
      </c>
      <c r="D5" s="3" t="s">
        <v>654</v>
      </c>
      <c r="E5" s="3" t="s">
        <v>4</v>
      </c>
      <c r="F5" s="3" t="s">
        <v>5</v>
      </c>
      <c r="G5" s="4" t="s">
        <v>2</v>
      </c>
    </row>
    <row r="6" spans="2:7">
      <c r="B6" s="5">
        <v>1</v>
      </c>
      <c r="C6" s="18" t="s">
        <v>172</v>
      </c>
      <c r="D6" s="7">
        <v>2</v>
      </c>
      <c r="E6" s="217" t="s">
        <v>56</v>
      </c>
      <c r="F6" s="8">
        <f t="shared" ref="F6:F21" si="0">SUM(D6:E6)</f>
        <v>2</v>
      </c>
      <c r="G6" s="9"/>
    </row>
    <row r="7" spans="2:7">
      <c r="B7" s="5">
        <f>B6+1</f>
        <v>2</v>
      </c>
      <c r="C7" s="18" t="s">
        <v>269</v>
      </c>
      <c r="D7" s="7">
        <v>4</v>
      </c>
      <c r="E7" s="10">
        <v>1</v>
      </c>
      <c r="F7" s="8">
        <f t="shared" si="0"/>
        <v>5</v>
      </c>
      <c r="G7" s="9"/>
    </row>
    <row r="8" spans="2:7">
      <c r="B8" s="5">
        <f t="shared" ref="B8:B21" si="1">B7+1</f>
        <v>3</v>
      </c>
      <c r="C8" s="18" t="s">
        <v>271</v>
      </c>
      <c r="D8" s="7">
        <v>1</v>
      </c>
      <c r="E8" s="217" t="s">
        <v>56</v>
      </c>
      <c r="F8" s="8">
        <f t="shared" si="0"/>
        <v>1</v>
      </c>
      <c r="G8" s="9"/>
    </row>
    <row r="9" spans="2:7">
      <c r="B9" s="5">
        <f t="shared" si="1"/>
        <v>4</v>
      </c>
      <c r="C9" s="18" t="s">
        <v>273</v>
      </c>
      <c r="D9" s="7">
        <v>4</v>
      </c>
      <c r="E9" s="10">
        <v>2</v>
      </c>
      <c r="F9" s="8">
        <f t="shared" si="0"/>
        <v>6</v>
      </c>
      <c r="G9" s="9"/>
    </row>
    <row r="10" spans="2:7">
      <c r="B10" s="5">
        <f t="shared" si="1"/>
        <v>5</v>
      </c>
      <c r="C10" s="18" t="s">
        <v>275</v>
      </c>
      <c r="D10" s="7">
        <v>1</v>
      </c>
      <c r="E10" s="217" t="s">
        <v>56</v>
      </c>
      <c r="F10" s="8">
        <f t="shared" si="0"/>
        <v>1</v>
      </c>
      <c r="G10" s="9"/>
    </row>
    <row r="11" spans="2:7">
      <c r="B11" s="5">
        <f t="shared" si="1"/>
        <v>6</v>
      </c>
      <c r="C11" s="18" t="s">
        <v>277</v>
      </c>
      <c r="D11" s="7">
        <v>5</v>
      </c>
      <c r="E11" s="217" t="s">
        <v>56</v>
      </c>
      <c r="F11" s="8">
        <f t="shared" si="0"/>
        <v>5</v>
      </c>
      <c r="G11" s="9"/>
    </row>
    <row r="12" spans="2:7">
      <c r="B12" s="5">
        <f t="shared" si="1"/>
        <v>7</v>
      </c>
      <c r="C12" s="18" t="s">
        <v>280</v>
      </c>
      <c r="D12" s="7">
        <v>4</v>
      </c>
      <c r="E12" s="217" t="s">
        <v>56</v>
      </c>
      <c r="F12" s="8">
        <f t="shared" si="0"/>
        <v>4</v>
      </c>
      <c r="G12" s="9"/>
    </row>
    <row r="13" spans="2:7">
      <c r="B13" s="5">
        <f t="shared" si="1"/>
        <v>8</v>
      </c>
      <c r="C13" s="18" t="s">
        <v>253</v>
      </c>
      <c r="D13" s="7">
        <v>3</v>
      </c>
      <c r="E13" s="217" t="s">
        <v>56</v>
      </c>
      <c r="F13" s="8">
        <f t="shared" si="0"/>
        <v>3</v>
      </c>
      <c r="G13" s="9"/>
    </row>
    <row r="14" spans="2:7">
      <c r="B14" s="5">
        <f t="shared" si="1"/>
        <v>9</v>
      </c>
      <c r="C14" s="18" t="s">
        <v>256</v>
      </c>
      <c r="D14" s="7">
        <v>4</v>
      </c>
      <c r="E14" s="10">
        <v>1</v>
      </c>
      <c r="F14" s="8">
        <f t="shared" si="0"/>
        <v>5</v>
      </c>
      <c r="G14" s="9"/>
    </row>
    <row r="15" spans="2:7">
      <c r="B15" s="5">
        <f t="shared" si="1"/>
        <v>10</v>
      </c>
      <c r="C15" s="18" t="s">
        <v>286</v>
      </c>
      <c r="D15" s="7">
        <v>2</v>
      </c>
      <c r="E15" s="10" t="s">
        <v>56</v>
      </c>
      <c r="F15" s="8">
        <f t="shared" si="0"/>
        <v>2</v>
      </c>
      <c r="G15" s="9"/>
    </row>
    <row r="16" spans="2:7">
      <c r="B16" s="5">
        <f t="shared" si="1"/>
        <v>11</v>
      </c>
      <c r="C16" s="6" t="s">
        <v>346</v>
      </c>
      <c r="D16" s="7">
        <v>1</v>
      </c>
      <c r="E16" s="10" t="s">
        <v>56</v>
      </c>
      <c r="F16" s="8">
        <f t="shared" si="0"/>
        <v>1</v>
      </c>
      <c r="G16" s="9"/>
    </row>
    <row r="17" spans="2:7">
      <c r="B17" s="5">
        <f t="shared" si="1"/>
        <v>12</v>
      </c>
      <c r="C17" s="6" t="s">
        <v>288</v>
      </c>
      <c r="D17" s="7">
        <v>1</v>
      </c>
      <c r="E17" s="10" t="s">
        <v>56</v>
      </c>
      <c r="F17" s="8">
        <f t="shared" si="0"/>
        <v>1</v>
      </c>
      <c r="G17" s="9"/>
    </row>
    <row r="18" spans="2:7">
      <c r="B18" s="5">
        <f t="shared" si="1"/>
        <v>13</v>
      </c>
      <c r="C18" s="6" t="s">
        <v>290</v>
      </c>
      <c r="D18" s="7">
        <v>1</v>
      </c>
      <c r="E18" s="10" t="s">
        <v>56</v>
      </c>
      <c r="F18" s="8">
        <f t="shared" si="0"/>
        <v>1</v>
      </c>
      <c r="G18" s="9"/>
    </row>
    <row r="19" spans="2:7">
      <c r="B19" s="5">
        <f t="shared" si="1"/>
        <v>14</v>
      </c>
      <c r="C19" s="20" t="s">
        <v>262</v>
      </c>
      <c r="D19" s="21">
        <v>1</v>
      </c>
      <c r="E19" s="10" t="s">
        <v>56</v>
      </c>
      <c r="F19" s="8">
        <f t="shared" si="0"/>
        <v>1</v>
      </c>
      <c r="G19" s="22"/>
    </row>
    <row r="20" spans="2:7">
      <c r="B20" s="5">
        <f t="shared" si="1"/>
        <v>15</v>
      </c>
      <c r="C20" s="20" t="s">
        <v>264</v>
      </c>
      <c r="D20" s="21">
        <v>1</v>
      </c>
      <c r="E20" s="10" t="s">
        <v>56</v>
      </c>
      <c r="F20" s="8">
        <f t="shared" si="0"/>
        <v>1</v>
      </c>
      <c r="G20" s="22"/>
    </row>
    <row r="21" spans="2:7">
      <c r="B21" s="5">
        <f t="shared" si="1"/>
        <v>16</v>
      </c>
      <c r="C21" s="12" t="s">
        <v>294</v>
      </c>
      <c r="D21" s="13">
        <v>2</v>
      </c>
      <c r="E21" s="14" t="s">
        <v>56</v>
      </c>
      <c r="F21" s="15">
        <f t="shared" si="0"/>
        <v>2</v>
      </c>
      <c r="G21" s="16"/>
    </row>
  </sheetData>
  <mergeCells count="1">
    <mergeCell ref="B2:G4"/>
  </mergeCells>
  <pageMargins left="0.7" right="0.7" top="0.75" bottom="0.75" header="0.3" footer="0.3"/>
  <pageSetup paperSize="9" scale="72" orientation="portrait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G19"/>
  <sheetViews>
    <sheetView view="pageBreakPreview" zoomScale="130" zoomScaleNormal="123" workbookViewId="0">
      <selection activeCell="D6" sqref="D6:D16"/>
    </sheetView>
  </sheetViews>
  <sheetFormatPr defaultColWidth="8.6640625" defaultRowHeight="14.4"/>
  <cols>
    <col min="1" max="1" width="2.109375" style="1" customWidth="1"/>
    <col min="2" max="2" width="5.88671875" style="1" customWidth="1"/>
    <col min="3" max="3" width="19.5546875" style="1" customWidth="1"/>
    <col min="4" max="5" width="7.5546875" style="1" customWidth="1"/>
    <col min="6" max="6" width="8.6640625" style="1" customWidth="1"/>
    <col min="7" max="7" width="67.88671875" style="1" customWidth="1"/>
    <col min="8" max="16384" width="8.6640625" style="1"/>
  </cols>
  <sheetData>
    <row r="1" spans="2:7" ht="6.9" customHeight="1"/>
    <row r="2" spans="2:7">
      <c r="B2" s="320" t="s">
        <v>667</v>
      </c>
      <c r="C2" s="321"/>
      <c r="D2" s="321"/>
      <c r="E2" s="321"/>
      <c r="F2" s="321"/>
      <c r="G2" s="322"/>
    </row>
    <row r="3" spans="2:7">
      <c r="B3" s="323"/>
      <c r="C3" s="324"/>
      <c r="D3" s="324"/>
      <c r="E3" s="324"/>
      <c r="F3" s="324"/>
      <c r="G3" s="325"/>
    </row>
    <row r="4" spans="2:7">
      <c r="B4" s="323"/>
      <c r="C4" s="324"/>
      <c r="D4" s="324"/>
      <c r="E4" s="324"/>
      <c r="F4" s="324"/>
      <c r="G4" s="325"/>
    </row>
    <row r="5" spans="2:7" ht="30" customHeight="1">
      <c r="B5" s="2" t="s">
        <v>0</v>
      </c>
      <c r="C5" s="3" t="s">
        <v>1</v>
      </c>
      <c r="D5" s="3" t="s">
        <v>654</v>
      </c>
      <c r="E5" s="3" t="s">
        <v>4</v>
      </c>
      <c r="F5" s="3" t="s">
        <v>5</v>
      </c>
      <c r="G5" s="4" t="s">
        <v>2</v>
      </c>
    </row>
    <row r="6" spans="2:7">
      <c r="B6" s="5">
        <v>1</v>
      </c>
      <c r="C6" s="19" t="s">
        <v>172</v>
      </c>
      <c r="D6" s="7">
        <v>4</v>
      </c>
      <c r="E6" s="217" t="s">
        <v>56</v>
      </c>
      <c r="F6" s="8">
        <f t="shared" ref="F6:F16" si="0">SUM(D6:E6)</f>
        <v>4</v>
      </c>
      <c r="G6" s="9"/>
    </row>
    <row r="7" spans="2:7">
      <c r="B7" s="5">
        <f>B6+1</f>
        <v>2</v>
      </c>
      <c r="C7" s="19" t="s">
        <v>264</v>
      </c>
      <c r="D7" s="7">
        <v>1</v>
      </c>
      <c r="E7" s="217" t="s">
        <v>56</v>
      </c>
      <c r="F7" s="8">
        <f t="shared" si="0"/>
        <v>1</v>
      </c>
      <c r="G7" s="9"/>
    </row>
    <row r="8" spans="2:7">
      <c r="B8" s="5">
        <f t="shared" ref="B8:B19" si="1">B7+1</f>
        <v>3</v>
      </c>
      <c r="C8" s="19" t="s">
        <v>253</v>
      </c>
      <c r="D8" s="7">
        <v>6</v>
      </c>
      <c r="E8" s="217" t="s">
        <v>56</v>
      </c>
      <c r="F8" s="8">
        <f t="shared" si="0"/>
        <v>6</v>
      </c>
      <c r="G8" s="9"/>
    </row>
    <row r="9" spans="2:7">
      <c r="B9" s="5">
        <f t="shared" si="1"/>
        <v>4</v>
      </c>
      <c r="C9" s="19" t="s">
        <v>248</v>
      </c>
      <c r="D9" s="7">
        <v>1</v>
      </c>
      <c r="E9" s="217" t="s">
        <v>56</v>
      </c>
      <c r="F9" s="8">
        <f t="shared" si="0"/>
        <v>1</v>
      </c>
      <c r="G9" s="9"/>
    </row>
    <row r="10" spans="2:7">
      <c r="B10" s="5">
        <f t="shared" si="1"/>
        <v>5</v>
      </c>
      <c r="C10" s="19" t="s">
        <v>302</v>
      </c>
      <c r="D10" s="7">
        <v>3</v>
      </c>
      <c r="E10" s="217" t="s">
        <v>56</v>
      </c>
      <c r="F10" s="8">
        <f t="shared" si="0"/>
        <v>3</v>
      </c>
      <c r="G10" s="9"/>
    </row>
    <row r="11" spans="2:7">
      <c r="B11" s="5">
        <f t="shared" si="1"/>
        <v>6</v>
      </c>
      <c r="C11" s="19" t="s">
        <v>305</v>
      </c>
      <c r="D11" s="7">
        <v>18</v>
      </c>
      <c r="E11" s="217" t="s">
        <v>56</v>
      </c>
      <c r="F11" s="8">
        <f t="shared" si="0"/>
        <v>18</v>
      </c>
      <c r="G11" s="9"/>
    </row>
    <row r="12" spans="2:7">
      <c r="B12" s="5">
        <f t="shared" si="1"/>
        <v>7</v>
      </c>
      <c r="C12" s="19" t="s">
        <v>308</v>
      </c>
      <c r="D12" s="7">
        <v>20</v>
      </c>
      <c r="E12" s="217" t="s">
        <v>56</v>
      </c>
      <c r="F12" s="8">
        <f t="shared" si="0"/>
        <v>20</v>
      </c>
      <c r="G12" s="9"/>
    </row>
    <row r="13" spans="2:7">
      <c r="B13" s="5">
        <f t="shared" si="1"/>
        <v>8</v>
      </c>
      <c r="C13" s="6" t="s">
        <v>311</v>
      </c>
      <c r="D13" s="7">
        <v>18</v>
      </c>
      <c r="E13" s="217" t="s">
        <v>56</v>
      </c>
      <c r="F13" s="8">
        <f t="shared" si="0"/>
        <v>18</v>
      </c>
      <c r="G13" s="9"/>
    </row>
    <row r="14" spans="2:7">
      <c r="B14" s="5">
        <f t="shared" si="1"/>
        <v>9</v>
      </c>
      <c r="C14" s="6" t="s">
        <v>294</v>
      </c>
      <c r="D14" s="7">
        <v>7</v>
      </c>
      <c r="E14" s="217" t="s">
        <v>56</v>
      </c>
      <c r="F14" s="8">
        <f t="shared" si="0"/>
        <v>7</v>
      </c>
      <c r="G14" s="9"/>
    </row>
    <row r="15" spans="2:7">
      <c r="B15" s="5">
        <f t="shared" si="1"/>
        <v>10</v>
      </c>
      <c r="C15" s="6" t="s">
        <v>315</v>
      </c>
      <c r="D15" s="7">
        <v>2</v>
      </c>
      <c r="E15" s="217" t="s">
        <v>56</v>
      </c>
      <c r="F15" s="8">
        <f t="shared" si="0"/>
        <v>2</v>
      </c>
      <c r="G15" s="9"/>
    </row>
    <row r="16" spans="2:7">
      <c r="B16" s="5">
        <f t="shared" si="1"/>
        <v>11</v>
      </c>
      <c r="C16" s="6" t="s">
        <v>318</v>
      </c>
      <c r="D16" s="7">
        <v>18</v>
      </c>
      <c r="E16" s="217" t="s">
        <v>56</v>
      </c>
      <c r="F16" s="8">
        <f t="shared" si="0"/>
        <v>18</v>
      </c>
      <c r="G16" s="9"/>
    </row>
    <row r="17" spans="2:7">
      <c r="B17" s="5">
        <f t="shared" si="1"/>
        <v>12</v>
      </c>
      <c r="C17" s="6"/>
      <c r="D17" s="7"/>
      <c r="E17" s="10"/>
      <c r="F17" s="8"/>
      <c r="G17" s="9"/>
    </row>
    <row r="18" spans="2:7">
      <c r="B18" s="5">
        <f t="shared" si="1"/>
        <v>13</v>
      </c>
      <c r="C18" s="6"/>
      <c r="D18" s="7"/>
      <c r="E18" s="10"/>
      <c r="F18" s="8"/>
      <c r="G18" s="9"/>
    </row>
    <row r="19" spans="2:7">
      <c r="B19" s="11">
        <f t="shared" si="1"/>
        <v>14</v>
      </c>
      <c r="C19" s="12"/>
      <c r="D19" s="13"/>
      <c r="E19" s="14"/>
      <c r="F19" s="15"/>
      <c r="G19" s="16"/>
    </row>
  </sheetData>
  <mergeCells count="1">
    <mergeCell ref="B2:G4"/>
  </mergeCells>
  <pageMargins left="0.7" right="0.7" top="0.75" bottom="0.75" header="0.3" footer="0.3"/>
  <pageSetup paperSize="9" scale="72" orientation="portrait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G19"/>
  <sheetViews>
    <sheetView view="pageBreakPreview" zoomScale="130" zoomScaleNormal="123" workbookViewId="0">
      <selection activeCell="D6" sqref="D6:D12"/>
    </sheetView>
  </sheetViews>
  <sheetFormatPr defaultColWidth="8.6640625" defaultRowHeight="14.4"/>
  <cols>
    <col min="1" max="1" width="2.109375" style="1" customWidth="1"/>
    <col min="2" max="2" width="5.88671875" style="1" customWidth="1"/>
    <col min="3" max="3" width="19.5546875" style="1" customWidth="1"/>
    <col min="4" max="5" width="7.5546875" style="1" customWidth="1"/>
    <col min="6" max="6" width="8.6640625" style="1" customWidth="1"/>
    <col min="7" max="7" width="67.88671875" style="1" customWidth="1"/>
    <col min="8" max="16384" width="8.6640625" style="1"/>
  </cols>
  <sheetData>
    <row r="1" spans="2:7" ht="6.9" customHeight="1"/>
    <row r="2" spans="2:7">
      <c r="B2" s="320" t="s">
        <v>668</v>
      </c>
      <c r="C2" s="321"/>
      <c r="D2" s="321"/>
      <c r="E2" s="321"/>
      <c r="F2" s="321"/>
      <c r="G2" s="322"/>
    </row>
    <row r="3" spans="2:7">
      <c r="B3" s="323"/>
      <c r="C3" s="324"/>
      <c r="D3" s="324"/>
      <c r="E3" s="324"/>
      <c r="F3" s="324"/>
      <c r="G3" s="325"/>
    </row>
    <row r="4" spans="2:7">
      <c r="B4" s="323"/>
      <c r="C4" s="324"/>
      <c r="D4" s="324"/>
      <c r="E4" s="324"/>
      <c r="F4" s="324"/>
      <c r="G4" s="325"/>
    </row>
    <row r="5" spans="2:7" ht="30" customHeight="1">
      <c r="B5" s="2" t="s">
        <v>0</v>
      </c>
      <c r="C5" s="3" t="s">
        <v>1</v>
      </c>
      <c r="D5" s="3" t="s">
        <v>654</v>
      </c>
      <c r="E5" s="3" t="s">
        <v>4</v>
      </c>
      <c r="F5" s="3" t="s">
        <v>5</v>
      </c>
      <c r="G5" s="4" t="s">
        <v>2</v>
      </c>
    </row>
    <row r="6" spans="2:7">
      <c r="B6" s="5">
        <v>1</v>
      </c>
      <c r="C6" s="19" t="s">
        <v>172</v>
      </c>
      <c r="D6" s="7">
        <v>2</v>
      </c>
      <c r="E6" s="217" t="s">
        <v>56</v>
      </c>
      <c r="F6" s="8">
        <f t="shared" ref="F6:F19" si="0">SUM(D6:E6)</f>
        <v>2</v>
      </c>
      <c r="G6" s="9"/>
    </row>
    <row r="7" spans="2:7">
      <c r="B7" s="5">
        <f>B6+1</f>
        <v>2</v>
      </c>
      <c r="C7" s="19" t="s">
        <v>264</v>
      </c>
      <c r="D7" s="7">
        <v>1</v>
      </c>
      <c r="E7" s="217" t="s">
        <v>56</v>
      </c>
      <c r="F7" s="8">
        <f t="shared" si="0"/>
        <v>1</v>
      </c>
      <c r="G7" s="9"/>
    </row>
    <row r="8" spans="2:7">
      <c r="B8" s="5">
        <f t="shared" ref="B8:B19" si="1">B7+1</f>
        <v>3</v>
      </c>
      <c r="C8" s="19" t="s">
        <v>325</v>
      </c>
      <c r="D8" s="7">
        <v>9</v>
      </c>
      <c r="E8" s="217" t="s">
        <v>56</v>
      </c>
      <c r="F8" s="8">
        <f t="shared" si="0"/>
        <v>9</v>
      </c>
      <c r="G8" s="9"/>
    </row>
    <row r="9" spans="2:7">
      <c r="B9" s="5">
        <f t="shared" si="1"/>
        <v>4</v>
      </c>
      <c r="C9" s="19" t="s">
        <v>669</v>
      </c>
      <c r="D9" s="7">
        <v>1</v>
      </c>
      <c r="E9" s="217" t="s">
        <v>56</v>
      </c>
      <c r="F9" s="8">
        <f t="shared" si="0"/>
        <v>1</v>
      </c>
      <c r="G9" s="9"/>
    </row>
    <row r="10" spans="2:7">
      <c r="B10" s="5">
        <f t="shared" si="1"/>
        <v>5</v>
      </c>
      <c r="C10" s="19" t="s">
        <v>327</v>
      </c>
      <c r="D10" s="7">
        <v>1</v>
      </c>
      <c r="E10" s="217" t="s">
        <v>56</v>
      </c>
      <c r="F10" s="8">
        <f t="shared" si="0"/>
        <v>1</v>
      </c>
      <c r="G10" s="9"/>
    </row>
    <row r="11" spans="2:7">
      <c r="B11" s="5">
        <f t="shared" si="1"/>
        <v>6</v>
      </c>
      <c r="C11" s="6" t="s">
        <v>302</v>
      </c>
      <c r="D11" s="7">
        <v>1</v>
      </c>
      <c r="E11" s="217" t="s">
        <v>56</v>
      </c>
      <c r="F11" s="8">
        <f t="shared" si="0"/>
        <v>1</v>
      </c>
      <c r="G11" s="9"/>
    </row>
    <row r="12" spans="2:7">
      <c r="B12" s="5">
        <f t="shared" si="1"/>
        <v>7</v>
      </c>
      <c r="C12" s="19" t="s">
        <v>288</v>
      </c>
      <c r="D12" s="7">
        <v>1</v>
      </c>
      <c r="E12" s="217" t="s">
        <v>56</v>
      </c>
      <c r="F12" s="8">
        <f t="shared" si="0"/>
        <v>1</v>
      </c>
      <c r="G12" s="9"/>
    </row>
    <row r="13" spans="2:7">
      <c r="B13" s="5">
        <f t="shared" si="1"/>
        <v>8</v>
      </c>
      <c r="C13" s="6"/>
      <c r="D13" s="7"/>
      <c r="E13" s="217" t="s">
        <v>56</v>
      </c>
      <c r="F13" s="8">
        <f t="shared" si="0"/>
        <v>0</v>
      </c>
      <c r="G13" s="9"/>
    </row>
    <row r="14" spans="2:7">
      <c r="B14" s="5">
        <f t="shared" si="1"/>
        <v>9</v>
      </c>
      <c r="C14" s="6"/>
      <c r="D14" s="7"/>
      <c r="E14" s="217" t="s">
        <v>56</v>
      </c>
      <c r="F14" s="8">
        <f t="shared" si="0"/>
        <v>0</v>
      </c>
      <c r="G14" s="9"/>
    </row>
    <row r="15" spans="2:7">
      <c r="B15" s="5">
        <f t="shared" si="1"/>
        <v>10</v>
      </c>
      <c r="C15" s="6"/>
      <c r="D15" s="7"/>
      <c r="E15" s="217" t="s">
        <v>56</v>
      </c>
      <c r="F15" s="8">
        <f t="shared" si="0"/>
        <v>0</v>
      </c>
      <c r="G15" s="9"/>
    </row>
    <row r="16" spans="2:7">
      <c r="B16" s="5">
        <f t="shared" si="1"/>
        <v>11</v>
      </c>
      <c r="C16" s="6"/>
      <c r="D16" s="7"/>
      <c r="E16" s="217" t="s">
        <v>56</v>
      </c>
      <c r="F16" s="8">
        <f t="shared" si="0"/>
        <v>0</v>
      </c>
      <c r="G16" s="9"/>
    </row>
    <row r="17" spans="2:7">
      <c r="B17" s="5">
        <f t="shared" si="1"/>
        <v>12</v>
      </c>
      <c r="C17" s="6"/>
      <c r="D17" s="7"/>
      <c r="E17" s="10"/>
      <c r="F17" s="8">
        <f t="shared" si="0"/>
        <v>0</v>
      </c>
      <c r="G17" s="9"/>
    </row>
    <row r="18" spans="2:7">
      <c r="B18" s="5">
        <f t="shared" si="1"/>
        <v>13</v>
      </c>
      <c r="C18" s="6"/>
      <c r="D18" s="7"/>
      <c r="E18" s="10"/>
      <c r="F18" s="8">
        <f t="shared" si="0"/>
        <v>0</v>
      </c>
      <c r="G18" s="9"/>
    </row>
    <row r="19" spans="2:7">
      <c r="B19" s="11">
        <f t="shared" si="1"/>
        <v>14</v>
      </c>
      <c r="C19" s="12"/>
      <c r="D19" s="13"/>
      <c r="E19" s="14"/>
      <c r="F19" s="15">
        <f t="shared" si="0"/>
        <v>0</v>
      </c>
      <c r="G19" s="16"/>
    </row>
  </sheetData>
  <mergeCells count="1">
    <mergeCell ref="B2:G4"/>
  </mergeCells>
  <pageMargins left="0.7" right="0.7" top="0.75" bottom="0.75" header="0.3" footer="0.3"/>
  <pageSetup paperSize="9" scale="72" orientation="portrait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G19"/>
  <sheetViews>
    <sheetView view="pageBreakPreview" topLeftCell="A4" zoomScale="130" zoomScaleNormal="123" workbookViewId="0">
      <selection activeCell="D6" sqref="D6:D17"/>
    </sheetView>
  </sheetViews>
  <sheetFormatPr defaultColWidth="8.6640625" defaultRowHeight="14.4"/>
  <cols>
    <col min="1" max="1" width="2.109375" style="1" customWidth="1"/>
    <col min="2" max="2" width="5.88671875" style="1" customWidth="1"/>
    <col min="3" max="3" width="19.5546875" style="1" customWidth="1"/>
    <col min="4" max="5" width="7.5546875" style="1" customWidth="1"/>
    <col min="6" max="6" width="8.6640625" style="1" customWidth="1"/>
    <col min="7" max="7" width="67.88671875" style="1" customWidth="1"/>
    <col min="8" max="16384" width="8.6640625" style="1"/>
  </cols>
  <sheetData>
    <row r="1" spans="2:7" ht="6.9" customHeight="1"/>
    <row r="2" spans="2:7">
      <c r="B2" s="320" t="s">
        <v>670</v>
      </c>
      <c r="C2" s="321"/>
      <c r="D2" s="321"/>
      <c r="E2" s="321"/>
      <c r="F2" s="321"/>
      <c r="G2" s="322"/>
    </row>
    <row r="3" spans="2:7">
      <c r="B3" s="323"/>
      <c r="C3" s="324"/>
      <c r="D3" s="324"/>
      <c r="E3" s="324"/>
      <c r="F3" s="324"/>
      <c r="G3" s="325"/>
    </row>
    <row r="4" spans="2:7">
      <c r="B4" s="323"/>
      <c r="C4" s="324"/>
      <c r="D4" s="324"/>
      <c r="E4" s="324"/>
      <c r="F4" s="324"/>
      <c r="G4" s="325"/>
    </row>
    <row r="5" spans="2:7" ht="30" customHeight="1">
      <c r="B5" s="2" t="s">
        <v>0</v>
      </c>
      <c r="C5" s="3" t="s">
        <v>1</v>
      </c>
      <c r="D5" s="3" t="s">
        <v>654</v>
      </c>
      <c r="E5" s="3" t="s">
        <v>4</v>
      </c>
      <c r="F5" s="3" t="s">
        <v>5</v>
      </c>
      <c r="G5" s="4" t="s">
        <v>2</v>
      </c>
    </row>
    <row r="6" spans="2:7">
      <c r="B6" s="5">
        <v>1</v>
      </c>
      <c r="C6" s="19" t="s">
        <v>172</v>
      </c>
      <c r="D6" s="7">
        <v>1</v>
      </c>
      <c r="E6" s="217" t="s">
        <v>56</v>
      </c>
      <c r="F6" s="8">
        <f t="shared" ref="F6:F19" si="0">SUM(D6:E6)</f>
        <v>1</v>
      </c>
      <c r="G6" s="9"/>
    </row>
    <row r="7" spans="2:7">
      <c r="B7" s="5">
        <f>B6+1</f>
        <v>2</v>
      </c>
      <c r="C7" s="19" t="s">
        <v>333</v>
      </c>
      <c r="D7" s="7">
        <v>1</v>
      </c>
      <c r="E7" s="217" t="s">
        <v>56</v>
      </c>
      <c r="F7" s="8">
        <f t="shared" si="0"/>
        <v>1</v>
      </c>
      <c r="G7" s="9"/>
    </row>
    <row r="8" spans="2:7">
      <c r="B8" s="5">
        <f t="shared" ref="B8:B19" si="1">B7+1</f>
        <v>3</v>
      </c>
      <c r="C8" s="19" t="s">
        <v>271</v>
      </c>
      <c r="D8" s="7">
        <v>1</v>
      </c>
      <c r="E8" s="217" t="s">
        <v>56</v>
      </c>
      <c r="F8" s="8">
        <f t="shared" si="0"/>
        <v>1</v>
      </c>
      <c r="G8" s="9"/>
    </row>
    <row r="9" spans="2:7">
      <c r="B9" s="5">
        <f t="shared" si="1"/>
        <v>4</v>
      </c>
      <c r="C9" s="19" t="s">
        <v>248</v>
      </c>
      <c r="D9" s="7">
        <v>3</v>
      </c>
      <c r="E9" s="217" t="s">
        <v>56</v>
      </c>
      <c r="F9" s="8">
        <f t="shared" si="0"/>
        <v>3</v>
      </c>
      <c r="G9" s="9"/>
    </row>
    <row r="10" spans="2:7">
      <c r="B10" s="5">
        <f t="shared" si="1"/>
        <v>5</v>
      </c>
      <c r="C10" s="19" t="s">
        <v>253</v>
      </c>
      <c r="D10" s="7">
        <v>4</v>
      </c>
      <c r="E10" s="217" t="s">
        <v>56</v>
      </c>
      <c r="F10" s="8">
        <f t="shared" si="0"/>
        <v>4</v>
      </c>
      <c r="G10" s="9"/>
    </row>
    <row r="11" spans="2:7">
      <c r="B11" s="5">
        <f t="shared" si="1"/>
        <v>6</v>
      </c>
      <c r="C11" s="19" t="s">
        <v>315</v>
      </c>
      <c r="D11" s="7">
        <v>3</v>
      </c>
      <c r="E11" s="217" t="s">
        <v>56</v>
      </c>
      <c r="F11" s="8">
        <f t="shared" si="0"/>
        <v>3</v>
      </c>
      <c r="G11" s="9"/>
    </row>
    <row r="12" spans="2:7">
      <c r="B12" s="5">
        <f t="shared" si="1"/>
        <v>7</v>
      </c>
      <c r="C12" s="19" t="s">
        <v>286</v>
      </c>
      <c r="D12" s="7">
        <v>1</v>
      </c>
      <c r="E12" s="217" t="s">
        <v>56</v>
      </c>
      <c r="F12" s="8">
        <f t="shared" si="0"/>
        <v>1</v>
      </c>
      <c r="G12" s="9"/>
    </row>
    <row r="13" spans="2:7">
      <c r="B13" s="5">
        <f t="shared" si="1"/>
        <v>8</v>
      </c>
      <c r="C13" s="19" t="s">
        <v>341</v>
      </c>
      <c r="D13" s="7">
        <v>1</v>
      </c>
      <c r="E13" s="217" t="s">
        <v>56</v>
      </c>
      <c r="F13" s="8">
        <f t="shared" si="0"/>
        <v>1</v>
      </c>
      <c r="G13" s="9"/>
    </row>
    <row r="14" spans="2:7">
      <c r="B14" s="5">
        <f t="shared" si="1"/>
        <v>9</v>
      </c>
      <c r="C14" s="19" t="s">
        <v>343</v>
      </c>
      <c r="D14" s="7">
        <v>1</v>
      </c>
      <c r="E14" s="217" t="s">
        <v>56</v>
      </c>
      <c r="F14" s="8">
        <f t="shared" si="0"/>
        <v>1</v>
      </c>
      <c r="G14" s="9"/>
    </row>
    <row r="15" spans="2:7">
      <c r="B15" s="5">
        <f t="shared" si="1"/>
        <v>10</v>
      </c>
      <c r="C15" s="19" t="s">
        <v>262</v>
      </c>
      <c r="D15" s="7">
        <v>1</v>
      </c>
      <c r="E15" s="217" t="s">
        <v>56</v>
      </c>
      <c r="F15" s="8">
        <f t="shared" si="0"/>
        <v>1</v>
      </c>
      <c r="G15" s="9"/>
    </row>
    <row r="16" spans="2:7">
      <c r="B16" s="5">
        <f t="shared" si="1"/>
        <v>11</v>
      </c>
      <c r="C16" s="19" t="s">
        <v>346</v>
      </c>
      <c r="D16" s="7">
        <v>1</v>
      </c>
      <c r="E16" s="217" t="s">
        <v>56</v>
      </c>
      <c r="F16" s="8">
        <f t="shared" si="0"/>
        <v>1</v>
      </c>
      <c r="G16" s="9"/>
    </row>
    <row r="17" spans="2:7">
      <c r="B17" s="5">
        <f t="shared" si="1"/>
        <v>12</v>
      </c>
      <c r="C17" s="19" t="s">
        <v>264</v>
      </c>
      <c r="D17" s="7">
        <v>1</v>
      </c>
      <c r="E17" s="217" t="s">
        <v>56</v>
      </c>
      <c r="F17" s="8">
        <f t="shared" si="0"/>
        <v>1</v>
      </c>
      <c r="G17" s="9"/>
    </row>
    <row r="18" spans="2:7">
      <c r="B18" s="5">
        <f t="shared" si="1"/>
        <v>13</v>
      </c>
      <c r="C18" s="6"/>
      <c r="D18" s="7"/>
      <c r="E18" s="10"/>
      <c r="F18" s="8">
        <f t="shared" si="0"/>
        <v>0</v>
      </c>
      <c r="G18" s="9"/>
    </row>
    <row r="19" spans="2:7">
      <c r="B19" s="11">
        <f t="shared" si="1"/>
        <v>14</v>
      </c>
      <c r="C19" s="12"/>
      <c r="D19" s="13"/>
      <c r="E19" s="14"/>
      <c r="F19" s="15">
        <f t="shared" si="0"/>
        <v>0</v>
      </c>
      <c r="G19" s="16"/>
    </row>
  </sheetData>
  <mergeCells count="1">
    <mergeCell ref="B2:G4"/>
  </mergeCells>
  <pageMargins left="0.7" right="0.7" top="0.75" bottom="0.75" header="0.3" footer="0.3"/>
  <pageSetup paperSize="9" scale="72" orientation="portrait" verticalDpi="36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G19"/>
  <sheetViews>
    <sheetView view="pageBreakPreview" topLeftCell="A10" zoomScale="130" zoomScaleNormal="123" workbookViewId="0">
      <selection activeCell="D6" sqref="D6:D13"/>
    </sheetView>
  </sheetViews>
  <sheetFormatPr defaultColWidth="8.6640625" defaultRowHeight="14.4"/>
  <cols>
    <col min="1" max="1" width="2.109375" style="1" customWidth="1"/>
    <col min="2" max="2" width="5.88671875" style="1" customWidth="1"/>
    <col min="3" max="3" width="19.5546875" style="1" customWidth="1"/>
    <col min="4" max="5" width="7.5546875" style="1" customWidth="1"/>
    <col min="6" max="6" width="8.6640625" style="1" customWidth="1"/>
    <col min="7" max="7" width="67.88671875" style="1" customWidth="1"/>
    <col min="8" max="16384" width="8.6640625" style="1"/>
  </cols>
  <sheetData>
    <row r="1" spans="2:7" ht="6.9" customHeight="1"/>
    <row r="2" spans="2:7">
      <c r="B2" s="320" t="s">
        <v>671</v>
      </c>
      <c r="C2" s="321"/>
      <c r="D2" s="321"/>
      <c r="E2" s="321"/>
      <c r="F2" s="321"/>
      <c r="G2" s="322"/>
    </row>
    <row r="3" spans="2:7">
      <c r="B3" s="323"/>
      <c r="C3" s="324"/>
      <c r="D3" s="324"/>
      <c r="E3" s="324"/>
      <c r="F3" s="324"/>
      <c r="G3" s="325"/>
    </row>
    <row r="4" spans="2:7">
      <c r="B4" s="323"/>
      <c r="C4" s="324"/>
      <c r="D4" s="324"/>
      <c r="E4" s="324"/>
      <c r="F4" s="324"/>
      <c r="G4" s="325"/>
    </row>
    <row r="5" spans="2:7" ht="30" customHeight="1">
      <c r="B5" s="2" t="s">
        <v>0</v>
      </c>
      <c r="C5" s="3" t="s">
        <v>1</v>
      </c>
      <c r="D5" s="3" t="s">
        <v>654</v>
      </c>
      <c r="E5" s="3" t="s">
        <v>4</v>
      </c>
      <c r="F5" s="3" t="s">
        <v>5</v>
      </c>
      <c r="G5" s="4" t="s">
        <v>2</v>
      </c>
    </row>
    <row r="6" spans="2:7">
      <c r="B6" s="5">
        <v>1</v>
      </c>
      <c r="C6" s="18" t="s">
        <v>349</v>
      </c>
      <c r="D6" s="7">
        <v>1</v>
      </c>
      <c r="E6" s="217" t="s">
        <v>56</v>
      </c>
      <c r="F6" s="8">
        <f t="shared" ref="F6:F19" si="0">SUM(D6:E6)</f>
        <v>1</v>
      </c>
      <c r="G6" s="9"/>
    </row>
    <row r="7" spans="2:7">
      <c r="B7" s="5">
        <f>B6+1</f>
        <v>2</v>
      </c>
      <c r="C7" s="18" t="s">
        <v>172</v>
      </c>
      <c r="D7" s="7">
        <v>1</v>
      </c>
      <c r="E7" s="217" t="s">
        <v>56</v>
      </c>
      <c r="F7" s="8">
        <f t="shared" si="0"/>
        <v>1</v>
      </c>
      <c r="G7" s="9"/>
    </row>
    <row r="8" spans="2:7">
      <c r="B8" s="5">
        <f t="shared" ref="B8:B19" si="1">B7+1</f>
        <v>3</v>
      </c>
      <c r="C8" s="18" t="s">
        <v>353</v>
      </c>
      <c r="D8" s="7">
        <v>1</v>
      </c>
      <c r="E8" s="217" t="s">
        <v>56</v>
      </c>
      <c r="F8" s="8">
        <f t="shared" si="0"/>
        <v>1</v>
      </c>
      <c r="G8" s="9"/>
    </row>
    <row r="9" spans="2:7">
      <c r="B9" s="5">
        <f t="shared" si="1"/>
        <v>4</v>
      </c>
      <c r="C9" s="18" t="s">
        <v>346</v>
      </c>
      <c r="D9" s="7">
        <v>1</v>
      </c>
      <c r="E9" s="217" t="s">
        <v>56</v>
      </c>
      <c r="F9" s="8">
        <f t="shared" si="0"/>
        <v>1</v>
      </c>
      <c r="G9" s="9"/>
    </row>
    <row r="10" spans="2:7">
      <c r="B10" s="5">
        <f t="shared" si="1"/>
        <v>5</v>
      </c>
      <c r="C10" s="18" t="s">
        <v>256</v>
      </c>
      <c r="D10" s="7">
        <v>3</v>
      </c>
      <c r="E10" s="217" t="s">
        <v>56</v>
      </c>
      <c r="F10" s="8">
        <f t="shared" ref="F10:F12" si="2">SUM(D10:E10)</f>
        <v>3</v>
      </c>
      <c r="G10" s="9"/>
    </row>
    <row r="11" spans="2:7">
      <c r="B11" s="5">
        <f t="shared" si="1"/>
        <v>6</v>
      </c>
      <c r="C11" s="18" t="s">
        <v>358</v>
      </c>
      <c r="D11" s="7">
        <v>2</v>
      </c>
      <c r="E11" s="217" t="s">
        <v>56</v>
      </c>
      <c r="F11" s="8">
        <f t="shared" si="2"/>
        <v>2</v>
      </c>
      <c r="G11" s="9"/>
    </row>
    <row r="12" spans="2:7">
      <c r="B12" s="5">
        <f t="shared" si="1"/>
        <v>7</v>
      </c>
      <c r="C12" s="18" t="s">
        <v>360</v>
      </c>
      <c r="D12" s="7">
        <v>1</v>
      </c>
      <c r="E12" s="217" t="s">
        <v>56</v>
      </c>
      <c r="F12" s="8">
        <f t="shared" si="2"/>
        <v>1</v>
      </c>
      <c r="G12" s="9"/>
    </row>
    <row r="13" spans="2:7">
      <c r="B13" s="5">
        <f t="shared" si="1"/>
        <v>8</v>
      </c>
      <c r="C13" s="18" t="s">
        <v>264</v>
      </c>
      <c r="D13" s="7">
        <v>1</v>
      </c>
      <c r="E13" s="217" t="s">
        <v>56</v>
      </c>
      <c r="F13" s="8">
        <f t="shared" ref="F13" si="3">SUM(D13:E13)</f>
        <v>1</v>
      </c>
      <c r="G13" s="9"/>
    </row>
    <row r="14" spans="2:7">
      <c r="B14" s="5">
        <f t="shared" si="1"/>
        <v>9</v>
      </c>
      <c r="C14" s="6"/>
      <c r="D14" s="7"/>
      <c r="E14" s="10"/>
      <c r="F14" s="8"/>
      <c r="G14" s="9"/>
    </row>
    <row r="15" spans="2:7">
      <c r="B15" s="5">
        <f t="shared" si="1"/>
        <v>10</v>
      </c>
      <c r="C15" s="6"/>
      <c r="D15" s="7"/>
      <c r="E15" s="10"/>
      <c r="F15" s="8"/>
      <c r="G15" s="9"/>
    </row>
    <row r="16" spans="2:7">
      <c r="B16" s="5">
        <f t="shared" si="1"/>
        <v>11</v>
      </c>
      <c r="C16" s="6"/>
      <c r="D16" s="7"/>
      <c r="E16" s="217" t="s">
        <v>56</v>
      </c>
      <c r="F16" s="8">
        <f t="shared" si="0"/>
        <v>0</v>
      </c>
      <c r="G16" s="9"/>
    </row>
    <row r="17" spans="2:7">
      <c r="B17" s="5">
        <f t="shared" si="1"/>
        <v>12</v>
      </c>
      <c r="C17" s="6"/>
      <c r="D17" s="7"/>
      <c r="E17" s="10"/>
      <c r="F17" s="8">
        <f t="shared" si="0"/>
        <v>0</v>
      </c>
      <c r="G17" s="9"/>
    </row>
    <row r="18" spans="2:7">
      <c r="B18" s="5">
        <f t="shared" si="1"/>
        <v>13</v>
      </c>
      <c r="C18" s="6"/>
      <c r="D18" s="7"/>
      <c r="E18" s="10"/>
      <c r="F18" s="8">
        <f t="shared" si="0"/>
        <v>0</v>
      </c>
      <c r="G18" s="9"/>
    </row>
    <row r="19" spans="2:7">
      <c r="B19" s="11">
        <f t="shared" si="1"/>
        <v>14</v>
      </c>
      <c r="C19" s="12"/>
      <c r="D19" s="13"/>
      <c r="E19" s="14"/>
      <c r="F19" s="15">
        <f t="shared" si="0"/>
        <v>0</v>
      </c>
      <c r="G19" s="16"/>
    </row>
  </sheetData>
  <mergeCells count="1">
    <mergeCell ref="B2:G4"/>
  </mergeCells>
  <pageMargins left="0.7" right="0.7" top="0.75" bottom="0.75" header="0.3" footer="0.3"/>
  <pageSetup paperSize="9" scale="72" orientation="portrait" verticalDpi="36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G19"/>
  <sheetViews>
    <sheetView view="pageBreakPreview" zoomScale="130" zoomScaleNormal="123" workbookViewId="0">
      <selection activeCell="D6" sqref="D6:D16"/>
    </sheetView>
  </sheetViews>
  <sheetFormatPr defaultColWidth="8.6640625" defaultRowHeight="14.4"/>
  <cols>
    <col min="1" max="1" width="2.109375" style="1" customWidth="1"/>
    <col min="2" max="2" width="5.88671875" style="1" customWidth="1"/>
    <col min="3" max="3" width="19.5546875" style="1" customWidth="1"/>
    <col min="4" max="5" width="7.5546875" style="1" customWidth="1"/>
    <col min="6" max="6" width="8.6640625" style="1" customWidth="1"/>
    <col min="7" max="7" width="67.88671875" style="1" customWidth="1"/>
    <col min="8" max="16384" width="8.6640625" style="1"/>
  </cols>
  <sheetData>
    <row r="1" spans="2:7" ht="6.9" customHeight="1"/>
    <row r="2" spans="2:7">
      <c r="B2" s="320" t="s">
        <v>672</v>
      </c>
      <c r="C2" s="321"/>
      <c r="D2" s="321"/>
      <c r="E2" s="321"/>
      <c r="F2" s="321"/>
      <c r="G2" s="322"/>
    </row>
    <row r="3" spans="2:7">
      <c r="B3" s="323"/>
      <c r="C3" s="324"/>
      <c r="D3" s="324"/>
      <c r="E3" s="324"/>
      <c r="F3" s="324"/>
      <c r="G3" s="325"/>
    </row>
    <row r="4" spans="2:7">
      <c r="B4" s="323"/>
      <c r="C4" s="324"/>
      <c r="D4" s="324"/>
      <c r="E4" s="324"/>
      <c r="F4" s="324"/>
      <c r="G4" s="325"/>
    </row>
    <row r="5" spans="2:7" ht="30" customHeight="1">
      <c r="B5" s="2" t="s">
        <v>0</v>
      </c>
      <c r="C5" s="3" t="s">
        <v>1</v>
      </c>
      <c r="D5" s="3" t="s">
        <v>654</v>
      </c>
      <c r="E5" s="3" t="s">
        <v>4</v>
      </c>
      <c r="F5" s="3" t="s">
        <v>5</v>
      </c>
      <c r="G5" s="4" t="s">
        <v>2</v>
      </c>
    </row>
    <row r="6" spans="2:7">
      <c r="B6" s="5">
        <v>1</v>
      </c>
      <c r="C6" s="17" t="s">
        <v>172</v>
      </c>
      <c r="D6" s="7">
        <v>2</v>
      </c>
      <c r="E6" s="217" t="s">
        <v>56</v>
      </c>
      <c r="F6" s="8">
        <f t="shared" ref="F6:F19" si="0">SUM(D6:E6)</f>
        <v>2</v>
      </c>
      <c r="G6" s="9"/>
    </row>
    <row r="7" spans="2:7">
      <c r="B7" s="5">
        <f>B6+1</f>
        <v>2</v>
      </c>
      <c r="C7" s="17" t="s">
        <v>349</v>
      </c>
      <c r="D7" s="7">
        <v>1</v>
      </c>
      <c r="E7" s="217" t="s">
        <v>56</v>
      </c>
      <c r="F7" s="8">
        <f t="shared" si="0"/>
        <v>1</v>
      </c>
      <c r="G7" s="9"/>
    </row>
    <row r="8" spans="2:7">
      <c r="B8" s="5">
        <f t="shared" ref="B8:B19" si="1">B7+1</f>
        <v>3</v>
      </c>
      <c r="C8" s="17" t="s">
        <v>366</v>
      </c>
      <c r="D8" s="7">
        <v>1</v>
      </c>
      <c r="E8" s="217" t="s">
        <v>56</v>
      </c>
      <c r="F8" s="8">
        <f t="shared" si="0"/>
        <v>1</v>
      </c>
      <c r="G8" s="9"/>
    </row>
    <row r="9" spans="2:7">
      <c r="B9" s="5">
        <f t="shared" si="1"/>
        <v>4</v>
      </c>
      <c r="C9" s="17" t="s">
        <v>264</v>
      </c>
      <c r="D9" s="7">
        <v>1</v>
      </c>
      <c r="E9" s="217" t="s">
        <v>56</v>
      </c>
      <c r="F9" s="8">
        <f t="shared" si="0"/>
        <v>1</v>
      </c>
      <c r="G9" s="9"/>
    </row>
    <row r="10" spans="2:7">
      <c r="B10" s="5">
        <f t="shared" si="1"/>
        <v>5</v>
      </c>
      <c r="C10" s="17" t="s">
        <v>277</v>
      </c>
      <c r="D10" s="7">
        <v>1</v>
      </c>
      <c r="E10" s="217" t="s">
        <v>56</v>
      </c>
      <c r="F10" s="8">
        <f t="shared" si="0"/>
        <v>1</v>
      </c>
      <c r="G10" s="9"/>
    </row>
    <row r="11" spans="2:7">
      <c r="B11" s="5">
        <f t="shared" si="1"/>
        <v>6</v>
      </c>
      <c r="C11" s="17" t="s">
        <v>371</v>
      </c>
      <c r="D11" s="7">
        <v>4</v>
      </c>
      <c r="E11" s="217" t="s">
        <v>56</v>
      </c>
      <c r="F11" s="8">
        <f t="shared" si="0"/>
        <v>4</v>
      </c>
      <c r="G11" s="9"/>
    </row>
    <row r="12" spans="2:7">
      <c r="B12" s="5">
        <f t="shared" si="1"/>
        <v>7</v>
      </c>
      <c r="C12" s="17" t="s">
        <v>373</v>
      </c>
      <c r="D12" s="7">
        <v>1</v>
      </c>
      <c r="E12" s="217" t="s">
        <v>56</v>
      </c>
      <c r="F12" s="8">
        <f t="shared" si="0"/>
        <v>1</v>
      </c>
      <c r="G12" s="9"/>
    </row>
    <row r="13" spans="2:7">
      <c r="B13" s="5">
        <f t="shared" si="1"/>
        <v>8</v>
      </c>
      <c r="C13" s="17" t="s">
        <v>353</v>
      </c>
      <c r="D13" s="7">
        <v>10</v>
      </c>
      <c r="E13" s="217" t="s">
        <v>56</v>
      </c>
      <c r="F13" s="8">
        <f t="shared" si="0"/>
        <v>10</v>
      </c>
      <c r="G13" s="9"/>
    </row>
    <row r="14" spans="2:7">
      <c r="B14" s="5">
        <f t="shared" si="1"/>
        <v>9</v>
      </c>
      <c r="C14" s="6" t="s">
        <v>315</v>
      </c>
      <c r="D14" s="7">
        <v>5</v>
      </c>
      <c r="E14" s="217" t="s">
        <v>56</v>
      </c>
      <c r="F14" s="8">
        <f t="shared" si="0"/>
        <v>5</v>
      </c>
      <c r="G14" s="9"/>
    </row>
    <row r="15" spans="2:7">
      <c r="B15" s="5">
        <f t="shared" si="1"/>
        <v>10</v>
      </c>
      <c r="C15" s="6" t="s">
        <v>311</v>
      </c>
      <c r="D15" s="7">
        <v>1</v>
      </c>
      <c r="E15" s="217" t="s">
        <v>56</v>
      </c>
      <c r="F15" s="8">
        <f t="shared" si="0"/>
        <v>1</v>
      </c>
      <c r="G15" s="9"/>
    </row>
    <row r="16" spans="2:7">
      <c r="B16" s="5">
        <f t="shared" si="1"/>
        <v>11</v>
      </c>
      <c r="C16" s="6" t="s">
        <v>360</v>
      </c>
      <c r="D16" s="7">
        <v>2</v>
      </c>
      <c r="E16" s="217" t="s">
        <v>56</v>
      </c>
      <c r="F16" s="8">
        <f t="shared" si="0"/>
        <v>2</v>
      </c>
      <c r="G16" s="9"/>
    </row>
    <row r="17" spans="2:7">
      <c r="B17" s="5">
        <f t="shared" si="1"/>
        <v>12</v>
      </c>
      <c r="C17" s="6"/>
      <c r="D17" s="7"/>
      <c r="E17" s="10"/>
      <c r="F17" s="8">
        <f t="shared" si="0"/>
        <v>0</v>
      </c>
      <c r="G17" s="9"/>
    </row>
    <row r="18" spans="2:7">
      <c r="B18" s="5">
        <f t="shared" si="1"/>
        <v>13</v>
      </c>
      <c r="C18" s="6"/>
      <c r="D18" s="7"/>
      <c r="E18" s="10"/>
      <c r="F18" s="8">
        <f t="shared" si="0"/>
        <v>0</v>
      </c>
      <c r="G18" s="9"/>
    </row>
    <row r="19" spans="2:7">
      <c r="B19" s="11">
        <f t="shared" si="1"/>
        <v>14</v>
      </c>
      <c r="C19" s="12"/>
      <c r="D19" s="13"/>
      <c r="E19" s="14"/>
      <c r="F19" s="15">
        <f t="shared" si="0"/>
        <v>0</v>
      </c>
      <c r="G19" s="16"/>
    </row>
  </sheetData>
  <mergeCells count="1">
    <mergeCell ref="B2:G4"/>
  </mergeCells>
  <pageMargins left="0.7" right="0.7" top="0.75" bottom="0.75" header="0.3" footer="0.3"/>
  <pageSetup paperSize="9" scale="72" orientation="portrait" verticalDpi="36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G19"/>
  <sheetViews>
    <sheetView view="pageBreakPreview" zoomScale="130" zoomScaleNormal="123" workbookViewId="0">
      <selection activeCell="C6" sqref="C6:C7"/>
    </sheetView>
  </sheetViews>
  <sheetFormatPr defaultColWidth="8.6640625" defaultRowHeight="14.4"/>
  <cols>
    <col min="1" max="1" width="2.109375" style="1" customWidth="1"/>
    <col min="2" max="2" width="5.88671875" style="1" customWidth="1"/>
    <col min="3" max="3" width="19.5546875" style="1" customWidth="1"/>
    <col min="4" max="5" width="7.5546875" style="1" customWidth="1"/>
    <col min="6" max="6" width="8.6640625" style="1" customWidth="1"/>
    <col min="7" max="7" width="67.88671875" style="1" customWidth="1"/>
    <col min="8" max="16384" width="8.6640625" style="1"/>
  </cols>
  <sheetData>
    <row r="1" spans="2:7" ht="6.9" customHeight="1"/>
    <row r="2" spans="2:7">
      <c r="B2" s="320" t="s">
        <v>673</v>
      </c>
      <c r="C2" s="321"/>
      <c r="D2" s="321"/>
      <c r="E2" s="321"/>
      <c r="F2" s="321"/>
      <c r="G2" s="322"/>
    </row>
    <row r="3" spans="2:7">
      <c r="B3" s="323"/>
      <c r="C3" s="324"/>
      <c r="D3" s="324"/>
      <c r="E3" s="324"/>
      <c r="F3" s="324"/>
      <c r="G3" s="325"/>
    </row>
    <row r="4" spans="2:7">
      <c r="B4" s="323"/>
      <c r="C4" s="324"/>
      <c r="D4" s="324"/>
      <c r="E4" s="324"/>
      <c r="F4" s="324"/>
      <c r="G4" s="325"/>
    </row>
    <row r="5" spans="2:7" ht="30" customHeight="1">
      <c r="B5" s="2" t="s">
        <v>0</v>
      </c>
      <c r="C5" s="3" t="s">
        <v>1</v>
      </c>
      <c r="D5" s="3" t="s">
        <v>654</v>
      </c>
      <c r="E5" s="3" t="s">
        <v>4</v>
      </c>
      <c r="F5" s="3" t="s">
        <v>5</v>
      </c>
      <c r="G5" s="4" t="s">
        <v>2</v>
      </c>
    </row>
    <row r="6" spans="2:7">
      <c r="B6" s="5">
        <v>1</v>
      </c>
      <c r="C6" s="6" t="s">
        <v>172</v>
      </c>
      <c r="D6" s="7">
        <v>1</v>
      </c>
      <c r="E6" s="217" t="s">
        <v>56</v>
      </c>
      <c r="F6" s="8">
        <f t="shared" ref="F6:F19" si="0">SUM(D6:E6)</f>
        <v>1</v>
      </c>
      <c r="G6" s="9"/>
    </row>
    <row r="7" spans="2:7">
      <c r="B7" s="5">
        <f>B6+1</f>
        <v>2</v>
      </c>
      <c r="C7" s="6" t="s">
        <v>373</v>
      </c>
      <c r="D7" s="7">
        <v>1</v>
      </c>
      <c r="E7" s="217" t="s">
        <v>56</v>
      </c>
      <c r="F7" s="8">
        <f t="shared" si="0"/>
        <v>1</v>
      </c>
      <c r="G7" s="9"/>
    </row>
    <row r="8" spans="2:7">
      <c r="B8" s="5">
        <f t="shared" ref="B8:B19" si="1">B7+1</f>
        <v>3</v>
      </c>
      <c r="C8" s="6"/>
      <c r="D8" s="7"/>
      <c r="E8" s="217" t="s">
        <v>56</v>
      </c>
      <c r="F8" s="8">
        <f t="shared" si="0"/>
        <v>0</v>
      </c>
      <c r="G8" s="9"/>
    </row>
    <row r="9" spans="2:7">
      <c r="B9" s="5">
        <f t="shared" si="1"/>
        <v>4</v>
      </c>
      <c r="C9" s="6"/>
      <c r="D9" s="7"/>
      <c r="E9" s="217" t="s">
        <v>56</v>
      </c>
      <c r="F9" s="8">
        <f t="shared" si="0"/>
        <v>0</v>
      </c>
      <c r="G9" s="9"/>
    </row>
    <row r="10" spans="2:7">
      <c r="B10" s="5">
        <f t="shared" si="1"/>
        <v>5</v>
      </c>
      <c r="C10" s="6"/>
      <c r="D10" s="7"/>
      <c r="E10" s="217" t="s">
        <v>56</v>
      </c>
      <c r="F10" s="8">
        <f t="shared" si="0"/>
        <v>0</v>
      </c>
      <c r="G10" s="9"/>
    </row>
    <row r="11" spans="2:7">
      <c r="B11" s="5">
        <f t="shared" si="1"/>
        <v>6</v>
      </c>
      <c r="C11" s="6"/>
      <c r="D11" s="7"/>
      <c r="E11" s="217" t="s">
        <v>56</v>
      </c>
      <c r="F11" s="8">
        <f t="shared" si="0"/>
        <v>0</v>
      </c>
      <c r="G11" s="9"/>
    </row>
    <row r="12" spans="2:7">
      <c r="B12" s="5">
        <f t="shared" si="1"/>
        <v>7</v>
      </c>
      <c r="C12" s="6"/>
      <c r="D12" s="7"/>
      <c r="E12" s="217" t="s">
        <v>56</v>
      </c>
      <c r="F12" s="8">
        <f t="shared" si="0"/>
        <v>0</v>
      </c>
      <c r="G12" s="9"/>
    </row>
    <row r="13" spans="2:7">
      <c r="B13" s="5">
        <f t="shared" si="1"/>
        <v>8</v>
      </c>
      <c r="C13" s="6"/>
      <c r="D13" s="7"/>
      <c r="E13" s="217" t="s">
        <v>56</v>
      </c>
      <c r="F13" s="8">
        <f t="shared" si="0"/>
        <v>0</v>
      </c>
      <c r="G13" s="9"/>
    </row>
    <row r="14" spans="2:7">
      <c r="B14" s="5">
        <f t="shared" si="1"/>
        <v>9</v>
      </c>
      <c r="C14" s="6"/>
      <c r="D14" s="7"/>
      <c r="E14" s="217" t="s">
        <v>56</v>
      </c>
      <c r="F14" s="8">
        <f t="shared" si="0"/>
        <v>0</v>
      </c>
      <c r="G14" s="9"/>
    </row>
    <row r="15" spans="2:7">
      <c r="B15" s="5">
        <f t="shared" si="1"/>
        <v>10</v>
      </c>
      <c r="C15" s="6"/>
      <c r="D15" s="7"/>
      <c r="E15" s="217" t="s">
        <v>56</v>
      </c>
      <c r="F15" s="8">
        <f t="shared" si="0"/>
        <v>0</v>
      </c>
      <c r="G15" s="9"/>
    </row>
    <row r="16" spans="2:7">
      <c r="B16" s="5">
        <f t="shared" si="1"/>
        <v>11</v>
      </c>
      <c r="C16" s="6"/>
      <c r="D16" s="7"/>
      <c r="E16" s="217" t="s">
        <v>56</v>
      </c>
      <c r="F16" s="8">
        <f t="shared" si="0"/>
        <v>0</v>
      </c>
      <c r="G16" s="9"/>
    </row>
    <row r="17" spans="2:7">
      <c r="B17" s="5">
        <f t="shared" si="1"/>
        <v>12</v>
      </c>
      <c r="C17" s="6"/>
      <c r="D17" s="7"/>
      <c r="E17" s="10"/>
      <c r="F17" s="8">
        <f t="shared" si="0"/>
        <v>0</v>
      </c>
      <c r="G17" s="9"/>
    </row>
    <row r="18" spans="2:7">
      <c r="B18" s="5">
        <f t="shared" si="1"/>
        <v>13</v>
      </c>
      <c r="C18" s="6"/>
      <c r="D18" s="7"/>
      <c r="E18" s="10"/>
      <c r="F18" s="8">
        <f t="shared" si="0"/>
        <v>0</v>
      </c>
      <c r="G18" s="9"/>
    </row>
    <row r="19" spans="2:7">
      <c r="B19" s="11">
        <f t="shared" si="1"/>
        <v>14</v>
      </c>
      <c r="C19" s="12"/>
      <c r="D19" s="13"/>
      <c r="E19" s="14"/>
      <c r="F19" s="15">
        <f t="shared" si="0"/>
        <v>0</v>
      </c>
      <c r="G19" s="16"/>
    </row>
  </sheetData>
  <mergeCells count="1">
    <mergeCell ref="B2:G4"/>
  </mergeCells>
  <pageMargins left="0.7" right="0.7" top="0.75" bottom="0.75" header="0.3" footer="0.3"/>
  <pageSetup paperSize="9" scale="72" orientation="portrait" verticalDpi="36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G19"/>
  <sheetViews>
    <sheetView view="pageBreakPreview" zoomScale="130" zoomScaleNormal="123" workbookViewId="0">
      <selection activeCell="D6" sqref="D6:D12"/>
    </sheetView>
  </sheetViews>
  <sheetFormatPr defaultColWidth="8.6640625" defaultRowHeight="14.4"/>
  <cols>
    <col min="1" max="1" width="2.109375" style="1" customWidth="1"/>
    <col min="2" max="2" width="5.88671875" style="1" customWidth="1"/>
    <col min="3" max="3" width="19.5546875" style="1" customWidth="1"/>
    <col min="4" max="5" width="7.5546875" style="1" customWidth="1"/>
    <col min="6" max="6" width="8.6640625" style="1" customWidth="1"/>
    <col min="7" max="7" width="67.88671875" style="1" customWidth="1"/>
    <col min="8" max="16384" width="8.6640625" style="1"/>
  </cols>
  <sheetData>
    <row r="1" spans="2:7" ht="6.9" customHeight="1"/>
    <row r="2" spans="2:7">
      <c r="B2" s="320" t="s">
        <v>674</v>
      </c>
      <c r="C2" s="321"/>
      <c r="D2" s="321"/>
      <c r="E2" s="321"/>
      <c r="F2" s="321"/>
      <c r="G2" s="322"/>
    </row>
    <row r="3" spans="2:7">
      <c r="B3" s="323"/>
      <c r="C3" s="324"/>
      <c r="D3" s="324"/>
      <c r="E3" s="324"/>
      <c r="F3" s="324"/>
      <c r="G3" s="325"/>
    </row>
    <row r="4" spans="2:7">
      <c r="B4" s="323"/>
      <c r="C4" s="324"/>
      <c r="D4" s="324"/>
      <c r="E4" s="324"/>
      <c r="F4" s="324"/>
      <c r="G4" s="325"/>
    </row>
    <row r="5" spans="2:7" ht="30" customHeight="1">
      <c r="B5" s="2" t="s">
        <v>0</v>
      </c>
      <c r="C5" s="3" t="s">
        <v>1</v>
      </c>
      <c r="D5" s="3" t="s">
        <v>654</v>
      </c>
      <c r="E5" s="3" t="s">
        <v>4</v>
      </c>
      <c r="F5" s="3" t="s">
        <v>5</v>
      </c>
      <c r="G5" s="4" t="s">
        <v>2</v>
      </c>
    </row>
    <row r="6" spans="2:7">
      <c r="B6" s="5">
        <v>1</v>
      </c>
      <c r="C6" s="6" t="s">
        <v>172</v>
      </c>
      <c r="D6" s="7">
        <v>1</v>
      </c>
      <c r="E6" s="217" t="s">
        <v>56</v>
      </c>
      <c r="F6" s="8">
        <f t="shared" ref="F6:F19" si="0">SUM(D6:E6)</f>
        <v>1</v>
      </c>
      <c r="G6" s="9"/>
    </row>
    <row r="7" spans="2:7">
      <c r="B7" s="5">
        <f>B6+1</f>
        <v>2</v>
      </c>
      <c r="C7" s="6" t="s">
        <v>277</v>
      </c>
      <c r="D7" s="7">
        <v>1</v>
      </c>
      <c r="E7" s="217" t="s">
        <v>56</v>
      </c>
      <c r="F7" s="8">
        <f t="shared" si="0"/>
        <v>1</v>
      </c>
      <c r="G7" s="9"/>
    </row>
    <row r="8" spans="2:7">
      <c r="B8" s="5">
        <f t="shared" ref="B8:B19" si="1">B7+1</f>
        <v>3</v>
      </c>
      <c r="C8" s="6" t="s">
        <v>371</v>
      </c>
      <c r="D8" s="7">
        <v>2</v>
      </c>
      <c r="E8" s="217" t="s">
        <v>56</v>
      </c>
      <c r="F8" s="8">
        <f t="shared" si="0"/>
        <v>2</v>
      </c>
      <c r="G8" s="9"/>
    </row>
    <row r="9" spans="2:7">
      <c r="B9" s="5">
        <f t="shared" si="1"/>
        <v>4</v>
      </c>
      <c r="C9" s="6" t="s">
        <v>373</v>
      </c>
      <c r="D9" s="7">
        <v>1</v>
      </c>
      <c r="E9" s="217" t="s">
        <v>56</v>
      </c>
      <c r="F9" s="8">
        <f t="shared" si="0"/>
        <v>1</v>
      </c>
      <c r="G9" s="9"/>
    </row>
    <row r="10" spans="2:7">
      <c r="B10" s="5">
        <f t="shared" si="1"/>
        <v>5</v>
      </c>
      <c r="C10" s="6" t="s">
        <v>391</v>
      </c>
      <c r="D10" s="7">
        <v>1</v>
      </c>
      <c r="E10" s="217" t="s">
        <v>56</v>
      </c>
      <c r="F10" s="8">
        <f t="shared" si="0"/>
        <v>1</v>
      </c>
      <c r="G10" s="9"/>
    </row>
    <row r="11" spans="2:7">
      <c r="B11" s="5">
        <f t="shared" si="1"/>
        <v>6</v>
      </c>
      <c r="C11" s="6" t="s">
        <v>393</v>
      </c>
      <c r="D11" s="7">
        <v>1</v>
      </c>
      <c r="E11" s="217" t="s">
        <v>56</v>
      </c>
      <c r="F11" s="8">
        <f t="shared" si="0"/>
        <v>1</v>
      </c>
      <c r="G11" s="9"/>
    </row>
    <row r="12" spans="2:7">
      <c r="B12" s="5">
        <f t="shared" si="1"/>
        <v>7</v>
      </c>
      <c r="C12" s="6" t="s">
        <v>395</v>
      </c>
      <c r="D12" s="7">
        <v>2</v>
      </c>
      <c r="E12" s="217" t="s">
        <v>56</v>
      </c>
      <c r="F12" s="8">
        <f t="shared" si="0"/>
        <v>2</v>
      </c>
      <c r="G12" s="9"/>
    </row>
    <row r="13" spans="2:7">
      <c r="B13" s="5">
        <f t="shared" si="1"/>
        <v>8</v>
      </c>
      <c r="C13" s="6"/>
      <c r="D13" s="7"/>
      <c r="E13" s="217" t="s">
        <v>56</v>
      </c>
      <c r="F13" s="8">
        <f t="shared" si="0"/>
        <v>0</v>
      </c>
      <c r="G13" s="9"/>
    </row>
    <row r="14" spans="2:7">
      <c r="B14" s="5">
        <f t="shared" si="1"/>
        <v>9</v>
      </c>
      <c r="C14" s="6"/>
      <c r="D14" s="7"/>
      <c r="E14" s="217" t="s">
        <v>56</v>
      </c>
      <c r="F14" s="8">
        <f t="shared" si="0"/>
        <v>0</v>
      </c>
      <c r="G14" s="9"/>
    </row>
    <row r="15" spans="2:7">
      <c r="B15" s="5">
        <f t="shared" si="1"/>
        <v>10</v>
      </c>
      <c r="C15" s="6"/>
      <c r="D15" s="7"/>
      <c r="E15" s="217" t="s">
        <v>56</v>
      </c>
      <c r="F15" s="8">
        <f t="shared" si="0"/>
        <v>0</v>
      </c>
      <c r="G15" s="9"/>
    </row>
    <row r="16" spans="2:7">
      <c r="B16" s="5">
        <f t="shared" si="1"/>
        <v>11</v>
      </c>
      <c r="C16" s="6"/>
      <c r="D16" s="7"/>
      <c r="E16" s="217" t="s">
        <v>56</v>
      </c>
      <c r="F16" s="8">
        <f t="shared" si="0"/>
        <v>0</v>
      </c>
      <c r="G16" s="9"/>
    </row>
    <row r="17" spans="2:7">
      <c r="B17" s="5">
        <f t="shared" si="1"/>
        <v>12</v>
      </c>
      <c r="C17" s="6"/>
      <c r="D17" s="7"/>
      <c r="E17" s="10"/>
      <c r="F17" s="8">
        <f t="shared" si="0"/>
        <v>0</v>
      </c>
      <c r="G17" s="9"/>
    </row>
    <row r="18" spans="2:7">
      <c r="B18" s="5">
        <f t="shared" si="1"/>
        <v>13</v>
      </c>
      <c r="C18" s="6"/>
      <c r="D18" s="7"/>
      <c r="E18" s="10"/>
      <c r="F18" s="8">
        <f t="shared" si="0"/>
        <v>0</v>
      </c>
      <c r="G18" s="9"/>
    </row>
    <row r="19" spans="2:7">
      <c r="B19" s="11">
        <f t="shared" si="1"/>
        <v>14</v>
      </c>
      <c r="C19" s="12"/>
      <c r="D19" s="13"/>
      <c r="E19" s="14"/>
      <c r="F19" s="15">
        <f t="shared" si="0"/>
        <v>0</v>
      </c>
      <c r="G19" s="16"/>
    </row>
  </sheetData>
  <mergeCells count="1">
    <mergeCell ref="B2:G4"/>
  </mergeCells>
  <pageMargins left="0.7" right="0.7" top="0.75" bottom="0.75" header="0.3" footer="0.3"/>
  <pageSetup paperSize="9" scale="72" orientation="portrait" verticalDpi="36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G19"/>
  <sheetViews>
    <sheetView view="pageBreakPreview" topLeftCell="A7" zoomScale="130" zoomScaleNormal="123" workbookViewId="0">
      <selection activeCell="E6" sqref="E6:E18"/>
    </sheetView>
  </sheetViews>
  <sheetFormatPr defaultColWidth="8.6640625" defaultRowHeight="14.4"/>
  <cols>
    <col min="1" max="1" width="2.109375" style="1" customWidth="1"/>
    <col min="2" max="2" width="5.88671875" style="1" customWidth="1"/>
    <col min="3" max="3" width="19.5546875" style="1" customWidth="1"/>
    <col min="4" max="5" width="7.5546875" style="1" customWidth="1"/>
    <col min="6" max="6" width="8.6640625" style="1" customWidth="1"/>
    <col min="7" max="7" width="67.88671875" style="1" customWidth="1"/>
    <col min="8" max="16384" width="8.6640625" style="1"/>
  </cols>
  <sheetData>
    <row r="1" spans="2:7" ht="6.9" customHeight="1"/>
    <row r="2" spans="2:7">
      <c r="B2" s="320" t="s">
        <v>675</v>
      </c>
      <c r="C2" s="321"/>
      <c r="D2" s="321"/>
      <c r="E2" s="321"/>
      <c r="F2" s="321"/>
      <c r="G2" s="322"/>
    </row>
    <row r="3" spans="2:7">
      <c r="B3" s="323"/>
      <c r="C3" s="324"/>
      <c r="D3" s="324"/>
      <c r="E3" s="324"/>
      <c r="F3" s="324"/>
      <c r="G3" s="325"/>
    </row>
    <row r="4" spans="2:7">
      <c r="B4" s="323"/>
      <c r="C4" s="324"/>
      <c r="D4" s="324"/>
      <c r="E4" s="324"/>
      <c r="F4" s="324"/>
      <c r="G4" s="325"/>
    </row>
    <row r="5" spans="2:7" ht="30" customHeight="1">
      <c r="B5" s="2" t="s">
        <v>0</v>
      </c>
      <c r="C5" s="3" t="s">
        <v>1</v>
      </c>
      <c r="D5" s="3" t="s">
        <v>654</v>
      </c>
      <c r="E5" s="3" t="s">
        <v>4</v>
      </c>
      <c r="F5" s="3" t="s">
        <v>5</v>
      </c>
      <c r="G5" s="4" t="s">
        <v>2</v>
      </c>
    </row>
    <row r="6" spans="2:7">
      <c r="B6" s="5">
        <v>1</v>
      </c>
      <c r="C6" s="17" t="s">
        <v>172</v>
      </c>
      <c r="D6" s="7">
        <v>1</v>
      </c>
      <c r="E6" s="217" t="s">
        <v>56</v>
      </c>
      <c r="F6" s="8">
        <f t="shared" ref="F6:F19" si="0">SUM(D6:E6)</f>
        <v>1</v>
      </c>
      <c r="G6" s="9"/>
    </row>
    <row r="7" spans="2:7">
      <c r="B7" s="5">
        <f>B6+1</f>
        <v>2</v>
      </c>
      <c r="C7" s="17" t="s">
        <v>269</v>
      </c>
      <c r="D7" s="7">
        <v>1</v>
      </c>
      <c r="E7" s="10">
        <v>3</v>
      </c>
      <c r="F7" s="8">
        <f t="shared" si="0"/>
        <v>4</v>
      </c>
      <c r="G7" s="9"/>
    </row>
    <row r="8" spans="2:7">
      <c r="B8" s="5">
        <f t="shared" ref="B8:B19" si="1">B7+1</f>
        <v>3</v>
      </c>
      <c r="C8" s="17" t="s">
        <v>273</v>
      </c>
      <c r="D8" s="7">
        <v>3</v>
      </c>
      <c r="E8" s="217" t="s">
        <v>56</v>
      </c>
      <c r="F8" s="8">
        <f t="shared" si="0"/>
        <v>3</v>
      </c>
      <c r="G8" s="9"/>
    </row>
    <row r="9" spans="2:7">
      <c r="B9" s="5">
        <f t="shared" si="1"/>
        <v>4</v>
      </c>
      <c r="C9" s="17" t="s">
        <v>402</v>
      </c>
      <c r="D9" s="212" t="s">
        <v>56</v>
      </c>
      <c r="E9" s="10">
        <v>1</v>
      </c>
      <c r="F9" s="8">
        <f t="shared" si="0"/>
        <v>1</v>
      </c>
      <c r="G9" s="9"/>
    </row>
    <row r="10" spans="2:7">
      <c r="B10" s="5">
        <f t="shared" si="1"/>
        <v>5</v>
      </c>
      <c r="C10" s="6" t="s">
        <v>404</v>
      </c>
      <c r="D10" s="7">
        <v>1</v>
      </c>
      <c r="E10" s="10">
        <v>1</v>
      </c>
      <c r="F10" s="8">
        <f t="shared" si="0"/>
        <v>2</v>
      </c>
      <c r="G10" s="9"/>
    </row>
    <row r="11" spans="2:7">
      <c r="B11" s="5">
        <f t="shared" si="1"/>
        <v>6</v>
      </c>
      <c r="C11" s="6" t="s">
        <v>407</v>
      </c>
      <c r="D11" s="212" t="s">
        <v>56</v>
      </c>
      <c r="E11" s="10">
        <v>1</v>
      </c>
      <c r="F11" s="8">
        <f t="shared" si="0"/>
        <v>1</v>
      </c>
      <c r="G11" s="9"/>
    </row>
    <row r="12" spans="2:7">
      <c r="B12" s="5">
        <f t="shared" si="1"/>
        <v>7</v>
      </c>
      <c r="C12" s="6" t="s">
        <v>410</v>
      </c>
      <c r="D12" s="7">
        <v>4</v>
      </c>
      <c r="E12" s="217" t="s">
        <v>56</v>
      </c>
      <c r="F12" s="8">
        <f t="shared" si="0"/>
        <v>4</v>
      </c>
      <c r="G12" s="9"/>
    </row>
    <row r="13" spans="2:7">
      <c r="B13" s="5">
        <f t="shared" si="1"/>
        <v>8</v>
      </c>
      <c r="C13" s="6" t="s">
        <v>346</v>
      </c>
      <c r="D13" s="7">
        <v>1</v>
      </c>
      <c r="E13" s="217" t="s">
        <v>56</v>
      </c>
      <c r="F13" s="8">
        <f t="shared" si="0"/>
        <v>1</v>
      </c>
      <c r="G13" s="9"/>
    </row>
    <row r="14" spans="2:7">
      <c r="B14" s="5">
        <f t="shared" si="1"/>
        <v>9</v>
      </c>
      <c r="C14" s="6" t="s">
        <v>277</v>
      </c>
      <c r="D14" s="7">
        <v>2</v>
      </c>
      <c r="E14" s="217" t="s">
        <v>56</v>
      </c>
      <c r="F14" s="8">
        <f t="shared" si="0"/>
        <v>2</v>
      </c>
      <c r="G14" s="9"/>
    </row>
    <row r="15" spans="2:7">
      <c r="B15" s="5">
        <f t="shared" si="1"/>
        <v>10</v>
      </c>
      <c r="C15" s="6" t="s">
        <v>371</v>
      </c>
      <c r="D15" s="7">
        <v>1</v>
      </c>
      <c r="E15" s="217" t="s">
        <v>56</v>
      </c>
      <c r="F15" s="8">
        <f t="shared" si="0"/>
        <v>1</v>
      </c>
      <c r="G15" s="9"/>
    </row>
    <row r="16" spans="2:7">
      <c r="B16" s="5">
        <f t="shared" si="1"/>
        <v>11</v>
      </c>
      <c r="C16" s="6" t="s">
        <v>353</v>
      </c>
      <c r="D16" s="7">
        <v>1</v>
      </c>
      <c r="E16" s="217" t="s">
        <v>56</v>
      </c>
      <c r="F16" s="8">
        <f t="shared" si="0"/>
        <v>1</v>
      </c>
      <c r="G16" s="9"/>
    </row>
    <row r="17" spans="2:7">
      <c r="B17" s="5">
        <f t="shared" si="1"/>
        <v>12</v>
      </c>
      <c r="C17" s="6" t="s">
        <v>315</v>
      </c>
      <c r="D17" s="7">
        <v>1</v>
      </c>
      <c r="E17" s="217" t="s">
        <v>56</v>
      </c>
      <c r="F17" s="8">
        <f t="shared" si="0"/>
        <v>1</v>
      </c>
      <c r="G17" s="9"/>
    </row>
    <row r="18" spans="2:7">
      <c r="B18" s="5">
        <f t="shared" si="1"/>
        <v>13</v>
      </c>
      <c r="C18" s="6" t="s">
        <v>311</v>
      </c>
      <c r="D18" s="7">
        <v>1</v>
      </c>
      <c r="E18" s="10"/>
      <c r="F18" s="8">
        <f t="shared" si="0"/>
        <v>1</v>
      </c>
      <c r="G18" s="9"/>
    </row>
    <row r="19" spans="2:7">
      <c r="B19" s="11">
        <f t="shared" si="1"/>
        <v>14</v>
      </c>
      <c r="C19" s="12"/>
      <c r="D19" s="13"/>
      <c r="E19" s="14"/>
      <c r="F19" s="15">
        <f t="shared" si="0"/>
        <v>0</v>
      </c>
      <c r="G19" s="16"/>
    </row>
  </sheetData>
  <mergeCells count="1">
    <mergeCell ref="B2:G4"/>
  </mergeCells>
  <pageMargins left="0.7" right="0.7" top="0.75" bottom="0.75" header="0.3" footer="0.3"/>
  <pageSetup paperSize="9" scale="72" orientation="portrait" verticalDpi="36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G19"/>
  <sheetViews>
    <sheetView view="pageBreakPreview" zoomScale="130" zoomScaleNormal="123" workbookViewId="0">
      <selection activeCell="D6" sqref="D6:D10"/>
    </sheetView>
  </sheetViews>
  <sheetFormatPr defaultColWidth="8.6640625" defaultRowHeight="14.4"/>
  <cols>
    <col min="1" max="1" width="2.109375" style="1" customWidth="1"/>
    <col min="2" max="2" width="5.88671875" style="1" customWidth="1"/>
    <col min="3" max="3" width="19.5546875" style="1" customWidth="1"/>
    <col min="4" max="5" width="7.5546875" style="1" customWidth="1"/>
    <col min="6" max="6" width="8.6640625" style="1" customWidth="1"/>
    <col min="7" max="7" width="67.88671875" style="1" customWidth="1"/>
    <col min="8" max="16384" width="8.6640625" style="1"/>
  </cols>
  <sheetData>
    <row r="1" spans="2:7" ht="6.9" customHeight="1"/>
    <row r="2" spans="2:7">
      <c r="B2" s="320" t="s">
        <v>676</v>
      </c>
      <c r="C2" s="321"/>
      <c r="D2" s="321"/>
      <c r="E2" s="321"/>
      <c r="F2" s="321"/>
      <c r="G2" s="322"/>
    </row>
    <row r="3" spans="2:7">
      <c r="B3" s="323"/>
      <c r="C3" s="324"/>
      <c r="D3" s="324"/>
      <c r="E3" s="324"/>
      <c r="F3" s="324"/>
      <c r="G3" s="325"/>
    </row>
    <row r="4" spans="2:7">
      <c r="B4" s="323"/>
      <c r="C4" s="324"/>
      <c r="D4" s="324"/>
      <c r="E4" s="324"/>
      <c r="F4" s="324"/>
      <c r="G4" s="325"/>
    </row>
    <row r="5" spans="2:7" ht="30" customHeight="1">
      <c r="B5" s="2" t="s">
        <v>0</v>
      </c>
      <c r="C5" s="3" t="s">
        <v>1</v>
      </c>
      <c r="D5" s="3" t="s">
        <v>654</v>
      </c>
      <c r="E5" s="3" t="s">
        <v>4</v>
      </c>
      <c r="F5" s="3" t="s">
        <v>5</v>
      </c>
      <c r="G5" s="4" t="s">
        <v>2</v>
      </c>
    </row>
    <row r="6" spans="2:7">
      <c r="B6" s="5">
        <v>1</v>
      </c>
      <c r="C6" s="6" t="s">
        <v>373</v>
      </c>
      <c r="D6" s="7">
        <v>1</v>
      </c>
      <c r="E6" s="217" t="s">
        <v>56</v>
      </c>
      <c r="F6" s="8">
        <f t="shared" ref="F6:F19" si="0">SUM(D6:E6)</f>
        <v>1</v>
      </c>
      <c r="G6" s="9"/>
    </row>
    <row r="7" spans="2:7">
      <c r="B7" s="5">
        <f>B6+1</f>
        <v>2</v>
      </c>
      <c r="C7" s="6" t="s">
        <v>277</v>
      </c>
      <c r="D7" s="7">
        <v>1</v>
      </c>
      <c r="E7" s="217" t="s">
        <v>56</v>
      </c>
      <c r="F7" s="8">
        <f t="shared" si="0"/>
        <v>1</v>
      </c>
      <c r="G7" s="9"/>
    </row>
    <row r="8" spans="2:7">
      <c r="B8" s="5">
        <f t="shared" ref="B8:B19" si="1">B7+1</f>
        <v>3</v>
      </c>
      <c r="C8" s="6" t="s">
        <v>253</v>
      </c>
      <c r="D8" s="7">
        <v>2</v>
      </c>
      <c r="E8" s="217" t="s">
        <v>56</v>
      </c>
      <c r="F8" s="8">
        <f t="shared" si="0"/>
        <v>2</v>
      </c>
      <c r="G8" s="9"/>
    </row>
    <row r="9" spans="2:7">
      <c r="B9" s="5">
        <f t="shared" si="1"/>
        <v>4</v>
      </c>
      <c r="C9" s="6" t="s">
        <v>353</v>
      </c>
      <c r="D9" s="7">
        <v>1</v>
      </c>
      <c r="E9" s="217" t="s">
        <v>56</v>
      </c>
      <c r="F9" s="8">
        <f t="shared" si="0"/>
        <v>1</v>
      </c>
      <c r="G9" s="9"/>
    </row>
    <row r="10" spans="2:7">
      <c r="B10" s="5">
        <f t="shared" si="1"/>
        <v>5</v>
      </c>
      <c r="C10" s="6" t="s">
        <v>172</v>
      </c>
      <c r="D10" s="7">
        <v>1</v>
      </c>
      <c r="E10" s="217" t="s">
        <v>56</v>
      </c>
      <c r="F10" s="8">
        <f t="shared" si="0"/>
        <v>1</v>
      </c>
      <c r="G10" s="9"/>
    </row>
    <row r="11" spans="2:7">
      <c r="B11" s="5">
        <f t="shared" si="1"/>
        <v>6</v>
      </c>
      <c r="C11" s="6"/>
      <c r="D11" s="7"/>
      <c r="E11" s="217" t="s">
        <v>56</v>
      </c>
      <c r="F11" s="8">
        <f t="shared" si="0"/>
        <v>0</v>
      </c>
      <c r="G11" s="9"/>
    </row>
    <row r="12" spans="2:7">
      <c r="B12" s="5">
        <f t="shared" si="1"/>
        <v>7</v>
      </c>
      <c r="C12" s="6"/>
      <c r="D12" s="7"/>
      <c r="E12" s="217" t="s">
        <v>56</v>
      </c>
      <c r="F12" s="8">
        <f t="shared" si="0"/>
        <v>0</v>
      </c>
      <c r="G12" s="9"/>
    </row>
    <row r="13" spans="2:7">
      <c r="B13" s="5">
        <f t="shared" si="1"/>
        <v>8</v>
      </c>
      <c r="C13" s="6"/>
      <c r="D13" s="7"/>
      <c r="E13" s="217" t="s">
        <v>56</v>
      </c>
      <c r="F13" s="8">
        <f t="shared" si="0"/>
        <v>0</v>
      </c>
      <c r="G13" s="9"/>
    </row>
    <row r="14" spans="2:7">
      <c r="B14" s="5">
        <f t="shared" si="1"/>
        <v>9</v>
      </c>
      <c r="C14" s="6"/>
      <c r="D14" s="7"/>
      <c r="E14" s="217" t="s">
        <v>56</v>
      </c>
      <c r="F14" s="8">
        <f t="shared" si="0"/>
        <v>0</v>
      </c>
      <c r="G14" s="9"/>
    </row>
    <row r="15" spans="2:7">
      <c r="B15" s="5">
        <f t="shared" si="1"/>
        <v>10</v>
      </c>
      <c r="C15" s="6"/>
      <c r="D15" s="7"/>
      <c r="E15" s="217" t="s">
        <v>56</v>
      </c>
      <c r="F15" s="8">
        <f t="shared" si="0"/>
        <v>0</v>
      </c>
      <c r="G15" s="9"/>
    </row>
    <row r="16" spans="2:7">
      <c r="B16" s="5">
        <f t="shared" si="1"/>
        <v>11</v>
      </c>
      <c r="C16" s="6"/>
      <c r="D16" s="7"/>
      <c r="E16" s="217" t="s">
        <v>56</v>
      </c>
      <c r="F16" s="8">
        <f t="shared" si="0"/>
        <v>0</v>
      </c>
      <c r="G16" s="9"/>
    </row>
    <row r="17" spans="2:7">
      <c r="B17" s="5">
        <f t="shared" si="1"/>
        <v>12</v>
      </c>
      <c r="C17" s="6"/>
      <c r="D17" s="7"/>
      <c r="E17" s="10"/>
      <c r="F17" s="8">
        <f t="shared" si="0"/>
        <v>0</v>
      </c>
      <c r="G17" s="9"/>
    </row>
    <row r="18" spans="2:7">
      <c r="B18" s="5">
        <f t="shared" si="1"/>
        <v>13</v>
      </c>
      <c r="C18" s="6"/>
      <c r="D18" s="7"/>
      <c r="E18" s="10"/>
      <c r="F18" s="8">
        <f t="shared" si="0"/>
        <v>0</v>
      </c>
      <c r="G18" s="9"/>
    </row>
    <row r="19" spans="2:7">
      <c r="B19" s="11">
        <f t="shared" si="1"/>
        <v>14</v>
      </c>
      <c r="C19" s="12"/>
      <c r="D19" s="13"/>
      <c r="E19" s="14"/>
      <c r="F19" s="15">
        <f t="shared" si="0"/>
        <v>0</v>
      </c>
      <c r="G19" s="16"/>
    </row>
  </sheetData>
  <mergeCells count="1">
    <mergeCell ref="B2:G4"/>
  </mergeCells>
  <pageMargins left="0.7" right="0.7" top="0.75" bottom="0.75" header="0.3" footer="0.3"/>
  <pageSetup paperSize="9" scale="72" orientation="portrait" verticalDpi="36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G19"/>
  <sheetViews>
    <sheetView view="pageBreakPreview" zoomScale="130" zoomScaleNormal="123" workbookViewId="0">
      <selection activeCell="D6" sqref="D6:D8"/>
    </sheetView>
  </sheetViews>
  <sheetFormatPr defaultColWidth="8.6640625" defaultRowHeight="14.4"/>
  <cols>
    <col min="1" max="1" width="2.109375" style="1" customWidth="1"/>
    <col min="2" max="2" width="5.88671875" style="1" customWidth="1"/>
    <col min="3" max="3" width="19.5546875" style="1" customWidth="1"/>
    <col min="4" max="5" width="7.5546875" style="1" customWidth="1"/>
    <col min="6" max="6" width="8.6640625" style="1" customWidth="1"/>
    <col min="7" max="7" width="67.88671875" style="1" customWidth="1"/>
    <col min="8" max="16384" width="8.6640625" style="1"/>
  </cols>
  <sheetData>
    <row r="1" spans="2:7" ht="6.9" customHeight="1"/>
    <row r="2" spans="2:7">
      <c r="B2" s="320" t="s">
        <v>677</v>
      </c>
      <c r="C2" s="321"/>
      <c r="D2" s="321"/>
      <c r="E2" s="321"/>
      <c r="F2" s="321"/>
      <c r="G2" s="322"/>
    </row>
    <row r="3" spans="2:7">
      <c r="B3" s="323"/>
      <c r="C3" s="324"/>
      <c r="D3" s="324"/>
      <c r="E3" s="324"/>
      <c r="F3" s="324"/>
      <c r="G3" s="325"/>
    </row>
    <row r="4" spans="2:7">
      <c r="B4" s="323"/>
      <c r="C4" s="324"/>
      <c r="D4" s="324"/>
      <c r="E4" s="324"/>
      <c r="F4" s="324"/>
      <c r="G4" s="325"/>
    </row>
    <row r="5" spans="2:7" ht="30" customHeight="1">
      <c r="B5" s="2" t="s">
        <v>0</v>
      </c>
      <c r="C5" s="3" t="s">
        <v>1</v>
      </c>
      <c r="D5" s="3" t="s">
        <v>654</v>
      </c>
      <c r="E5" s="3" t="s">
        <v>4</v>
      </c>
      <c r="F5" s="3" t="s">
        <v>5</v>
      </c>
      <c r="G5" s="4" t="s">
        <v>2</v>
      </c>
    </row>
    <row r="6" spans="2:7">
      <c r="B6" s="5">
        <v>1</v>
      </c>
      <c r="C6" s="6" t="s">
        <v>172</v>
      </c>
      <c r="D6" s="7">
        <v>1</v>
      </c>
      <c r="E6" s="217" t="s">
        <v>56</v>
      </c>
      <c r="F6" s="8">
        <f t="shared" ref="F6:F19" si="0">SUM(D6:E6)</f>
        <v>1</v>
      </c>
      <c r="G6" s="9"/>
    </row>
    <row r="7" spans="2:7">
      <c r="B7" s="5">
        <f>B6+1</f>
        <v>2</v>
      </c>
      <c r="C7" s="6" t="s">
        <v>277</v>
      </c>
      <c r="D7" s="7">
        <v>2</v>
      </c>
      <c r="E7" s="217" t="s">
        <v>56</v>
      </c>
      <c r="F7" s="8">
        <f t="shared" si="0"/>
        <v>2</v>
      </c>
      <c r="G7" s="9"/>
    </row>
    <row r="8" spans="2:7">
      <c r="B8" s="5">
        <f t="shared" ref="B8:B19" si="1">B7+1</f>
        <v>3</v>
      </c>
      <c r="C8" s="6" t="s">
        <v>371</v>
      </c>
      <c r="D8" s="7">
        <v>1</v>
      </c>
      <c r="E8" s="217" t="s">
        <v>56</v>
      </c>
      <c r="F8" s="8">
        <f t="shared" si="0"/>
        <v>1</v>
      </c>
      <c r="G8" s="9"/>
    </row>
    <row r="9" spans="2:7">
      <c r="B9" s="5">
        <f t="shared" si="1"/>
        <v>4</v>
      </c>
      <c r="C9" s="6"/>
      <c r="D9" s="7"/>
      <c r="E9" s="217" t="s">
        <v>56</v>
      </c>
      <c r="F9" s="8">
        <f t="shared" si="0"/>
        <v>0</v>
      </c>
      <c r="G9" s="9"/>
    </row>
    <row r="10" spans="2:7">
      <c r="B10" s="5">
        <f t="shared" si="1"/>
        <v>5</v>
      </c>
      <c r="C10" s="6"/>
      <c r="D10" s="7"/>
      <c r="E10" s="217" t="s">
        <v>56</v>
      </c>
      <c r="F10" s="8">
        <f t="shared" si="0"/>
        <v>0</v>
      </c>
      <c r="G10" s="9"/>
    </row>
    <row r="11" spans="2:7">
      <c r="B11" s="5">
        <f t="shared" si="1"/>
        <v>6</v>
      </c>
      <c r="C11" s="6"/>
      <c r="D11" s="7"/>
      <c r="E11" s="217" t="s">
        <v>56</v>
      </c>
      <c r="F11" s="8">
        <f t="shared" si="0"/>
        <v>0</v>
      </c>
      <c r="G11" s="9"/>
    </row>
    <row r="12" spans="2:7">
      <c r="B12" s="5">
        <f t="shared" si="1"/>
        <v>7</v>
      </c>
      <c r="C12" s="6"/>
      <c r="D12" s="7"/>
      <c r="E12" s="217" t="s">
        <v>56</v>
      </c>
      <c r="F12" s="8">
        <f t="shared" si="0"/>
        <v>0</v>
      </c>
      <c r="G12" s="9"/>
    </row>
    <row r="13" spans="2:7">
      <c r="B13" s="5">
        <f t="shared" si="1"/>
        <v>8</v>
      </c>
      <c r="C13" s="6"/>
      <c r="D13" s="7"/>
      <c r="E13" s="217" t="s">
        <v>56</v>
      </c>
      <c r="F13" s="8">
        <f t="shared" si="0"/>
        <v>0</v>
      </c>
      <c r="G13" s="9"/>
    </row>
    <row r="14" spans="2:7">
      <c r="B14" s="5">
        <f t="shared" si="1"/>
        <v>9</v>
      </c>
      <c r="C14" s="6"/>
      <c r="D14" s="7"/>
      <c r="E14" s="217" t="s">
        <v>56</v>
      </c>
      <c r="F14" s="8">
        <f t="shared" si="0"/>
        <v>0</v>
      </c>
      <c r="G14" s="9"/>
    </row>
    <row r="15" spans="2:7">
      <c r="B15" s="5">
        <f t="shared" si="1"/>
        <v>10</v>
      </c>
      <c r="C15" s="6"/>
      <c r="D15" s="7"/>
      <c r="E15" s="217" t="s">
        <v>56</v>
      </c>
      <c r="F15" s="8">
        <f t="shared" si="0"/>
        <v>0</v>
      </c>
      <c r="G15" s="9"/>
    </row>
    <row r="16" spans="2:7">
      <c r="B16" s="5">
        <f t="shared" si="1"/>
        <v>11</v>
      </c>
      <c r="C16" s="6"/>
      <c r="D16" s="7"/>
      <c r="E16" s="217" t="s">
        <v>56</v>
      </c>
      <c r="F16" s="8">
        <f t="shared" si="0"/>
        <v>0</v>
      </c>
      <c r="G16" s="9"/>
    </row>
    <row r="17" spans="2:7">
      <c r="B17" s="5">
        <f t="shared" si="1"/>
        <v>12</v>
      </c>
      <c r="C17" s="6"/>
      <c r="D17" s="7"/>
      <c r="E17" s="10"/>
      <c r="F17" s="8">
        <f t="shared" si="0"/>
        <v>0</v>
      </c>
      <c r="G17" s="9"/>
    </row>
    <row r="18" spans="2:7">
      <c r="B18" s="5">
        <f t="shared" si="1"/>
        <v>13</v>
      </c>
      <c r="C18" s="6"/>
      <c r="D18" s="7"/>
      <c r="E18" s="10"/>
      <c r="F18" s="8">
        <f t="shared" si="0"/>
        <v>0</v>
      </c>
      <c r="G18" s="9"/>
    </row>
    <row r="19" spans="2:7">
      <c r="B19" s="11">
        <f t="shared" si="1"/>
        <v>14</v>
      </c>
      <c r="C19" s="12"/>
      <c r="D19" s="13"/>
      <c r="E19" s="14"/>
      <c r="F19" s="15">
        <f t="shared" si="0"/>
        <v>0</v>
      </c>
      <c r="G19" s="16"/>
    </row>
  </sheetData>
  <mergeCells count="1">
    <mergeCell ref="B2:G4"/>
  </mergeCells>
  <pageMargins left="0.7" right="0.7" top="0.75" bottom="0.75" header="0.3" footer="0.3"/>
  <pageSetup paperSize="9" scale="72" orientation="portrait" verticalDpi="36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G19"/>
  <sheetViews>
    <sheetView view="pageBreakPreview" zoomScale="130" zoomScaleNormal="123" workbookViewId="0">
      <selection activeCell="D6" sqref="D6:D13"/>
    </sheetView>
  </sheetViews>
  <sheetFormatPr defaultColWidth="8.6640625" defaultRowHeight="14.4"/>
  <cols>
    <col min="1" max="1" width="2.109375" style="1" customWidth="1"/>
    <col min="2" max="2" width="5.88671875" style="1" customWidth="1"/>
    <col min="3" max="3" width="19.5546875" style="1" customWidth="1"/>
    <col min="4" max="5" width="7.5546875" style="1" customWidth="1"/>
    <col min="6" max="6" width="8.6640625" style="1" customWidth="1"/>
    <col min="7" max="7" width="67.88671875" style="1" customWidth="1"/>
    <col min="8" max="16384" width="8.6640625" style="1"/>
  </cols>
  <sheetData>
    <row r="1" spans="2:7" ht="6.9" customHeight="1"/>
    <row r="2" spans="2:7">
      <c r="B2" s="320" t="s">
        <v>678</v>
      </c>
      <c r="C2" s="321"/>
      <c r="D2" s="321"/>
      <c r="E2" s="321"/>
      <c r="F2" s="321"/>
      <c r="G2" s="322"/>
    </row>
    <row r="3" spans="2:7">
      <c r="B3" s="323"/>
      <c r="C3" s="324"/>
      <c r="D3" s="324"/>
      <c r="E3" s="324"/>
      <c r="F3" s="324"/>
      <c r="G3" s="325"/>
    </row>
    <row r="4" spans="2:7">
      <c r="B4" s="323"/>
      <c r="C4" s="324"/>
      <c r="D4" s="324"/>
      <c r="E4" s="324"/>
      <c r="F4" s="324"/>
      <c r="G4" s="325"/>
    </row>
    <row r="5" spans="2:7" ht="30" customHeight="1">
      <c r="B5" s="2" t="s">
        <v>0</v>
      </c>
      <c r="C5" s="3" t="s">
        <v>1</v>
      </c>
      <c r="D5" s="3" t="s">
        <v>654</v>
      </c>
      <c r="E5" s="3" t="s">
        <v>4</v>
      </c>
      <c r="F5" s="3" t="s">
        <v>5</v>
      </c>
      <c r="G5" s="4" t="s">
        <v>2</v>
      </c>
    </row>
    <row r="6" spans="2:7">
      <c r="B6" s="5">
        <v>1</v>
      </c>
      <c r="C6" s="6" t="s">
        <v>172</v>
      </c>
      <c r="D6" s="7">
        <v>4</v>
      </c>
      <c r="E6" s="217" t="s">
        <v>56</v>
      </c>
      <c r="F6" s="8">
        <f t="shared" ref="F6:F19" si="0">SUM(D6:E6)</f>
        <v>4</v>
      </c>
      <c r="G6" s="9"/>
    </row>
    <row r="7" spans="2:7">
      <c r="B7" s="5">
        <f>B6+1</f>
        <v>2</v>
      </c>
      <c r="C7" s="6" t="s">
        <v>248</v>
      </c>
      <c r="D7" s="7">
        <v>5</v>
      </c>
      <c r="E7" s="217" t="s">
        <v>56</v>
      </c>
      <c r="F7" s="8">
        <f t="shared" si="0"/>
        <v>5</v>
      </c>
      <c r="G7" s="9"/>
    </row>
    <row r="8" spans="2:7">
      <c r="B8" s="5">
        <f t="shared" ref="B8:B19" si="1">B7+1</f>
        <v>3</v>
      </c>
      <c r="C8" s="6" t="s">
        <v>302</v>
      </c>
      <c r="D8" s="7">
        <v>7</v>
      </c>
      <c r="E8" s="217" t="s">
        <v>56</v>
      </c>
      <c r="F8" s="8">
        <f t="shared" si="0"/>
        <v>7</v>
      </c>
      <c r="G8" s="9"/>
    </row>
    <row r="9" spans="2:7">
      <c r="B9" s="5">
        <f t="shared" si="1"/>
        <v>4</v>
      </c>
      <c r="C9" s="6" t="s">
        <v>258</v>
      </c>
      <c r="D9" s="7">
        <v>4</v>
      </c>
      <c r="E9" s="217" t="s">
        <v>56</v>
      </c>
      <c r="F9" s="8">
        <f t="shared" si="0"/>
        <v>4</v>
      </c>
      <c r="G9" s="9"/>
    </row>
    <row r="10" spans="2:7">
      <c r="B10" s="5">
        <f t="shared" si="1"/>
        <v>5</v>
      </c>
      <c r="C10" s="6" t="s">
        <v>315</v>
      </c>
      <c r="D10" s="7">
        <v>1</v>
      </c>
      <c r="E10" s="217" t="s">
        <v>56</v>
      </c>
      <c r="F10" s="8">
        <f t="shared" si="0"/>
        <v>1</v>
      </c>
      <c r="G10" s="9"/>
    </row>
    <row r="11" spans="2:7">
      <c r="B11" s="5">
        <f t="shared" si="1"/>
        <v>6</v>
      </c>
      <c r="C11" s="6" t="s">
        <v>311</v>
      </c>
      <c r="D11" s="7">
        <v>1</v>
      </c>
      <c r="E11" s="217" t="s">
        <v>56</v>
      </c>
      <c r="F11" s="8">
        <f t="shared" si="0"/>
        <v>1</v>
      </c>
      <c r="G11" s="9"/>
    </row>
    <row r="12" spans="2:7">
      <c r="B12" s="5">
        <f t="shared" si="1"/>
        <v>7</v>
      </c>
      <c r="C12" s="6" t="s">
        <v>253</v>
      </c>
      <c r="D12" s="7">
        <v>29</v>
      </c>
      <c r="E12" s="217" t="s">
        <v>56</v>
      </c>
      <c r="F12" s="8">
        <f t="shared" si="0"/>
        <v>29</v>
      </c>
      <c r="G12" s="9"/>
    </row>
    <row r="13" spans="2:7">
      <c r="B13" s="5">
        <f t="shared" si="1"/>
        <v>8</v>
      </c>
      <c r="C13" s="6" t="s">
        <v>264</v>
      </c>
      <c r="D13" s="7">
        <v>2</v>
      </c>
      <c r="E13" s="217" t="s">
        <v>56</v>
      </c>
      <c r="F13" s="8">
        <f t="shared" si="0"/>
        <v>2</v>
      </c>
      <c r="G13" s="9"/>
    </row>
    <row r="14" spans="2:7">
      <c r="B14" s="5">
        <f t="shared" si="1"/>
        <v>9</v>
      </c>
      <c r="C14" s="6"/>
      <c r="D14" s="7"/>
      <c r="E14" s="10"/>
      <c r="F14" s="8">
        <f t="shared" si="0"/>
        <v>0</v>
      </c>
      <c r="G14" s="9"/>
    </row>
    <row r="15" spans="2:7">
      <c r="B15" s="5">
        <f t="shared" si="1"/>
        <v>10</v>
      </c>
      <c r="C15" s="6"/>
      <c r="D15" s="7"/>
      <c r="E15" s="10"/>
      <c r="F15" s="8">
        <f t="shared" si="0"/>
        <v>0</v>
      </c>
      <c r="G15" s="9"/>
    </row>
    <row r="16" spans="2:7">
      <c r="B16" s="5">
        <f t="shared" si="1"/>
        <v>11</v>
      </c>
      <c r="C16" s="6"/>
      <c r="D16" s="7"/>
      <c r="E16" s="10"/>
      <c r="F16" s="8">
        <f t="shared" si="0"/>
        <v>0</v>
      </c>
      <c r="G16" s="9"/>
    </row>
    <row r="17" spans="2:7">
      <c r="B17" s="5">
        <f t="shared" si="1"/>
        <v>12</v>
      </c>
      <c r="C17" s="6"/>
      <c r="D17" s="7"/>
      <c r="E17" s="10"/>
      <c r="F17" s="8">
        <f t="shared" si="0"/>
        <v>0</v>
      </c>
      <c r="G17" s="9"/>
    </row>
    <row r="18" spans="2:7">
      <c r="B18" s="5">
        <f t="shared" si="1"/>
        <v>13</v>
      </c>
      <c r="C18" s="6"/>
      <c r="D18" s="7"/>
      <c r="E18" s="10"/>
      <c r="F18" s="8">
        <f t="shared" si="0"/>
        <v>0</v>
      </c>
      <c r="G18" s="9"/>
    </row>
    <row r="19" spans="2:7">
      <c r="B19" s="11">
        <f t="shared" si="1"/>
        <v>14</v>
      </c>
      <c r="C19" s="12"/>
      <c r="D19" s="13"/>
      <c r="E19" s="14"/>
      <c r="F19" s="15">
        <f t="shared" si="0"/>
        <v>0</v>
      </c>
      <c r="G19" s="16"/>
    </row>
  </sheetData>
  <mergeCells count="1">
    <mergeCell ref="B2:G4"/>
  </mergeCells>
  <pageMargins left="0.7" right="0.7" top="0.75" bottom="0.75" header="0.3" footer="0.3"/>
  <pageSetup paperSize="9" scale="72" orientation="portrait" verticalDpi="36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G19"/>
  <sheetViews>
    <sheetView view="pageBreakPreview" zoomScale="130" zoomScaleNormal="123" workbookViewId="0">
      <selection activeCell="D6" sqref="D6:D13"/>
    </sheetView>
  </sheetViews>
  <sheetFormatPr defaultColWidth="8.6640625" defaultRowHeight="14.4"/>
  <cols>
    <col min="1" max="1" width="2.109375" style="1" customWidth="1"/>
    <col min="2" max="2" width="5.88671875" style="1" customWidth="1"/>
    <col min="3" max="3" width="19.5546875" style="1" customWidth="1"/>
    <col min="4" max="5" width="8.6640625" style="1"/>
    <col min="6" max="6" width="8.6640625" style="1" customWidth="1"/>
    <col min="7" max="7" width="67.88671875" style="1" customWidth="1"/>
    <col min="8" max="16384" width="8.6640625" style="1"/>
  </cols>
  <sheetData>
    <row r="1" spans="2:7" ht="6.9" customHeight="1"/>
    <row r="2" spans="2:7">
      <c r="B2" s="320" t="s">
        <v>679</v>
      </c>
      <c r="C2" s="321"/>
      <c r="D2" s="321"/>
      <c r="E2" s="321"/>
      <c r="F2" s="321"/>
      <c r="G2" s="322"/>
    </row>
    <row r="3" spans="2:7">
      <c r="B3" s="323"/>
      <c r="C3" s="324"/>
      <c r="D3" s="324"/>
      <c r="E3" s="324"/>
      <c r="F3" s="324"/>
      <c r="G3" s="325"/>
    </row>
    <row r="4" spans="2:7">
      <c r="B4" s="323"/>
      <c r="C4" s="324"/>
      <c r="D4" s="324"/>
      <c r="E4" s="324"/>
      <c r="F4" s="324"/>
      <c r="G4" s="325"/>
    </row>
    <row r="5" spans="2:7" ht="30" customHeight="1">
      <c r="B5" s="2" t="s">
        <v>0</v>
      </c>
      <c r="C5" s="3" t="s">
        <v>1</v>
      </c>
      <c r="D5" s="3" t="s">
        <v>654</v>
      </c>
      <c r="E5" s="3" t="s">
        <v>4</v>
      </c>
      <c r="F5" s="3" t="s">
        <v>5</v>
      </c>
      <c r="G5" s="4" t="s">
        <v>2</v>
      </c>
    </row>
    <row r="6" spans="2:7">
      <c r="B6" s="5">
        <v>1</v>
      </c>
      <c r="C6" s="6" t="s">
        <v>248</v>
      </c>
      <c r="D6" s="7">
        <v>2</v>
      </c>
      <c r="E6" s="217" t="s">
        <v>56</v>
      </c>
      <c r="F6" s="8">
        <f t="shared" ref="F6:F19" si="0">SUM(D6:E6)</f>
        <v>2</v>
      </c>
      <c r="G6" s="9"/>
    </row>
    <row r="7" spans="2:7">
      <c r="B7" s="5">
        <f>B6+1</f>
        <v>2</v>
      </c>
      <c r="C7" s="6" t="s">
        <v>172</v>
      </c>
      <c r="D7" s="7">
        <v>2</v>
      </c>
      <c r="E7" s="217" t="s">
        <v>56</v>
      </c>
      <c r="F7" s="8">
        <f t="shared" si="0"/>
        <v>2</v>
      </c>
      <c r="G7" s="9"/>
    </row>
    <row r="8" spans="2:7">
      <c r="B8" s="5">
        <f t="shared" ref="B8:B19" si="1">B7+1</f>
        <v>3</v>
      </c>
      <c r="C8" s="6" t="s">
        <v>447</v>
      </c>
      <c r="D8" s="7">
        <v>1</v>
      </c>
      <c r="E8" s="217" t="s">
        <v>56</v>
      </c>
      <c r="F8" s="8">
        <f t="shared" si="0"/>
        <v>1</v>
      </c>
      <c r="G8" s="9"/>
    </row>
    <row r="9" spans="2:7">
      <c r="B9" s="5">
        <f t="shared" si="1"/>
        <v>4</v>
      </c>
      <c r="C9" s="6" t="s">
        <v>258</v>
      </c>
      <c r="D9" s="7">
        <v>3</v>
      </c>
      <c r="E9" s="217" t="s">
        <v>56</v>
      </c>
      <c r="F9" s="8">
        <f t="shared" si="0"/>
        <v>3</v>
      </c>
      <c r="G9" s="9"/>
    </row>
    <row r="10" spans="2:7">
      <c r="B10" s="5">
        <f t="shared" si="1"/>
        <v>5</v>
      </c>
      <c r="C10" s="6" t="s">
        <v>353</v>
      </c>
      <c r="D10" s="7">
        <v>1</v>
      </c>
      <c r="E10" s="217" t="s">
        <v>56</v>
      </c>
      <c r="F10" s="8">
        <f t="shared" si="0"/>
        <v>1</v>
      </c>
      <c r="G10" s="9"/>
    </row>
    <row r="11" spans="2:7">
      <c r="B11" s="5">
        <f t="shared" si="1"/>
        <v>6</v>
      </c>
      <c r="C11" s="6" t="s">
        <v>264</v>
      </c>
      <c r="D11" s="7">
        <v>1</v>
      </c>
      <c r="E11" s="217" t="s">
        <v>56</v>
      </c>
      <c r="F11" s="8">
        <f t="shared" si="0"/>
        <v>1</v>
      </c>
      <c r="G11" s="9"/>
    </row>
    <row r="12" spans="2:7">
      <c r="B12" s="5">
        <f t="shared" si="1"/>
        <v>7</v>
      </c>
      <c r="C12" s="6"/>
      <c r="D12" s="7"/>
      <c r="E12" s="10"/>
      <c r="F12" s="8">
        <f t="shared" si="0"/>
        <v>0</v>
      </c>
      <c r="G12" s="9"/>
    </row>
    <row r="13" spans="2:7">
      <c r="B13" s="5">
        <f t="shared" si="1"/>
        <v>8</v>
      </c>
      <c r="C13" s="6"/>
      <c r="D13" s="7"/>
      <c r="E13" s="10"/>
      <c r="F13" s="8">
        <f t="shared" si="0"/>
        <v>0</v>
      </c>
      <c r="G13" s="9"/>
    </row>
    <row r="14" spans="2:7">
      <c r="B14" s="5">
        <f t="shared" si="1"/>
        <v>9</v>
      </c>
      <c r="C14" s="6"/>
      <c r="D14" s="7"/>
      <c r="E14" s="10"/>
      <c r="F14" s="8">
        <f t="shared" si="0"/>
        <v>0</v>
      </c>
      <c r="G14" s="9"/>
    </row>
    <row r="15" spans="2:7">
      <c r="B15" s="5">
        <f t="shared" si="1"/>
        <v>10</v>
      </c>
      <c r="C15" s="6"/>
      <c r="D15" s="7"/>
      <c r="E15" s="10"/>
      <c r="F15" s="8">
        <f t="shared" si="0"/>
        <v>0</v>
      </c>
      <c r="G15" s="9"/>
    </row>
    <row r="16" spans="2:7">
      <c r="B16" s="5">
        <f t="shared" si="1"/>
        <v>11</v>
      </c>
      <c r="C16" s="6"/>
      <c r="D16" s="7"/>
      <c r="E16" s="10"/>
      <c r="F16" s="8">
        <f t="shared" si="0"/>
        <v>0</v>
      </c>
      <c r="G16" s="9"/>
    </row>
    <row r="17" spans="2:7">
      <c r="B17" s="5">
        <f t="shared" si="1"/>
        <v>12</v>
      </c>
      <c r="C17" s="6"/>
      <c r="D17" s="7"/>
      <c r="E17" s="10"/>
      <c r="F17" s="8">
        <f t="shared" si="0"/>
        <v>0</v>
      </c>
      <c r="G17" s="9"/>
    </row>
    <row r="18" spans="2:7">
      <c r="B18" s="5">
        <f t="shared" si="1"/>
        <v>13</v>
      </c>
      <c r="C18" s="6"/>
      <c r="D18" s="7"/>
      <c r="E18" s="10"/>
      <c r="F18" s="8">
        <f t="shared" si="0"/>
        <v>0</v>
      </c>
      <c r="G18" s="9"/>
    </row>
    <row r="19" spans="2:7">
      <c r="B19" s="11">
        <f t="shared" si="1"/>
        <v>14</v>
      </c>
      <c r="C19" s="12"/>
      <c r="D19" s="13"/>
      <c r="E19" s="14"/>
      <c r="F19" s="15">
        <f t="shared" si="0"/>
        <v>0</v>
      </c>
      <c r="G19" s="16"/>
    </row>
  </sheetData>
  <mergeCells count="1">
    <mergeCell ref="B2:G4"/>
  </mergeCells>
  <pageMargins left="0.7" right="0.7" top="0.75" bottom="0.75" header="0.3" footer="0.3"/>
  <pageSetup paperSize="9" scale="72" orientation="portrait" verticalDpi="36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G19"/>
  <sheetViews>
    <sheetView view="pageBreakPreview" zoomScale="130" zoomScaleNormal="123" workbookViewId="0">
      <selection activeCell="D6" sqref="D6:D13"/>
    </sheetView>
  </sheetViews>
  <sheetFormatPr defaultColWidth="8.6640625" defaultRowHeight="14.4"/>
  <cols>
    <col min="1" max="1" width="2.109375" style="1" customWidth="1"/>
    <col min="2" max="2" width="5.88671875" style="1" customWidth="1"/>
    <col min="3" max="3" width="19.5546875" style="1" customWidth="1"/>
    <col min="4" max="5" width="7.5546875" style="1" customWidth="1"/>
    <col min="6" max="6" width="8.6640625" style="1" customWidth="1"/>
    <col min="7" max="7" width="67.88671875" style="1" customWidth="1"/>
    <col min="8" max="16384" width="8.6640625" style="1"/>
  </cols>
  <sheetData>
    <row r="1" spans="2:7" ht="6.9" customHeight="1"/>
    <row r="2" spans="2:7">
      <c r="B2" s="320" t="s">
        <v>680</v>
      </c>
      <c r="C2" s="321"/>
      <c r="D2" s="321"/>
      <c r="E2" s="321"/>
      <c r="F2" s="321"/>
      <c r="G2" s="322"/>
    </row>
    <row r="3" spans="2:7">
      <c r="B3" s="323"/>
      <c r="C3" s="324"/>
      <c r="D3" s="324"/>
      <c r="E3" s="324"/>
      <c r="F3" s="324"/>
      <c r="G3" s="325"/>
    </row>
    <row r="4" spans="2:7">
      <c r="B4" s="323"/>
      <c r="C4" s="324"/>
      <c r="D4" s="324"/>
      <c r="E4" s="324"/>
      <c r="F4" s="324"/>
      <c r="G4" s="325"/>
    </row>
    <row r="5" spans="2:7" ht="30" customHeight="1">
      <c r="B5" s="2" t="s">
        <v>0</v>
      </c>
      <c r="C5" s="3" t="s">
        <v>1</v>
      </c>
      <c r="D5" s="3" t="s">
        <v>654</v>
      </c>
      <c r="E5" s="3" t="s">
        <v>4</v>
      </c>
      <c r="F5" s="3" t="s">
        <v>5</v>
      </c>
      <c r="G5" s="4" t="s">
        <v>2</v>
      </c>
    </row>
    <row r="6" spans="2:7">
      <c r="B6" s="5">
        <v>1</v>
      </c>
      <c r="C6" s="6" t="s">
        <v>452</v>
      </c>
      <c r="D6" s="7">
        <v>1</v>
      </c>
      <c r="E6" s="212" t="s">
        <v>56</v>
      </c>
      <c r="F6" s="8">
        <f t="shared" ref="F6:F19" si="0">SUM(D6:E6)</f>
        <v>1</v>
      </c>
      <c r="G6" s="9"/>
    </row>
    <row r="7" spans="2:7">
      <c r="B7" s="5">
        <f>B6+1</f>
        <v>2</v>
      </c>
      <c r="C7" s="6" t="s">
        <v>371</v>
      </c>
      <c r="D7" s="7">
        <v>1</v>
      </c>
      <c r="E7" s="212" t="s">
        <v>56</v>
      </c>
      <c r="F7" s="8">
        <f t="shared" si="0"/>
        <v>1</v>
      </c>
      <c r="G7" s="9"/>
    </row>
    <row r="8" spans="2:7">
      <c r="B8" s="5">
        <f t="shared" ref="B8:B19" si="1">B7+1</f>
        <v>3</v>
      </c>
      <c r="C8" s="6" t="s">
        <v>456</v>
      </c>
      <c r="D8" s="212" t="s">
        <v>56</v>
      </c>
      <c r="E8" s="10">
        <v>1</v>
      </c>
      <c r="F8" s="8">
        <f t="shared" si="0"/>
        <v>1</v>
      </c>
      <c r="G8" s="9" t="s">
        <v>681</v>
      </c>
    </row>
    <row r="9" spans="2:7">
      <c r="B9" s="5">
        <f t="shared" si="1"/>
        <v>4</v>
      </c>
      <c r="C9" s="6" t="s">
        <v>288</v>
      </c>
      <c r="D9" s="7">
        <v>6</v>
      </c>
      <c r="E9" s="212" t="s">
        <v>56</v>
      </c>
      <c r="F9" s="8">
        <f t="shared" si="0"/>
        <v>6</v>
      </c>
      <c r="G9" s="9"/>
    </row>
    <row r="10" spans="2:7">
      <c r="B10" s="5">
        <f t="shared" si="1"/>
        <v>5</v>
      </c>
      <c r="C10" s="6" t="s">
        <v>459</v>
      </c>
      <c r="D10" s="7">
        <v>1</v>
      </c>
      <c r="E10" s="212" t="s">
        <v>56</v>
      </c>
      <c r="F10" s="8">
        <f t="shared" si="0"/>
        <v>1</v>
      </c>
      <c r="G10" s="9"/>
    </row>
    <row r="11" spans="2:7">
      <c r="B11" s="5">
        <f t="shared" si="1"/>
        <v>6</v>
      </c>
      <c r="C11" s="6" t="s">
        <v>262</v>
      </c>
      <c r="D11" s="7">
        <v>1</v>
      </c>
      <c r="E11" s="212" t="s">
        <v>56</v>
      </c>
      <c r="F11" s="8">
        <f t="shared" si="0"/>
        <v>1</v>
      </c>
      <c r="G11" s="9"/>
    </row>
    <row r="12" spans="2:7">
      <c r="B12" s="5">
        <f t="shared" si="1"/>
        <v>7</v>
      </c>
      <c r="C12" s="6" t="s">
        <v>462</v>
      </c>
      <c r="D12" s="7">
        <v>2</v>
      </c>
      <c r="E12" s="212" t="s">
        <v>56</v>
      </c>
      <c r="F12" s="8">
        <f t="shared" si="0"/>
        <v>2</v>
      </c>
      <c r="G12" s="9"/>
    </row>
    <row r="13" spans="2:7">
      <c r="B13" s="5">
        <f t="shared" si="1"/>
        <v>8</v>
      </c>
      <c r="C13" s="6"/>
      <c r="D13" s="7"/>
      <c r="E13" s="10"/>
      <c r="F13" s="8">
        <f t="shared" si="0"/>
        <v>0</v>
      </c>
      <c r="G13" s="9"/>
    </row>
    <row r="14" spans="2:7">
      <c r="B14" s="5">
        <f t="shared" si="1"/>
        <v>9</v>
      </c>
      <c r="C14" s="6"/>
      <c r="D14" s="7"/>
      <c r="E14" s="10"/>
      <c r="F14" s="8">
        <f t="shared" si="0"/>
        <v>0</v>
      </c>
      <c r="G14" s="9"/>
    </row>
    <row r="15" spans="2:7">
      <c r="B15" s="5">
        <f t="shared" si="1"/>
        <v>10</v>
      </c>
      <c r="C15" s="6"/>
      <c r="D15" s="7"/>
      <c r="E15" s="10"/>
      <c r="F15" s="8">
        <f t="shared" si="0"/>
        <v>0</v>
      </c>
      <c r="G15" s="9"/>
    </row>
    <row r="16" spans="2:7">
      <c r="B16" s="5">
        <f t="shared" si="1"/>
        <v>11</v>
      </c>
      <c r="C16" s="6"/>
      <c r="D16" s="7"/>
      <c r="E16" s="10"/>
      <c r="F16" s="8">
        <f t="shared" si="0"/>
        <v>0</v>
      </c>
      <c r="G16" s="9"/>
    </row>
    <row r="17" spans="2:7">
      <c r="B17" s="5">
        <f t="shared" si="1"/>
        <v>12</v>
      </c>
      <c r="C17" s="6"/>
      <c r="D17" s="7"/>
      <c r="E17" s="10"/>
      <c r="F17" s="8">
        <f t="shared" si="0"/>
        <v>0</v>
      </c>
      <c r="G17" s="9"/>
    </row>
    <row r="18" spans="2:7">
      <c r="B18" s="5">
        <f t="shared" si="1"/>
        <v>13</v>
      </c>
      <c r="C18" s="6"/>
      <c r="D18" s="7"/>
      <c r="E18" s="10"/>
      <c r="F18" s="8">
        <f t="shared" si="0"/>
        <v>0</v>
      </c>
      <c r="G18" s="9"/>
    </row>
    <row r="19" spans="2:7">
      <c r="B19" s="11">
        <f t="shared" si="1"/>
        <v>14</v>
      </c>
      <c r="C19" s="12"/>
      <c r="D19" s="13"/>
      <c r="E19" s="14"/>
      <c r="F19" s="15">
        <f t="shared" si="0"/>
        <v>0</v>
      </c>
      <c r="G19" s="16"/>
    </row>
  </sheetData>
  <mergeCells count="1">
    <mergeCell ref="B2:G4"/>
  </mergeCells>
  <pageMargins left="0.7" right="0.7" top="0.75" bottom="0.75" header="0.3" footer="0.3"/>
  <pageSetup paperSize="9" scale="72" orientation="portrait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8</vt:i4>
      </vt:variant>
    </vt:vector>
  </HeadingPairs>
  <TitlesOfParts>
    <vt:vector size="38" baseType="lpstr">
      <vt:lpstr>Rincian A.Mess (171025)</vt:lpstr>
      <vt:lpstr>Pivot Mes</vt:lpstr>
      <vt:lpstr>Detail Kantor 15102025</vt:lpstr>
      <vt:lpstr>Rekap</vt:lpstr>
      <vt:lpstr>Detail Kantor</vt:lpstr>
      <vt:lpstr>Rekap A.Mess Rev</vt:lpstr>
      <vt:lpstr>Detail Mess</vt:lpstr>
      <vt:lpstr>Rekap Gudang</vt:lpstr>
      <vt:lpstr>Rekap Ruang Kantor &amp; Kelas</vt:lpstr>
      <vt:lpstr>Rekap Gudang Alat Praktek</vt:lpstr>
      <vt:lpstr>Rincian A.Mess 23 Mei 2026</vt:lpstr>
      <vt:lpstr>Rincian BA Mes</vt:lpstr>
      <vt:lpstr>Sheet1</vt:lpstr>
      <vt:lpstr>Detail Perumahan G1</vt:lpstr>
      <vt:lpstr>Meja &amp; Kursi</vt:lpstr>
      <vt:lpstr>R. Planter</vt:lpstr>
      <vt:lpstr>R. Adm</vt:lpstr>
      <vt:lpstr>R. Integrity &amp; Loyality</vt:lpstr>
      <vt:lpstr>R. Meeting</vt:lpstr>
      <vt:lpstr>R. Office Meeting</vt:lpstr>
      <vt:lpstr>R. Office Direktur</vt:lpstr>
      <vt:lpstr>R. Staf</vt:lpstr>
      <vt:lpstr>R. Assasment-Mgr</vt:lpstr>
      <vt:lpstr>R. Assasment-Rekrut</vt:lpstr>
      <vt:lpstr>R. E-Learning</vt:lpstr>
      <vt:lpstr>R. Mill Lama</vt:lpstr>
      <vt:lpstr>R. Studio</vt:lpstr>
      <vt:lpstr>R. Persistance &amp; Care</vt:lpstr>
      <vt:lpstr>R. Diligance</vt:lpstr>
      <vt:lpstr>R. Aula</vt:lpstr>
      <vt:lpstr>'Detail Kantor'!Print_Area</vt:lpstr>
      <vt:lpstr>'Detail Kantor 15102025'!Print_Area</vt:lpstr>
      <vt:lpstr>'Detail Mess'!Print_Area</vt:lpstr>
      <vt:lpstr>'Detail Perumahan G1'!Print_Area</vt:lpstr>
      <vt:lpstr>Rekap!Print_Area</vt:lpstr>
      <vt:lpstr>'Rekap A.Mess Rev'!Print_Area</vt:lpstr>
      <vt:lpstr>'Rekap Gudang Alat Praktek'!Print_Area</vt:lpstr>
      <vt:lpstr>'Detail Perumahan G1'!Print_Titles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 LOGIN YA</dc:creator>
  <cp:lastModifiedBy>MSI GAMING</cp:lastModifiedBy>
  <cp:lastPrinted>2026-01-12T09:05:00Z</cp:lastPrinted>
  <dcterms:created xsi:type="dcterms:W3CDTF">2024-09-10T03:17:00Z</dcterms:created>
  <dcterms:modified xsi:type="dcterms:W3CDTF">2026-09-10T01:57:38Z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3667718D1AE14A339B438A3A99B134E6_12</vt:lpwstr>
  </property>
  <property fmtid="{D5CDD505-2E9C-101B-9397-08002B2CF9AE}" pid="3" name="KSOProductBuildVer">
    <vt:lpwstr>1033-12.2.0.23196</vt:lpwstr>
  </property>
  <property fmtid="{D5CDD505-2E9C-101B-9397-08002B2CF9AE}" pid="4" name="CalculationRule">
    <vt:i4>0</vt:i4>
  </property>
</Properties>
</file>